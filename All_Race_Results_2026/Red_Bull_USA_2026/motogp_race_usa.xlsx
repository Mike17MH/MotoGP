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co Bezzecchi" sheetId="1" r:id="rId1"/>
    <sheet name="Jorge Martin" sheetId="2" r:id="rId2"/>
    <sheet name="Pedro Acosta" sheetId="3" r:id="rId3"/>
    <sheet name="Fabio Di Giannantonio" sheetId="4" r:id="rId4"/>
    <sheet name="Marc Marquez" sheetId="5" r:id="rId5"/>
    <sheet name="Enea Bastianini" sheetId="6" r:id="rId6"/>
    <sheet name="Alex Marquez" sheetId="7" r:id="rId7"/>
    <sheet name="Raul Fernandez" sheetId="8" r:id="rId8"/>
    <sheet name="Luca Marini" sheetId="9" r:id="rId9"/>
    <sheet name="Francesco Bagnaia" sheetId="10" r:id="rId10"/>
    <sheet name="Fermin Aldeguer" sheetId="11" r:id="rId11"/>
    <sheet name="Brad Binder" sheetId="12" r:id="rId12"/>
    <sheet name="Diogo Moreira" sheetId="13" r:id="rId13"/>
    <sheet name="Franco Morbidelli" sheetId="14" r:id="rId14"/>
    <sheet name="Toprak Razgatlioglu" sheetId="15" r:id="rId15"/>
    <sheet name="Jack Miller" sheetId="16" r:id="rId16"/>
    <sheet name="Fabio Quartararo" sheetId="17" r:id="rId17"/>
    <sheet name="Alex Rins" sheetId="18" r:id="rId18"/>
    <sheet name="Johann Zarco" sheetId="19" r:id="rId19"/>
    <sheet name="Ai Ogura" sheetId="20" r:id="rId20"/>
    <sheet name="Joan Mir" sheetId="21" r:id="rId21"/>
    <sheet name="Race Data" sheetId="22" r:id="rId22"/>
    <sheet name="Race Progress" sheetId="23" r:id="rId23"/>
  </sheets>
  <definedNames>
    <definedName name="_xlnm._FilterDatabase" localSheetId="19" hidden="1">'Ai Ogura'!$A$5:$M$20</definedName>
    <definedName name="_xlnm._FilterDatabase" localSheetId="6" hidden="1">'Alex Marquez'!$A$5:$M$25</definedName>
    <definedName name="_xlnm._FilterDatabase" localSheetId="17" hidden="1">'Alex Rins'!$A$5:$M$25</definedName>
    <definedName name="_xlnm._FilterDatabase" localSheetId="11" hidden="1">'Brad Binder'!$A$5:$M$25</definedName>
    <definedName name="_xlnm._FilterDatabase" localSheetId="12" hidden="1">'Diogo Moreira'!$A$5:$M$25</definedName>
    <definedName name="_xlnm._FilterDatabase" localSheetId="5" hidden="1">'Enea Bastianini'!$A$5:$M$25</definedName>
    <definedName name="_xlnm._FilterDatabase" localSheetId="3" hidden="1">'Fabio Di Giannantonio'!$A$5:$M$25</definedName>
    <definedName name="_xlnm._FilterDatabase" localSheetId="16" hidden="1">'Fabio Quartararo'!$A$5:$M$25</definedName>
    <definedName name="_xlnm._FilterDatabase" localSheetId="10" hidden="1">'Fermin Aldeguer'!$A$5:$M$25</definedName>
    <definedName name="_xlnm._FilterDatabase" localSheetId="9" hidden="1">'Francesco Bagnaia'!$A$5:$M$25</definedName>
    <definedName name="_xlnm._FilterDatabase" localSheetId="13" hidden="1">'Franco Morbidelli'!$A$5:$M$25</definedName>
    <definedName name="_xlnm._FilterDatabase" localSheetId="15" hidden="1">'Jack Miller'!$A$5:$M$25</definedName>
    <definedName name="_xlnm._FilterDatabase" localSheetId="20" hidden="1">'Joan Mir'!$A$5:$M$10</definedName>
    <definedName name="_xlnm._FilterDatabase" localSheetId="18" hidden="1">'Johann Zarco'!$A$5:$M$23</definedName>
    <definedName name="_xlnm._FilterDatabase" localSheetId="1" hidden="1">'Jorge Martin'!$A$5:$M$25</definedName>
    <definedName name="_xlnm._FilterDatabase" localSheetId="8" hidden="1">'Luca Marini'!$A$5:$M$25</definedName>
    <definedName name="_xlnm._FilterDatabase" localSheetId="4" hidden="1">'Marc Marquez'!$A$5:$M$25</definedName>
    <definedName name="_xlnm._FilterDatabase" localSheetId="0" hidden="1">'Marco Bezzecchi'!$A$5:$M$25</definedName>
    <definedName name="_xlnm._FilterDatabase" localSheetId="2" hidden="1">'Pedro Acosta'!$A$5:$M$25</definedName>
    <definedName name="_xlnm._FilterDatabase" localSheetId="7" hidden="1">'Raul Fernandez'!$A$5:$M$25</definedName>
    <definedName name="_xlnm._FilterDatabase" localSheetId="14" hidden="1">'Toprak Razgatlioglu'!$A$5:$M$25</definedName>
  </definedNames>
  <calcPr calcId="124519" fullCalcOnLoad="1"/>
</workbook>
</file>

<file path=xl/sharedStrings.xml><?xml version="1.0" encoding="utf-8"?>
<sst xmlns="http://schemas.openxmlformats.org/spreadsheetml/2006/main" count="3044" uniqueCount="477">
  <si>
    <t>1. Marco BEZZECCHI #72</t>
  </si>
  <si>
    <t>Team</t>
  </si>
  <si>
    <t>Aprilia Racing</t>
  </si>
  <si>
    <t>Manufacturer</t>
  </si>
  <si>
    <t>APRILIA</t>
  </si>
  <si>
    <t>Nationality</t>
  </si>
  <si>
    <t>ITA</t>
  </si>
  <si>
    <t>Total Laps</t>
  </si>
  <si>
    <t>Valid Laps</t>
  </si>
  <si>
    <t>Front Tyre</t>
  </si>
  <si>
    <t>Slick-Medium</t>
  </si>
  <si>
    <t>Rear Tyre</t>
  </si>
  <si>
    <t>Lap</t>
  </si>
  <si>
    <t>Lap Time</t>
  </si>
  <si>
    <t>Lap Seconds</t>
  </si>
  <si>
    <t>T1</t>
  </si>
  <si>
    <t>T2</t>
  </si>
  <si>
    <t>T3</t>
  </si>
  <si>
    <t>T4</t>
  </si>
  <si>
    <t>Speed km/h</t>
  </si>
  <si>
    <t>Cumulative Seconds</t>
  </si>
  <si>
    <t>Excel Time</t>
  </si>
  <si>
    <t>Cancelled</t>
  </si>
  <si>
    <t>Pit Lane</t>
  </si>
  <si>
    <t>Partial Timing</t>
  </si>
  <si>
    <t>2:03.203</t>
  </si>
  <si>
    <t>2:02.426</t>
  </si>
  <si>
    <t>2:02.324</t>
  </si>
  <si>
    <t>2:02.360</t>
  </si>
  <si>
    <t>2:02.157</t>
  </si>
  <si>
    <t>2:02.114</t>
  </si>
  <si>
    <t>2:02.295</t>
  </si>
  <si>
    <t>2:02.633</t>
  </si>
  <si>
    <t>2:02.718</t>
  </si>
  <si>
    <t>2:02.115</t>
  </si>
  <si>
    <t>2:02.470</t>
  </si>
  <si>
    <t>2:02.440</t>
  </si>
  <si>
    <t>2:02.777</t>
  </si>
  <si>
    <t>2:02.669</t>
  </si>
  <si>
    <t>2:02.826</t>
  </si>
  <si>
    <t>2:02.414</t>
  </si>
  <si>
    <t>2:02.582</t>
  </si>
  <si>
    <t>2:02.786</t>
  </si>
  <si>
    <t>2:02.445</t>
  </si>
  <si>
    <t>2:02.899</t>
  </si>
  <si>
    <t>2. Jorge MARTIN #89</t>
  </si>
  <si>
    <t>SPA</t>
  </si>
  <si>
    <t>2:03.611</t>
  </si>
  <si>
    <t>2:02.459</t>
  </si>
  <si>
    <t>2:02.408</t>
  </si>
  <si>
    <t>2:02.256</t>
  </si>
  <si>
    <t>2:02.564</t>
  </si>
  <si>
    <t>2:02.433</t>
  </si>
  <si>
    <t>2:03.313</t>
  </si>
  <si>
    <t>2:02.335</t>
  </si>
  <si>
    <t>2:02.386</t>
  </si>
  <si>
    <t>2:02.754</t>
  </si>
  <si>
    <t>2:02.358</t>
  </si>
  <si>
    <t>2:02.417</t>
  </si>
  <si>
    <t>2:02.534</t>
  </si>
  <si>
    <t>2:02.424</t>
  </si>
  <si>
    <t>2:02.509</t>
  </si>
  <si>
    <t>2:02.483</t>
  </si>
  <si>
    <t>2:02.385</t>
  </si>
  <si>
    <t>2:02.535</t>
  </si>
  <si>
    <t>2:02.789</t>
  </si>
  <si>
    <t>2:03.736</t>
  </si>
  <si>
    <t>3. Pedro ACOSTA #37</t>
  </si>
  <si>
    <t>Red Bull KTM Factory Racing</t>
  </si>
  <si>
    <t>KTM</t>
  </si>
  <si>
    <t>2:03.423</t>
  </si>
  <si>
    <t>2:02.410</t>
  </si>
  <si>
    <t>2:02.393</t>
  </si>
  <si>
    <t>2:02.359</t>
  </si>
  <si>
    <t>2:02.299</t>
  </si>
  <si>
    <t>2:02.663</t>
  </si>
  <si>
    <t>2:02.524</t>
  </si>
  <si>
    <t>2:02.446</t>
  </si>
  <si>
    <t>2:02.451</t>
  </si>
  <si>
    <t>2:02.645</t>
  </si>
  <si>
    <t>2:02.283</t>
  </si>
  <si>
    <t>2:02.743</t>
  </si>
  <si>
    <t>2:03.331</t>
  </si>
  <si>
    <t>2:02.766</t>
  </si>
  <si>
    <t>2:02.939</t>
  </si>
  <si>
    <t>2:03.143</t>
  </si>
  <si>
    <t>2:03.051</t>
  </si>
  <si>
    <t>2:03.009</t>
  </si>
  <si>
    <t>2:03.738</t>
  </si>
  <si>
    <t>4. Fabio DI GIANNANTONIO #49</t>
  </si>
  <si>
    <t>Pertamina Enduro VR46 Racing Team</t>
  </si>
  <si>
    <t>DUCATI</t>
  </si>
  <si>
    <t>2:04.148</t>
  </si>
  <si>
    <t>2:03.184</t>
  </si>
  <si>
    <t>2:02.222</t>
  </si>
  <si>
    <t>2:02.179</t>
  </si>
  <si>
    <t>2:02.436</t>
  </si>
  <si>
    <t>2:02.336</t>
  </si>
  <si>
    <t>2:02.925</t>
  </si>
  <si>
    <t>2:02.571</t>
  </si>
  <si>
    <t>2:02.443</t>
  </si>
  <si>
    <t>2:02.808</t>
  </si>
  <si>
    <t>2:02.437</t>
  </si>
  <si>
    <t>2:02.710</t>
  </si>
  <si>
    <t>2:03.136</t>
  </si>
  <si>
    <t>2:02.972</t>
  </si>
  <si>
    <t>2:03.357</t>
  </si>
  <si>
    <t>2:03.275</t>
  </si>
  <si>
    <t>2:02.860</t>
  </si>
  <si>
    <t>2:03.297</t>
  </si>
  <si>
    <t>2:03.404</t>
  </si>
  <si>
    <t>5. Marc MARQUEZ #93</t>
  </si>
  <si>
    <t>Ducati Lenovo Team</t>
  </si>
  <si>
    <t>2:04.330</t>
  </si>
  <si>
    <t>2:03.976</t>
  </si>
  <si>
    <t>2:02.887</t>
  </si>
  <si>
    <t>2:05.392</t>
  </si>
  <si>
    <t>2:02.888</t>
  </si>
  <si>
    <t>2:02.461</t>
  </si>
  <si>
    <t>2:02.266</t>
  </si>
  <si>
    <t>2:02.485</t>
  </si>
  <si>
    <t>2:02.529</t>
  </si>
  <si>
    <t>2:02.184</t>
  </si>
  <si>
    <t>2:02.133</t>
  </si>
  <si>
    <t>2:02.294</t>
  </si>
  <si>
    <t>2:02.956</t>
  </si>
  <si>
    <t>2:03.029</t>
  </si>
  <si>
    <t>2:03.640</t>
  </si>
  <si>
    <t>2:02.849</t>
  </si>
  <si>
    <t>2:02.959</t>
  </si>
  <si>
    <t>2:02.680</t>
  </si>
  <si>
    <t>2:02.457</t>
  </si>
  <si>
    <t>6. Enea BASTIANINI #23</t>
  </si>
  <si>
    <t>Red Bull KTM Tech3</t>
  </si>
  <si>
    <t>2:06.004</t>
  </si>
  <si>
    <t>2:03.416</t>
  </si>
  <si>
    <t>2:03.452</t>
  </si>
  <si>
    <t>2:02.280</t>
  </si>
  <si>
    <t>2:02.399</t>
  </si>
  <si>
    <t>2:02.259</t>
  </si>
  <si>
    <t>2:02.502</t>
  </si>
  <si>
    <t>2:02.315</t>
  </si>
  <si>
    <t>2:02.506</t>
  </si>
  <si>
    <t>2:02.698</t>
  </si>
  <si>
    <t>2:02.602</t>
  </si>
  <si>
    <t>2:02.858</t>
  </si>
  <si>
    <t>2:03.284</t>
  </si>
  <si>
    <t>2:03.427</t>
  </si>
  <si>
    <t>2:03.279</t>
  </si>
  <si>
    <t>2:03.027</t>
  </si>
  <si>
    <t>2:02.558</t>
  </si>
  <si>
    <t>7. Alex MARQUEZ #73</t>
  </si>
  <si>
    <t>BK8 Gresini Racing MotoGP</t>
  </si>
  <si>
    <t>2:04.724</t>
  </si>
  <si>
    <t>2:03.939</t>
  </si>
  <si>
    <t>2:02.856</t>
  </si>
  <si>
    <t>2:02.291</t>
  </si>
  <si>
    <t>2:02.674</t>
  </si>
  <si>
    <t>2:02.149</t>
  </si>
  <si>
    <t>2:02.330</t>
  </si>
  <si>
    <t>2:02.890</t>
  </si>
  <si>
    <t>2:02.758</t>
  </si>
  <si>
    <t>2:02.937</t>
  </si>
  <si>
    <t>2:03.269</t>
  </si>
  <si>
    <t>2:04.291</t>
  </si>
  <si>
    <t>2:03.255</t>
  </si>
  <si>
    <t>2:03.461</t>
  </si>
  <si>
    <t>2:03.474</t>
  </si>
  <si>
    <t>2:03.317</t>
  </si>
  <si>
    <t>2:03.332</t>
  </si>
  <si>
    <t>8. Raul FERNANDEZ #25</t>
  </si>
  <si>
    <t>Trackhouse MotoGP Team</t>
  </si>
  <si>
    <t>2:05.863</t>
  </si>
  <si>
    <t>2:03.867</t>
  </si>
  <si>
    <t>2:03.390</t>
  </si>
  <si>
    <t>2:03.025</t>
  </si>
  <si>
    <t>2:02.880</t>
  </si>
  <si>
    <t>2:02.560</t>
  </si>
  <si>
    <t>2:03.183</t>
  </si>
  <si>
    <t>2:02.553</t>
  </si>
  <si>
    <t>2:02.413</t>
  </si>
  <si>
    <t>2:02.675</t>
  </si>
  <si>
    <t>2:02.510</t>
  </si>
  <si>
    <t>2:02.943</t>
  </si>
  <si>
    <t>2:03.033</t>
  </si>
  <si>
    <t>2:03.236</t>
  </si>
  <si>
    <t>2:02.894</t>
  </si>
  <si>
    <t>2:03.244</t>
  </si>
  <si>
    <t>2:03.453</t>
  </si>
  <si>
    <t>2:03.395</t>
  </si>
  <si>
    <t>2:04.182</t>
  </si>
  <si>
    <t>9. Luca MARINI #10</t>
  </si>
  <si>
    <t>Honda HRC Castrol</t>
  </si>
  <si>
    <t>HONDA</t>
  </si>
  <si>
    <t>2:06.495</t>
  </si>
  <si>
    <t>2:03.938</t>
  </si>
  <si>
    <t>2:03.034</t>
  </si>
  <si>
    <t>2:03.509</t>
  </si>
  <si>
    <t>2:03.277</t>
  </si>
  <si>
    <t>2:02.719</t>
  </si>
  <si>
    <t>2:02.851</t>
  </si>
  <si>
    <t>2:02.802</t>
  </si>
  <si>
    <t>2:02.612</t>
  </si>
  <si>
    <t>2:02.682</t>
  </si>
  <si>
    <t>2:02.824</t>
  </si>
  <si>
    <t>2:02.834</t>
  </si>
  <si>
    <t>2:03.263</t>
  </si>
  <si>
    <t>2:03.318</t>
  </si>
  <si>
    <t>2:03.102</t>
  </si>
  <si>
    <t>2:03.649</t>
  </si>
  <si>
    <t>2:03.685</t>
  </si>
  <si>
    <t>10. Francesco BAGNAIA #63</t>
  </si>
  <si>
    <t>2:04.501</t>
  </si>
  <si>
    <t>2:03.268</t>
  </si>
  <si>
    <t>2:02.573</t>
  </si>
  <si>
    <t>2:02.454</t>
  </si>
  <si>
    <t>2:02.305</t>
  </si>
  <si>
    <t>2:02.296</t>
  </si>
  <si>
    <t>2:02.344</t>
  </si>
  <si>
    <t>2:02.620</t>
  </si>
  <si>
    <t>2:02.681</t>
  </si>
  <si>
    <t>2:03.165</t>
  </si>
  <si>
    <t>2:02.838</t>
  </si>
  <si>
    <t>2:03.341</t>
  </si>
  <si>
    <t>2:03.668</t>
  </si>
  <si>
    <t>2:03.223</t>
  </si>
  <si>
    <t>2:03.621</t>
  </si>
  <si>
    <t>2:03.073</t>
  </si>
  <si>
    <t>2:04.321</t>
  </si>
  <si>
    <t>2:05.104</t>
  </si>
  <si>
    <t>2:05.299</t>
  </si>
  <si>
    <t>11. Fermin ALDEGUER #54</t>
  </si>
  <si>
    <t>2:05.115</t>
  </si>
  <si>
    <t>2:03.388</t>
  </si>
  <si>
    <t>2:04.227</t>
  </si>
  <si>
    <t>2:04.106</t>
  </si>
  <si>
    <t>2:04.079</t>
  </si>
  <si>
    <t>2:03.329</t>
  </si>
  <si>
    <t>2:02.918</t>
  </si>
  <si>
    <t>2:03.082</t>
  </si>
  <si>
    <t>2:02.990</t>
  </si>
  <si>
    <t>2:03.283</t>
  </si>
  <si>
    <t>2:02.863</t>
  </si>
  <si>
    <t>2:03.471</t>
  </si>
  <si>
    <t>2:02.998</t>
  </si>
  <si>
    <t>2:03.389</t>
  </si>
  <si>
    <t>2:03.464</t>
  </si>
  <si>
    <t>2:03.701</t>
  </si>
  <si>
    <t>2:03.260</t>
  </si>
  <si>
    <t>2:03.690</t>
  </si>
  <si>
    <t>2:03.832</t>
  </si>
  <si>
    <t>2:04.531</t>
  </si>
  <si>
    <t>12. Brad BINDER #33</t>
  </si>
  <si>
    <t>RSA</t>
  </si>
  <si>
    <t>2:07.074</t>
  </si>
  <si>
    <t>2:04.528</t>
  </si>
  <si>
    <t>2:03.314</t>
  </si>
  <si>
    <t>2:03.698</t>
  </si>
  <si>
    <t>2:03.151</t>
  </si>
  <si>
    <t>2:02.854</t>
  </si>
  <si>
    <t>2:02.912</t>
  </si>
  <si>
    <t>2:03.258</t>
  </si>
  <si>
    <t>2:03.451</t>
  </si>
  <si>
    <t>2:03.385</t>
  </si>
  <si>
    <t>2:03.250</t>
  </si>
  <si>
    <t>2:03.337</t>
  </si>
  <si>
    <t>2:03.828</t>
  </si>
  <si>
    <t>2:03.488</t>
  </si>
  <si>
    <t>2:03.459</t>
  </si>
  <si>
    <t>2:03.677</t>
  </si>
  <si>
    <t>2:03.853</t>
  </si>
  <si>
    <t>13. Diogo MOREIRA #11</t>
  </si>
  <si>
    <t>Pro Honda LCR</t>
  </si>
  <si>
    <t>BRA</t>
  </si>
  <si>
    <t>2:06.599</t>
  </si>
  <si>
    <t>2:04.078</t>
  </si>
  <si>
    <t>2:03.097</t>
  </si>
  <si>
    <t>2:03.425</t>
  </si>
  <si>
    <t>2:03.339</t>
  </si>
  <si>
    <t>2:02.947</t>
  </si>
  <si>
    <t>2:03.460</t>
  </si>
  <si>
    <t>2:03.093</t>
  </si>
  <si>
    <t>2:03.500</t>
  </si>
  <si>
    <t>2:03.778</t>
  </si>
  <si>
    <t>2:03.490</t>
  </si>
  <si>
    <t>2:03.288</t>
  </si>
  <si>
    <t>2:04.030</t>
  </si>
  <si>
    <t>2:03.931</t>
  </si>
  <si>
    <t>2:03.665</t>
  </si>
  <si>
    <t>2:03.456</t>
  </si>
  <si>
    <t>2:03.704</t>
  </si>
  <si>
    <t>2:03.350</t>
  </si>
  <si>
    <t>2:03.355</t>
  </si>
  <si>
    <t>14. Franco MORBIDELLI #21</t>
  </si>
  <si>
    <t>2:07.361</t>
  </si>
  <si>
    <t>2:04.469</t>
  </si>
  <si>
    <t>2:03.523</t>
  </si>
  <si>
    <t>2:03.607</t>
  </si>
  <si>
    <t>2:03.310</t>
  </si>
  <si>
    <t>2:02.967</t>
  </si>
  <si>
    <t>2:02.944</t>
  </si>
  <si>
    <t>2:03.132</t>
  </si>
  <si>
    <t>2:03.343</t>
  </si>
  <si>
    <t>2:03.286</t>
  </si>
  <si>
    <t>2:03.429</t>
  </si>
  <si>
    <t>2:03.379</t>
  </si>
  <si>
    <t>2:03.518</t>
  </si>
  <si>
    <t>2:03.467</t>
  </si>
  <si>
    <t>2:03.542</t>
  </si>
  <si>
    <t>2:03.529</t>
  </si>
  <si>
    <t>2:04.616</t>
  </si>
  <si>
    <t>2:04.607</t>
  </si>
  <si>
    <t>2:03.712</t>
  </si>
  <si>
    <t>15. Toprak RAZGATLIOGLU #7</t>
  </si>
  <si>
    <t>Prima Pramac Yamaha MotoGP</t>
  </si>
  <si>
    <t>YAMAHA</t>
  </si>
  <si>
    <t>TUR</t>
  </si>
  <si>
    <t>2:07.725</t>
  </si>
  <si>
    <t>2:05.581</t>
  </si>
  <si>
    <t>2:03.366</t>
  </si>
  <si>
    <t>2:03.449</t>
  </si>
  <si>
    <t>2:03.422</t>
  </si>
  <si>
    <t>2:03.848</t>
  </si>
  <si>
    <t>2:03.428</t>
  </si>
  <si>
    <t>2:03.278</t>
  </si>
  <si>
    <t>2:03.071</t>
  </si>
  <si>
    <t>2:03.326</t>
  </si>
  <si>
    <t>2:03.264</t>
  </si>
  <si>
    <t>2:03.739</t>
  </si>
  <si>
    <t>2:03.584</t>
  </si>
  <si>
    <t>2:03.535</t>
  </si>
  <si>
    <t>2:03.746</t>
  </si>
  <si>
    <t>2:03.898</t>
  </si>
  <si>
    <t>16. Jack MILLER #43</t>
  </si>
  <si>
    <t>AUS</t>
  </si>
  <si>
    <t>2:07.538</t>
  </si>
  <si>
    <t>2:05.893</t>
  </si>
  <si>
    <t>2:03.335</t>
  </si>
  <si>
    <t>2:03.580</t>
  </si>
  <si>
    <t>2:03.654</t>
  </si>
  <si>
    <t>2:03.696</t>
  </si>
  <si>
    <t>2:03.344</t>
  </si>
  <si>
    <t>2:03.415</t>
  </si>
  <si>
    <t>2:03.547</t>
  </si>
  <si>
    <t>2:03.578</t>
  </si>
  <si>
    <t>2:03.516</t>
  </si>
  <si>
    <t>2:03.356</t>
  </si>
  <si>
    <t>2:03.402</t>
  </si>
  <si>
    <t>2:03.484</t>
  </si>
  <si>
    <t>2:03.557</t>
  </si>
  <si>
    <t>17. Fabio QUARTARARO #20</t>
  </si>
  <si>
    <t>Monster Energy Yamaha MotoGP Team</t>
  </si>
  <si>
    <t>FRA</t>
  </si>
  <si>
    <t>2:06.977</t>
  </si>
  <si>
    <t>2:05.881</t>
  </si>
  <si>
    <t>2:03.419</t>
  </si>
  <si>
    <t>2:03.468</t>
  </si>
  <si>
    <t>2:03.441</t>
  </si>
  <si>
    <t>2:03.624</t>
  </si>
  <si>
    <t>2:03.237</t>
  </si>
  <si>
    <t>2:03.481</t>
  </si>
  <si>
    <t>2:03.384</t>
  </si>
  <si>
    <t>2:03.369</t>
  </si>
  <si>
    <t>2:03.789</t>
  </si>
  <si>
    <t>2:03.440</t>
  </si>
  <si>
    <t>2:03.556</t>
  </si>
  <si>
    <t>2:04.364</t>
  </si>
  <si>
    <t>2:04.222</t>
  </si>
  <si>
    <t>2:04.590</t>
  </si>
  <si>
    <t>18. Alex RINS #42</t>
  </si>
  <si>
    <t>2:07.887</t>
  </si>
  <si>
    <t>2:05.773</t>
  </si>
  <si>
    <t>2:03.734</t>
  </si>
  <si>
    <t>2:03.188</t>
  </si>
  <si>
    <t>2:03.084</t>
  </si>
  <si>
    <t>2:03.508</t>
  </si>
  <si>
    <t>2:03.532</t>
  </si>
  <si>
    <t>2:04.806</t>
  </si>
  <si>
    <t>2:04.270</t>
  </si>
  <si>
    <t>2:04.209</t>
  </si>
  <si>
    <t>2:03.629</t>
  </si>
  <si>
    <t>2:03.805</t>
  </si>
  <si>
    <t>2:04.026</t>
  </si>
  <si>
    <t>2:04.098</t>
  </si>
  <si>
    <t>2:04.111</t>
  </si>
  <si>
    <t>2:04.701</t>
  </si>
  <si>
    <t>2:04.574</t>
  </si>
  <si>
    <t>2:05.181</t>
  </si>
  <si>
    <t>2:05.265</t>
  </si>
  <si>
    <t>2:05.973</t>
  </si>
  <si>
    <t>19. Johann ZARCO #5</t>
  </si>
  <si>
    <t>Castrol Honda LCR</t>
  </si>
  <si>
    <t>2:06.434</t>
  </si>
  <si>
    <t>3:46.246</t>
  </si>
  <si>
    <t>2:05.063</t>
  </si>
  <si>
    <t>2:03.920</t>
  </si>
  <si>
    <t>2:02.753</t>
  </si>
  <si>
    <t>2:02.705</t>
  </si>
  <si>
    <t>2:03.315</t>
  </si>
  <si>
    <t>2:02.664</t>
  </si>
  <si>
    <t>2:02.073</t>
  </si>
  <si>
    <t>2:03.932</t>
  </si>
  <si>
    <t>2:03.083</t>
  </si>
  <si>
    <t>2:03.212</t>
  </si>
  <si>
    <t>2:03.117</t>
  </si>
  <si>
    <t>2:02.820</t>
  </si>
  <si>
    <t>2:11.759</t>
  </si>
  <si>
    <t>20. Ai OGURA #79</t>
  </si>
  <si>
    <t>JPN</t>
  </si>
  <si>
    <t>2:05.733</t>
  </si>
  <si>
    <t>2:02.771</t>
  </si>
  <si>
    <t>2:02.332</t>
  </si>
  <si>
    <t>2:02.415</t>
  </si>
  <si>
    <t>2:02.258</t>
  </si>
  <si>
    <t>2:02.158</t>
  </si>
  <si>
    <t>2:02.037</t>
  </si>
  <si>
    <t>2:02.328</t>
  </si>
  <si>
    <t>2:02.058</t>
  </si>
  <si>
    <t>2:02.306</t>
  </si>
  <si>
    <t>2:02.326</t>
  </si>
  <si>
    <t>2:45.885</t>
  </si>
  <si>
    <t>21. Joan MIR #36</t>
  </si>
  <si>
    <t>2:04.609</t>
  </si>
  <si>
    <t>2:03.323</t>
  </si>
  <si>
    <t>2:02.647</t>
  </si>
  <si>
    <t>2:02.985</t>
  </si>
  <si>
    <t>2:02.709</t>
  </si>
  <si>
    <t>Rider</t>
  </si>
  <si>
    <t>Number</t>
  </si>
  <si>
    <t>Position</t>
  </si>
  <si>
    <t>Marco BEZZECCHI</t>
  </si>
  <si>
    <t>Jorge MARTIN</t>
  </si>
  <si>
    <t>Pedro ACOSTA</t>
  </si>
  <si>
    <t>Fabio DI GIANNANTONIO</t>
  </si>
  <si>
    <t>Marc MARQUEZ</t>
  </si>
  <si>
    <t>Enea BASTIANINI</t>
  </si>
  <si>
    <t>Alex MARQUEZ</t>
  </si>
  <si>
    <t>Raul FERNANDEZ</t>
  </si>
  <si>
    <t>Luca MARINI</t>
  </si>
  <si>
    <t>Francesco BAGNAIA</t>
  </si>
  <si>
    <t>Fermin ALDEGUER</t>
  </si>
  <si>
    <t>Brad BINDER</t>
  </si>
  <si>
    <t>Diogo MOREIRA</t>
  </si>
  <si>
    <t>Franco MORBIDELLI</t>
  </si>
  <si>
    <t>Toprak RAZGATLIOGLU</t>
  </si>
  <si>
    <t>Jack MILLER</t>
  </si>
  <si>
    <t>Fabio QUARTARARO</t>
  </si>
  <si>
    <t>Alex RINS</t>
  </si>
  <si>
    <t>Johann ZARCO</t>
  </si>
  <si>
    <t>Ai OGURA</t>
  </si>
  <si>
    <t>Joan MIR</t>
  </si>
  <si>
    <t>RED BULL GRAND PRIX OF THE UNITED STATES fl - Rider Lap Time Analysis</t>
  </si>
  <si>
    <t>Circuit Of The Americas</t>
  </si>
  <si>
    <t>Austin, Sunday, March 29, 2026</t>
  </si>
  <si>
    <t>Show</t>
  </si>
  <si>
    <t>Color</t>
  </si>
  <si>
    <t>#A0B73A</t>
  </si>
  <si>
    <t>#CD28E0</t>
  </si>
  <si>
    <t>#47E0A4</t>
  </si>
  <si>
    <t>#B75021</t>
  </si>
  <si>
    <t>#4B47E0</t>
  </si>
  <si>
    <t>#5AE028</t>
  </si>
  <si>
    <t>#B73A80</t>
  </si>
  <si>
    <t>#28C5E0</t>
  </si>
  <si>
    <t>#E0CA47</t>
  </si>
  <si>
    <t>#7521B7</t>
  </si>
  <si>
    <t>#47E071</t>
  </si>
  <si>
    <t>#E0282C</t>
  </si>
  <si>
    <t>#3A61B7</t>
  </si>
  <si>
    <t>#97E028</t>
  </si>
  <si>
    <t>#E047D0</t>
  </si>
  <si>
    <t>#21B79B</t>
  </si>
  <si>
    <t>#E09747</t>
  </si>
  <si>
    <t>#5228E0</t>
  </si>
  <si>
    <t>#42B73A</t>
  </si>
  <si>
    <t>#E02869</t>
  </si>
  <si>
    <t>#47AAE0</t>
  </si>
</sst>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m:ss.000"/>
  </numFmts>
  <fonts count="25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A0B73A"/>
      <name val="Calibri"/>
      <family val="2"/>
      <scheme val="minor"/>
    </font>
    <font>
      <sz val="11"/>
      <color rgb="FFCD28E0"/>
      <name val="Calibri"/>
      <family val="2"/>
      <scheme val="minor"/>
    </font>
    <font>
      <sz val="11"/>
      <color rgb="FF47E0A4"/>
      <name val="Calibri"/>
      <family val="2"/>
      <scheme val="minor"/>
    </font>
    <font>
      <sz val="11"/>
      <color rgb="FFB75021"/>
      <name val="Calibri"/>
      <family val="2"/>
      <scheme val="minor"/>
    </font>
    <font>
      <sz val="11"/>
      <color rgb="FF4B47E0"/>
      <name val="Calibri"/>
      <family val="2"/>
      <scheme val="minor"/>
    </font>
    <font>
      <sz val="11"/>
      <color rgb="FF5AE028"/>
      <name val="Calibri"/>
      <family val="2"/>
      <scheme val="minor"/>
    </font>
    <font>
      <sz val="11"/>
      <color rgb="FFB73A80"/>
      <name val="Calibri"/>
      <family val="2"/>
      <scheme val="minor"/>
    </font>
    <font>
      <sz val="11"/>
      <color rgb="FF28C5E0"/>
      <name val="Calibri"/>
      <family val="2"/>
      <scheme val="minor"/>
    </font>
    <font>
      <sz val="11"/>
      <color rgb="FFE0CA47"/>
      <name val="Calibri"/>
      <family val="2"/>
      <scheme val="minor"/>
    </font>
    <font>
      <sz val="11"/>
      <color rgb="FF7521B7"/>
      <name val="Calibri"/>
      <family val="2"/>
      <scheme val="minor"/>
    </font>
    <font>
      <sz val="11"/>
      <color rgb="FF47E071"/>
      <name val="Calibri"/>
      <family val="2"/>
      <scheme val="minor"/>
    </font>
    <font>
      <sz val="11"/>
      <color rgb="FFE0282C"/>
      <name val="Calibri"/>
      <family val="2"/>
      <scheme val="minor"/>
    </font>
    <font>
      <sz val="11"/>
      <color rgb="FF3A61B7"/>
      <name val="Calibri"/>
      <family val="2"/>
      <scheme val="minor"/>
    </font>
    <font>
      <sz val="11"/>
      <color rgb="FF97E028"/>
      <name val="Calibri"/>
      <family val="2"/>
      <scheme val="minor"/>
    </font>
    <font>
      <sz val="11"/>
      <color rgb="FFE047D0"/>
      <name val="Calibri"/>
      <family val="2"/>
      <scheme val="minor"/>
    </font>
    <font>
      <sz val="11"/>
      <color rgb="FF21B79B"/>
      <name val="Calibri"/>
      <family val="2"/>
      <scheme val="minor"/>
    </font>
    <font>
      <sz val="11"/>
      <color rgb="FFE09747"/>
      <name val="Calibri"/>
      <family val="2"/>
      <scheme val="minor"/>
    </font>
    <font>
      <sz val="11"/>
      <color rgb="FF5228E0"/>
      <name val="Calibri"/>
      <family val="2"/>
      <scheme val="minor"/>
    </font>
    <font>
      <sz val="11"/>
      <color rgb="FF42B73A"/>
      <name val="Calibri"/>
      <family val="2"/>
      <scheme val="minor"/>
    </font>
    <font>
      <sz val="11"/>
      <color rgb="FFE02869"/>
      <name val="Calibri"/>
      <family val="2"/>
      <scheme val="minor"/>
    </font>
    <font>
      <sz val="11"/>
      <color rgb="FF47AAE0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A0B73A"/>
        <bgColor indexed="64"/>
      </patternFill>
    </fill>
    <fill>
      <patternFill patternType="solid">
        <fgColor rgb="FFCD28E0"/>
        <bgColor indexed="64"/>
      </patternFill>
    </fill>
    <fill>
      <patternFill patternType="solid">
        <fgColor rgb="FF47E0A4"/>
        <bgColor indexed="64"/>
      </patternFill>
    </fill>
    <fill>
      <patternFill patternType="solid">
        <fgColor rgb="FFB75021"/>
        <bgColor indexed="64"/>
      </patternFill>
    </fill>
    <fill>
      <patternFill patternType="solid">
        <fgColor rgb="FF4B47E0"/>
        <bgColor indexed="64"/>
      </patternFill>
    </fill>
    <fill>
      <patternFill patternType="solid">
        <fgColor rgb="FF5AE028"/>
        <bgColor indexed="64"/>
      </patternFill>
    </fill>
    <fill>
      <patternFill patternType="solid">
        <fgColor rgb="FFB73A80"/>
        <bgColor indexed="64"/>
      </patternFill>
    </fill>
    <fill>
      <patternFill patternType="solid">
        <fgColor rgb="FF28C5E0"/>
        <bgColor indexed="64"/>
      </patternFill>
    </fill>
    <fill>
      <patternFill patternType="solid">
        <fgColor rgb="FFE0CA47"/>
        <bgColor indexed="64"/>
      </patternFill>
    </fill>
    <fill>
      <patternFill patternType="solid">
        <fgColor rgb="FF7521B7"/>
        <bgColor indexed="64"/>
      </patternFill>
    </fill>
    <fill>
      <patternFill patternType="solid">
        <fgColor rgb="FF47E071"/>
        <bgColor indexed="64"/>
      </patternFill>
    </fill>
    <fill>
      <patternFill patternType="solid">
        <fgColor rgb="FFE0282C"/>
        <bgColor indexed="64"/>
      </patternFill>
    </fill>
    <fill>
      <patternFill patternType="solid">
        <fgColor rgb="FF3A61B7"/>
        <bgColor indexed="64"/>
      </patternFill>
    </fill>
    <fill>
      <patternFill patternType="solid">
        <fgColor rgb="FF97E028"/>
        <bgColor indexed="64"/>
      </patternFill>
    </fill>
    <fill>
      <patternFill patternType="solid">
        <fgColor rgb="FFE047D0"/>
        <bgColor indexed="64"/>
      </patternFill>
    </fill>
    <fill>
      <patternFill patternType="solid">
        <fgColor rgb="FF21B79B"/>
        <bgColor indexed="64"/>
      </patternFill>
    </fill>
    <fill>
      <patternFill patternType="solid">
        <fgColor rgb="FFE09747"/>
        <bgColor indexed="64"/>
      </patternFill>
    </fill>
    <fill>
      <patternFill patternType="solid">
        <fgColor rgb="FF5228E0"/>
        <bgColor indexed="64"/>
      </patternFill>
    </fill>
    <fill>
      <patternFill patternType="solid">
        <fgColor rgb="FF42B73A"/>
        <bgColor indexed="64"/>
      </patternFill>
    </fill>
    <fill>
      <patternFill patternType="solid">
        <fgColor rgb="FFE02869"/>
        <bgColor indexed="64"/>
      </patternFill>
    </fill>
    <fill>
      <patternFill patternType="solid">
        <fgColor rgb="FF47AAE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/>
    <xf numFmtId="0" fontId="3" fillId="4" borderId="1" xfId="0" applyFont="1" applyFill="1" applyBorder="1" applyAlignment="1">
      <alignment horizontal="center" vertical="center"/>
    </xf>
    <xf numFmtId="1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0" fontId="0" fillId="0" borderId="1" xfId="0" applyBorder="1" applyAlignment="1">
      <alignment horizontal="center"/>
    </xf>
    <xf numFmtId="166" fontId="0" fillId="0" borderId="0" xfId="0" applyNumberFormat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5" borderId="0" xfId="0" applyFont="1" applyFill="1"/>
    <xf numFmtId="0" fontId="5" fillId="6" borderId="0" xfId="0" applyFont="1" applyFill="1"/>
    <xf numFmtId="0" fontId="6" fillId="7" borderId="0" xfId="0" applyFont="1" applyFill="1"/>
    <xf numFmtId="0" fontId="7" fillId="8" borderId="0" xfId="0" applyFont="1" applyFill="1"/>
    <xf numFmtId="0" fontId="8" fillId="9" borderId="0" xfId="0" applyFont="1" applyFill="1"/>
    <xf numFmtId="0" fontId="9" fillId="10" borderId="0" xfId="0" applyFont="1" applyFill="1"/>
    <xf numFmtId="0" fontId="10" fillId="11" borderId="0" xfId="0" applyFont="1" applyFill="1"/>
    <xf numFmtId="0" fontId="11" fillId="12" borderId="0" xfId="0" applyFont="1" applyFill="1"/>
    <xf numFmtId="0" fontId="12" fillId="13" borderId="0" xfId="0" applyFont="1" applyFill="1"/>
    <xf numFmtId="0" fontId="13" fillId="14" borderId="0" xfId="0" applyFont="1" applyFill="1"/>
    <xf numFmtId="0" fontId="14" fillId="15" borderId="0" xfId="0" applyFont="1" applyFill="1"/>
    <xf numFmtId="0" fontId="15" fillId="16" borderId="0" xfId="0" applyFont="1" applyFill="1"/>
    <xf numFmtId="0" fontId="16" fillId="17" borderId="0" xfId="0" applyFont="1" applyFill="1"/>
    <xf numFmtId="0" fontId="17" fillId="18" borderId="0" xfId="0" applyFont="1" applyFill="1"/>
    <xf numFmtId="0" fontId="18" fillId="19" borderId="0" xfId="0" applyFont="1" applyFill="1"/>
    <xf numFmtId="0" fontId="19" fillId="20" borderId="0" xfId="0" applyFont="1" applyFill="1"/>
    <xf numFmtId="0" fontId="20" fillId="21" borderId="0" xfId="0" applyFont="1" applyFill="1"/>
    <xf numFmtId="0" fontId="21" fillId="22" borderId="0" xfId="0" applyFont="1" applyFill="1"/>
    <xf numFmtId="0" fontId="22" fillId="23" borderId="0" xfId="0" applyFont="1" applyFill="1"/>
    <xf numFmtId="0" fontId="23" fillId="24" borderId="0" xfId="0" applyFont="1" applyFill="1"/>
    <xf numFmtId="0" fontId="24" fillId="2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Relationship Id="rId27" Type="http://schemas.microsoft.com/office/2022/11/relationships/FeaturePropertyBag" Target="featurePropertyBag/featurePropertyBag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Lap Time Progress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'Race Progress'!$F$3</c:f>
              <c:strCache>
                <c:ptCount val="1"/>
                <c:pt idx="0">
                  <c:v>Marco BEZZECCHI</c:v>
                </c:pt>
              </c:strCache>
            </c:strRef>
          </c:tx>
          <c:spPr>
            <a:ln w="25400">
              <a:solidFill>
                <a:srgbClr val="A0B73A"/>
              </a:solidFill>
            </a:ln>
          </c:spPr>
          <c:marker>
            <c:symbol val="none"/>
          </c:marker>
          <c:cat>
            <c:numRef>
              <c:f>'Race Progress'!$E$4:$E$23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'Race Progress'!$F$4:$F$23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ser>
          <c:idx val="1"/>
          <c:order val="1"/>
          <c:tx>
            <c:strRef>
              <c:f>'Race Progress'!$G$3</c:f>
              <c:strCache>
                <c:ptCount val="1"/>
                <c:pt idx="0">
                  <c:v>Jorge MARTIN</c:v>
                </c:pt>
              </c:strCache>
            </c:strRef>
          </c:tx>
          <c:spPr>
            <a:ln w="25400">
              <a:solidFill>
                <a:srgbClr val="CD28E0"/>
              </a:solidFill>
            </a:ln>
          </c:spPr>
          <c:marker>
            <c:symbol val="none"/>
          </c:marker>
          <c:cat>
            <c:numRef>
              <c:f>'Race Progress'!$E$4:$E$23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'Race Progress'!$G$4:$G$23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ser>
          <c:idx val="2"/>
          <c:order val="2"/>
          <c:tx>
            <c:strRef>
              <c:f>'Race Progress'!$H$3</c:f>
              <c:strCache>
                <c:ptCount val="1"/>
                <c:pt idx="0">
                  <c:v>Pedro ACOSTA</c:v>
                </c:pt>
              </c:strCache>
            </c:strRef>
          </c:tx>
          <c:spPr>
            <a:ln w="25400">
              <a:solidFill>
                <a:srgbClr val="47E0A4"/>
              </a:solidFill>
            </a:ln>
          </c:spPr>
          <c:marker>
            <c:symbol val="none"/>
          </c:marker>
          <c:cat>
            <c:numRef>
              <c:f>'Race Progress'!$E$4:$E$23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'Race Progress'!$H$4:$H$23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ser>
          <c:idx val="3"/>
          <c:order val="3"/>
          <c:tx>
            <c:strRef>
              <c:f>'Race Progress'!$I$3</c:f>
              <c:strCache>
                <c:ptCount val="1"/>
                <c:pt idx="0">
                  <c:v>Fabio DI GIANNANTONIO</c:v>
                </c:pt>
              </c:strCache>
            </c:strRef>
          </c:tx>
          <c:spPr>
            <a:ln w="25400">
              <a:solidFill>
                <a:srgbClr val="B75021"/>
              </a:solidFill>
            </a:ln>
          </c:spPr>
          <c:marker>
            <c:symbol val="none"/>
          </c:marker>
          <c:cat>
            <c:numRef>
              <c:f>'Race Progress'!$E$4:$E$23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'Race Progress'!$I$4:$I$23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ser>
          <c:idx val="4"/>
          <c:order val="4"/>
          <c:tx>
            <c:strRef>
              <c:f>'Race Progress'!$J$3</c:f>
              <c:strCache>
                <c:ptCount val="1"/>
                <c:pt idx="0">
                  <c:v>Marc MARQUEZ</c:v>
                </c:pt>
              </c:strCache>
            </c:strRef>
          </c:tx>
          <c:spPr>
            <a:ln w="25400">
              <a:solidFill>
                <a:srgbClr val="4B47E0"/>
              </a:solidFill>
            </a:ln>
          </c:spPr>
          <c:marker>
            <c:symbol val="none"/>
          </c:marker>
          <c:cat>
            <c:numRef>
              <c:f>'Race Progress'!$E$4:$E$23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'Race Progress'!$J$4:$J$23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ser>
          <c:idx val="5"/>
          <c:order val="5"/>
          <c:tx>
            <c:strRef>
              <c:f>'Race Progress'!$K$3</c:f>
              <c:strCache>
                <c:ptCount val="1"/>
                <c:pt idx="0">
                  <c:v>Enea BASTIANINI</c:v>
                </c:pt>
              </c:strCache>
            </c:strRef>
          </c:tx>
          <c:spPr>
            <a:ln w="25400">
              <a:solidFill>
                <a:srgbClr val="5AE028"/>
              </a:solidFill>
            </a:ln>
          </c:spPr>
          <c:marker>
            <c:symbol val="none"/>
          </c:marker>
          <c:cat>
            <c:numRef>
              <c:f>'Race Progress'!$E$4:$E$23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'Race Progress'!$K$4:$K$23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ser>
          <c:idx val="6"/>
          <c:order val="6"/>
          <c:tx>
            <c:strRef>
              <c:f>'Race Progress'!$L$3</c:f>
              <c:strCache>
                <c:ptCount val="1"/>
                <c:pt idx="0">
                  <c:v>Alex MARQUEZ</c:v>
                </c:pt>
              </c:strCache>
            </c:strRef>
          </c:tx>
          <c:spPr>
            <a:ln w="25400">
              <a:solidFill>
                <a:srgbClr val="B73A80"/>
              </a:solidFill>
            </a:ln>
          </c:spPr>
          <c:marker>
            <c:symbol val="none"/>
          </c:marker>
          <c:cat>
            <c:numRef>
              <c:f>'Race Progress'!$E$4:$E$23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'Race Progress'!$L$4:$L$23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ser>
          <c:idx val="7"/>
          <c:order val="7"/>
          <c:tx>
            <c:strRef>
              <c:f>'Race Progress'!$M$3</c:f>
              <c:strCache>
                <c:ptCount val="1"/>
                <c:pt idx="0">
                  <c:v>Raul FERNANDEZ</c:v>
                </c:pt>
              </c:strCache>
            </c:strRef>
          </c:tx>
          <c:spPr>
            <a:ln w="25400">
              <a:solidFill>
                <a:srgbClr val="28C5E0"/>
              </a:solidFill>
            </a:ln>
          </c:spPr>
          <c:marker>
            <c:symbol val="none"/>
          </c:marker>
          <c:cat>
            <c:numRef>
              <c:f>'Race Progress'!$E$4:$E$23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'Race Progress'!$M$4:$M$23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ser>
          <c:idx val="8"/>
          <c:order val="8"/>
          <c:tx>
            <c:strRef>
              <c:f>'Race Progress'!$N$3</c:f>
              <c:strCache>
                <c:ptCount val="1"/>
                <c:pt idx="0">
                  <c:v>Luca MARINI</c:v>
                </c:pt>
              </c:strCache>
            </c:strRef>
          </c:tx>
          <c:spPr>
            <a:ln w="25400">
              <a:solidFill>
                <a:srgbClr val="E0CA47"/>
              </a:solidFill>
            </a:ln>
          </c:spPr>
          <c:marker>
            <c:symbol val="none"/>
          </c:marker>
          <c:cat>
            <c:numRef>
              <c:f>'Race Progress'!$E$4:$E$23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'Race Progress'!$N$4:$N$23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ser>
          <c:idx val="9"/>
          <c:order val="9"/>
          <c:tx>
            <c:strRef>
              <c:f>'Race Progress'!$O$3</c:f>
              <c:strCache>
                <c:ptCount val="1"/>
                <c:pt idx="0">
                  <c:v>Francesco BAGNAIA</c:v>
                </c:pt>
              </c:strCache>
            </c:strRef>
          </c:tx>
          <c:spPr>
            <a:ln w="25400">
              <a:solidFill>
                <a:srgbClr val="7521B7"/>
              </a:solidFill>
            </a:ln>
          </c:spPr>
          <c:marker>
            <c:symbol val="none"/>
          </c:marker>
          <c:cat>
            <c:numRef>
              <c:f>'Race Progress'!$E$4:$E$23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'Race Progress'!$O$4:$O$23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ser>
          <c:idx val="10"/>
          <c:order val="10"/>
          <c:tx>
            <c:strRef>
              <c:f>'Race Progress'!$P$3</c:f>
              <c:strCache>
                <c:ptCount val="1"/>
                <c:pt idx="0">
                  <c:v>Fermin ALDEGUER</c:v>
                </c:pt>
              </c:strCache>
            </c:strRef>
          </c:tx>
          <c:spPr>
            <a:ln w="25400">
              <a:solidFill>
                <a:srgbClr val="47E071"/>
              </a:solidFill>
            </a:ln>
          </c:spPr>
          <c:marker>
            <c:symbol val="none"/>
          </c:marker>
          <c:cat>
            <c:numRef>
              <c:f>'Race Progress'!$E$4:$E$23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'Race Progress'!$P$4:$P$23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ser>
          <c:idx val="11"/>
          <c:order val="11"/>
          <c:tx>
            <c:strRef>
              <c:f>'Race Progress'!$Q$3</c:f>
              <c:strCache>
                <c:ptCount val="1"/>
                <c:pt idx="0">
                  <c:v>Brad BINDER</c:v>
                </c:pt>
              </c:strCache>
            </c:strRef>
          </c:tx>
          <c:spPr>
            <a:ln w="25400">
              <a:solidFill>
                <a:srgbClr val="E0282C"/>
              </a:solidFill>
            </a:ln>
          </c:spPr>
          <c:marker>
            <c:symbol val="none"/>
          </c:marker>
          <c:cat>
            <c:numRef>
              <c:f>'Race Progress'!$E$4:$E$23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'Race Progress'!$Q$4:$Q$23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ser>
          <c:idx val="12"/>
          <c:order val="12"/>
          <c:tx>
            <c:strRef>
              <c:f>'Race Progress'!$R$3</c:f>
              <c:strCache>
                <c:ptCount val="1"/>
                <c:pt idx="0">
                  <c:v>Diogo MOREIRA</c:v>
                </c:pt>
              </c:strCache>
            </c:strRef>
          </c:tx>
          <c:spPr>
            <a:ln w="25400">
              <a:solidFill>
                <a:srgbClr val="3A61B7"/>
              </a:solidFill>
            </a:ln>
          </c:spPr>
          <c:marker>
            <c:symbol val="none"/>
          </c:marker>
          <c:cat>
            <c:numRef>
              <c:f>'Race Progress'!$E$4:$E$23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'Race Progress'!$R$4:$R$23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ser>
          <c:idx val="13"/>
          <c:order val="13"/>
          <c:tx>
            <c:strRef>
              <c:f>'Race Progress'!$S$3</c:f>
              <c:strCache>
                <c:ptCount val="1"/>
                <c:pt idx="0">
                  <c:v>Franco MORBIDELLI</c:v>
                </c:pt>
              </c:strCache>
            </c:strRef>
          </c:tx>
          <c:spPr>
            <a:ln w="25400">
              <a:solidFill>
                <a:srgbClr val="97E028"/>
              </a:solidFill>
            </a:ln>
          </c:spPr>
          <c:marker>
            <c:symbol val="none"/>
          </c:marker>
          <c:cat>
            <c:numRef>
              <c:f>'Race Progress'!$E$4:$E$23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'Race Progress'!$S$4:$S$23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ser>
          <c:idx val="14"/>
          <c:order val="14"/>
          <c:tx>
            <c:strRef>
              <c:f>'Race Progress'!$T$3</c:f>
              <c:strCache>
                <c:ptCount val="1"/>
                <c:pt idx="0">
                  <c:v>Toprak RAZGATLIOGLU</c:v>
                </c:pt>
              </c:strCache>
            </c:strRef>
          </c:tx>
          <c:spPr>
            <a:ln w="25400">
              <a:solidFill>
                <a:srgbClr val="E047D0"/>
              </a:solidFill>
            </a:ln>
          </c:spPr>
          <c:marker>
            <c:symbol val="none"/>
          </c:marker>
          <c:cat>
            <c:numRef>
              <c:f>'Race Progress'!$E$4:$E$23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'Race Progress'!$T$4:$T$23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ser>
          <c:idx val="15"/>
          <c:order val="15"/>
          <c:tx>
            <c:strRef>
              <c:f>'Race Progress'!$U$3</c:f>
              <c:strCache>
                <c:ptCount val="1"/>
                <c:pt idx="0">
                  <c:v>Jack MILLER</c:v>
                </c:pt>
              </c:strCache>
            </c:strRef>
          </c:tx>
          <c:spPr>
            <a:ln w="25400">
              <a:solidFill>
                <a:srgbClr val="21B79B"/>
              </a:solidFill>
            </a:ln>
          </c:spPr>
          <c:marker>
            <c:symbol val="none"/>
          </c:marker>
          <c:cat>
            <c:numRef>
              <c:f>'Race Progress'!$E$4:$E$23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'Race Progress'!$U$4:$U$23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ser>
          <c:idx val="16"/>
          <c:order val="16"/>
          <c:tx>
            <c:strRef>
              <c:f>'Race Progress'!$V$3</c:f>
              <c:strCache>
                <c:ptCount val="1"/>
                <c:pt idx="0">
                  <c:v>Fabio QUARTARARO</c:v>
                </c:pt>
              </c:strCache>
            </c:strRef>
          </c:tx>
          <c:spPr>
            <a:ln w="25400">
              <a:solidFill>
                <a:srgbClr val="E09747"/>
              </a:solidFill>
            </a:ln>
          </c:spPr>
          <c:marker>
            <c:symbol val="none"/>
          </c:marker>
          <c:cat>
            <c:numRef>
              <c:f>'Race Progress'!$E$4:$E$23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'Race Progress'!$V$4:$V$23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ser>
          <c:idx val="17"/>
          <c:order val="17"/>
          <c:tx>
            <c:strRef>
              <c:f>'Race Progress'!$W$3</c:f>
              <c:strCache>
                <c:ptCount val="1"/>
                <c:pt idx="0">
                  <c:v>Alex RINS</c:v>
                </c:pt>
              </c:strCache>
            </c:strRef>
          </c:tx>
          <c:spPr>
            <a:ln w="25400">
              <a:solidFill>
                <a:srgbClr val="5228E0"/>
              </a:solidFill>
            </a:ln>
          </c:spPr>
          <c:marker>
            <c:symbol val="none"/>
          </c:marker>
          <c:cat>
            <c:numRef>
              <c:f>'Race Progress'!$E$4:$E$23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'Race Progress'!$W$4:$W$23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ser>
          <c:idx val="18"/>
          <c:order val="18"/>
          <c:tx>
            <c:strRef>
              <c:f>'Race Progress'!$X$3</c:f>
              <c:strCache>
                <c:ptCount val="1"/>
                <c:pt idx="0">
                  <c:v>Johann ZARCO</c:v>
                </c:pt>
              </c:strCache>
            </c:strRef>
          </c:tx>
          <c:spPr>
            <a:ln w="25400">
              <a:solidFill>
                <a:srgbClr val="42B73A"/>
              </a:solidFill>
            </a:ln>
          </c:spPr>
          <c:marker>
            <c:symbol val="none"/>
          </c:marker>
          <c:cat>
            <c:numRef>
              <c:f>'Race Progress'!$E$4:$E$23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'Race Progress'!$X$4:$X$23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ser>
          <c:idx val="19"/>
          <c:order val="19"/>
          <c:tx>
            <c:strRef>
              <c:f>'Race Progress'!$Y$3</c:f>
              <c:strCache>
                <c:ptCount val="1"/>
                <c:pt idx="0">
                  <c:v>Ai OGURA</c:v>
                </c:pt>
              </c:strCache>
            </c:strRef>
          </c:tx>
          <c:spPr>
            <a:ln w="25400">
              <a:solidFill>
                <a:srgbClr val="E02869"/>
              </a:solidFill>
            </a:ln>
          </c:spPr>
          <c:marker>
            <c:symbol val="none"/>
          </c:marker>
          <c:cat>
            <c:numRef>
              <c:f>'Race Progress'!$E$4:$E$23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'Race Progress'!$Y$4:$Y$23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ser>
          <c:idx val="20"/>
          <c:order val="20"/>
          <c:tx>
            <c:strRef>
              <c:f>'Race Progress'!$Z$3</c:f>
              <c:strCache>
                <c:ptCount val="1"/>
                <c:pt idx="0">
                  <c:v>Joan MIR</c:v>
                </c:pt>
              </c:strCache>
            </c:strRef>
          </c:tx>
          <c:spPr>
            <a:ln w="25400">
              <a:solidFill>
                <a:srgbClr val="47AAE0"/>
              </a:solidFill>
            </a:ln>
          </c:spPr>
          <c:marker>
            <c:symbol val="none"/>
          </c:marker>
          <c:cat>
            <c:numRef>
              <c:f>'Race Progress'!$E$4:$E$23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'Race Progress'!$Z$4:$Z$23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Lap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Lap Time</a:t>
                </a:r>
              </a:p>
            </c:rich>
          </c:tx>
          <c:layout/>
        </c:title>
        <c:numFmt formatCode="m:ss.000" sourceLinked="0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31</xdr:row>
      <xdr:rowOff>0</xdr:rowOff>
    </xdr:from>
    <xdr:to>
      <xdr:col>11</xdr:col>
      <xdr:colOff>0</xdr:colOff>
      <xdr:row>63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id="1" name="RaceData" displayName="RaceData" ref="A1:T399" totalsRowShown="0">
  <autoFilter ref="A1:T399"/>
  <tableColumns count="20">
    <tableColumn id="1" name="Rider"/>
    <tableColumn id="2" name="Number"/>
    <tableColumn id="3" name="Position"/>
    <tableColumn id="4" name="Team"/>
    <tableColumn id="5" name="Manufacturer"/>
    <tableColumn id="6" name="Nationality"/>
    <tableColumn id="7" name="Total Laps"/>
    <tableColumn id="8" name="Valid Laps"/>
    <tableColumn id="9" name="Lap"/>
    <tableColumn id="10" name="Lap Time"/>
    <tableColumn id="11" name="Lap Seconds"/>
    <tableColumn id="12" name="T1"/>
    <tableColumn id="13" name="T2"/>
    <tableColumn id="14" name="T3"/>
    <tableColumn id="15" name="T4"/>
    <tableColumn id="16" name="Speed km/h"/>
    <tableColumn id="17" name="Cumulative Seconds"/>
    <tableColumn id="18" name="Cancelled"/>
    <tableColumn id="19" name="Pit Lane"/>
    <tableColumn id="20" name="Partial Tim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5"/>
  <sheetViews>
    <sheetView tabSelected="1"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>
        <v>20</v>
      </c>
      <c r="I3" s="2" t="s">
        <v>8</v>
      </c>
      <c r="J3" s="2">
        <v>19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25</v>
      </c>
      <c r="C6" s="6">
        <v>123.203</v>
      </c>
      <c r="D6" s="6">
        <v>34.609</v>
      </c>
      <c r="E6" s="6">
        <v>30.024</v>
      </c>
      <c r="F6" s="6">
        <v>34.247</v>
      </c>
      <c r="G6" s="6">
        <v>24.323</v>
      </c>
      <c r="H6" s="7">
        <v>332.7</v>
      </c>
      <c r="I6" s="6">
        <v>123.203</v>
      </c>
      <c r="J6" s="8">
        <v>0.001425960648148148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26</v>
      </c>
      <c r="C7" s="6">
        <v>122.426</v>
      </c>
      <c r="D7" s="6">
        <v>34.401</v>
      </c>
      <c r="E7" s="6">
        <v>29.604</v>
      </c>
      <c r="F7" s="6">
        <v>34.103</v>
      </c>
      <c r="G7" s="6">
        <v>24.318</v>
      </c>
      <c r="H7" s="7">
        <v>335.9</v>
      </c>
      <c r="I7" s="6">
        <v>245.629</v>
      </c>
      <c r="J7" s="8">
        <v>0.001416967592592593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27</v>
      </c>
      <c r="C8" s="6">
        <v>122.324</v>
      </c>
      <c r="D8" s="6">
        <v>34.472</v>
      </c>
      <c r="E8" s="6">
        <v>29.577</v>
      </c>
      <c r="F8" s="6">
        <v>33.992</v>
      </c>
      <c r="G8" s="6">
        <v>24.283</v>
      </c>
      <c r="H8" s="7">
        <v>335.9</v>
      </c>
      <c r="I8" s="6">
        <v>367.953</v>
      </c>
      <c r="J8" s="8">
        <v>0.001415787037037037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28</v>
      </c>
      <c r="C9" s="6">
        <v>122.36</v>
      </c>
      <c r="D9" s="6">
        <v>34.488</v>
      </c>
      <c r="E9" s="6">
        <v>29.473</v>
      </c>
      <c r="F9" s="6">
        <v>34.067</v>
      </c>
      <c r="G9" s="6">
        <v>24.332</v>
      </c>
      <c r="H9" s="7">
        <v>336.9</v>
      </c>
      <c r="I9" s="6">
        <v>490.313</v>
      </c>
      <c r="J9" s="8">
        <v>0.001416203703703704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29</v>
      </c>
      <c r="C10" s="6">
        <v>122.157</v>
      </c>
      <c r="D10" s="6">
        <v>34.303</v>
      </c>
      <c r="E10" s="6">
        <v>29.467</v>
      </c>
      <c r="F10" s="6">
        <v>33.973</v>
      </c>
      <c r="G10" s="6">
        <v>24.414</v>
      </c>
      <c r="H10" s="7">
        <v>338</v>
      </c>
      <c r="I10" s="6">
        <v>612.47</v>
      </c>
      <c r="J10" s="8">
        <v>0.001413854166666667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30</v>
      </c>
      <c r="C11" s="6">
        <v>122.114</v>
      </c>
      <c r="D11" s="6">
        <v>34.407</v>
      </c>
      <c r="E11" s="6">
        <v>29.468</v>
      </c>
      <c r="F11" s="6">
        <v>33.909</v>
      </c>
      <c r="G11" s="6">
        <v>24.33</v>
      </c>
      <c r="H11" s="7">
        <v>339.1</v>
      </c>
      <c r="I11" s="6">
        <v>734.5839999999999</v>
      </c>
      <c r="J11" s="8">
        <v>0.001413356481481482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31</v>
      </c>
      <c r="C12" s="6">
        <v>122.295</v>
      </c>
      <c r="D12" s="6">
        <v>34.371</v>
      </c>
      <c r="E12" s="6">
        <v>29.549</v>
      </c>
      <c r="F12" s="6">
        <v>33.88</v>
      </c>
      <c r="G12" s="6">
        <v>24.495</v>
      </c>
      <c r="H12" s="7">
        <v>340.2</v>
      </c>
      <c r="I12" s="6">
        <v>856.879</v>
      </c>
      <c r="J12" s="8">
        <v>0.001415451388888889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32</v>
      </c>
      <c r="C13" s="6">
        <v>122.633</v>
      </c>
      <c r="D13" s="6">
        <v>34.572</v>
      </c>
      <c r="E13" s="6">
        <v>29.61</v>
      </c>
      <c r="F13" s="6">
        <v>33.92</v>
      </c>
      <c r="G13" s="6">
        <v>24.531</v>
      </c>
      <c r="H13" s="7">
        <v>340.2</v>
      </c>
      <c r="I13" s="6">
        <v>979.5119999999999</v>
      </c>
      <c r="J13" s="8">
        <v>0.001419363425925926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33</v>
      </c>
      <c r="C14" s="6">
        <v>122.718</v>
      </c>
      <c r="D14" s="6">
        <v>34.62</v>
      </c>
      <c r="E14" s="6">
        <v>29.732</v>
      </c>
      <c r="F14" s="6">
        <v>33.936</v>
      </c>
      <c r="G14" s="6">
        <v>24.43</v>
      </c>
      <c r="H14" s="7">
        <v>340.2</v>
      </c>
      <c r="I14" s="6">
        <v>1102.23</v>
      </c>
      <c r="J14" s="8">
        <v>0.001420347222222222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34</v>
      </c>
      <c r="C15" s="6">
        <v>122.115</v>
      </c>
      <c r="D15" s="6">
        <v>34.272</v>
      </c>
      <c r="E15" s="6">
        <v>29.582</v>
      </c>
      <c r="F15" s="6">
        <v>33.888</v>
      </c>
      <c r="G15" s="6">
        <v>24.373</v>
      </c>
      <c r="H15" s="7">
        <v>340.2</v>
      </c>
      <c r="I15" s="6">
        <v>1224.345</v>
      </c>
      <c r="J15" s="8">
        <v>0.001413368055555556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35</v>
      </c>
      <c r="C16" s="6">
        <v>122.47</v>
      </c>
      <c r="D16" s="6">
        <v>34.481</v>
      </c>
      <c r="E16" s="6">
        <v>29.53</v>
      </c>
      <c r="F16" s="6">
        <v>34.053</v>
      </c>
      <c r="G16" s="6">
        <v>24.406</v>
      </c>
      <c r="H16" s="7">
        <v>339.1</v>
      </c>
      <c r="I16" s="6">
        <v>1346.815</v>
      </c>
      <c r="J16" s="8">
        <v>0.001417476851851852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36</v>
      </c>
      <c r="C17" s="6">
        <v>122.44</v>
      </c>
      <c r="D17" s="6">
        <v>34.414</v>
      </c>
      <c r="E17" s="6">
        <v>29.652</v>
      </c>
      <c r="F17" s="6">
        <v>33.951</v>
      </c>
      <c r="G17" s="6">
        <v>24.423</v>
      </c>
      <c r="H17" s="7">
        <v>340.2</v>
      </c>
      <c r="I17" s="6">
        <v>1469.255</v>
      </c>
      <c r="J17" s="8">
        <v>0.00141712962962963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37</v>
      </c>
      <c r="C18" s="6">
        <v>122.777</v>
      </c>
      <c r="D18" s="6">
        <v>34.547</v>
      </c>
      <c r="E18" s="6">
        <v>29.647</v>
      </c>
      <c r="F18" s="6">
        <v>34.057</v>
      </c>
      <c r="G18" s="6">
        <v>24.526</v>
      </c>
      <c r="H18" s="7">
        <v>339.1</v>
      </c>
      <c r="I18" s="6">
        <v>1592.032</v>
      </c>
      <c r="J18" s="8">
        <v>0.001421030092592593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38</v>
      </c>
      <c r="C19" s="6">
        <v>122.669</v>
      </c>
      <c r="D19" s="6">
        <v>34.447</v>
      </c>
      <c r="E19" s="6">
        <v>29.703</v>
      </c>
      <c r="F19" s="6">
        <v>34.068</v>
      </c>
      <c r="G19" s="6">
        <v>24.451</v>
      </c>
      <c r="H19" s="7">
        <v>338</v>
      </c>
      <c r="I19" s="6">
        <v>1714.701</v>
      </c>
      <c r="J19" s="8">
        <v>0.001419780092592592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39</v>
      </c>
      <c r="C20" s="6">
        <v>122.826</v>
      </c>
      <c r="D20" s="6">
        <v>34.516</v>
      </c>
      <c r="E20" s="6">
        <v>29.764</v>
      </c>
      <c r="F20" s="6">
        <v>34.157</v>
      </c>
      <c r="G20" s="6">
        <v>24.389</v>
      </c>
      <c r="H20" s="7">
        <v>336.9</v>
      </c>
      <c r="I20" s="6">
        <v>1837.527</v>
      </c>
      <c r="J20" s="8">
        <v>0.001421597222222222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40</v>
      </c>
      <c r="C21" s="6">
        <v>122.414</v>
      </c>
      <c r="D21" s="6">
        <v>34.414</v>
      </c>
      <c r="E21" s="6">
        <v>29.642</v>
      </c>
      <c r="F21" s="6">
        <v>33.99</v>
      </c>
      <c r="G21" s="6">
        <v>24.368</v>
      </c>
      <c r="H21" s="7">
        <v>336.9</v>
      </c>
      <c r="I21" s="6">
        <v>1959.941</v>
      </c>
      <c r="J21" s="8">
        <v>0.001416828703703704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41</v>
      </c>
      <c r="C22" s="6">
        <v>122.582</v>
      </c>
      <c r="D22" s="6">
        <v>34.622</v>
      </c>
      <c r="E22" s="6">
        <v>29.646</v>
      </c>
      <c r="F22" s="6">
        <v>33.919</v>
      </c>
      <c r="G22" s="6">
        <v>24.395</v>
      </c>
      <c r="H22" s="7">
        <v>338</v>
      </c>
      <c r="I22" s="6">
        <v>2082.523</v>
      </c>
      <c r="J22" s="8">
        <v>0.001418773148148148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42</v>
      </c>
      <c r="C23" s="6">
        <v>122.786</v>
      </c>
      <c r="D23" s="6">
        <v>34.481</v>
      </c>
      <c r="E23" s="6">
        <v>29.706</v>
      </c>
      <c r="F23" s="6">
        <v>34.098</v>
      </c>
      <c r="G23" s="6">
        <v>24.501</v>
      </c>
      <c r="H23" s="7">
        <v>339.1</v>
      </c>
      <c r="I23" s="6">
        <v>2205.309</v>
      </c>
      <c r="J23" s="8">
        <v>0.001421134259259259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43</v>
      </c>
      <c r="C24" s="6">
        <v>122.445</v>
      </c>
      <c r="D24" s="6">
        <v>34.347</v>
      </c>
      <c r="E24" s="6">
        <v>29.615</v>
      </c>
      <c r="F24" s="6">
        <v>33.972</v>
      </c>
      <c r="G24" s="6">
        <v>24.511</v>
      </c>
      <c r="H24" s="7">
        <v>340.2</v>
      </c>
      <c r="I24" s="6">
        <v>2327.754</v>
      </c>
      <c r="J24" s="8">
        <v>0.0014171875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44</v>
      </c>
      <c r="C25" s="6">
        <v>122.899</v>
      </c>
      <c r="D25" s="6">
        <v>34.578</v>
      </c>
      <c r="E25" s="6">
        <v>29.626</v>
      </c>
      <c r="F25" s="6">
        <v>34.106</v>
      </c>
      <c r="G25" s="6">
        <v>24.589</v>
      </c>
      <c r="H25" s="7">
        <v>340.2</v>
      </c>
      <c r="I25" s="6">
        <v>2450.653</v>
      </c>
      <c r="J25" s="8">
        <v>0.00142244212962963</v>
      </c>
      <c r="K25" s="9" t="b">
        <v>0</v>
      </c>
      <c r="L25" s="9" t="b">
        <v>0</v>
      </c>
      <c r="M25" s="9" t="b">
        <v>0</v>
      </c>
    </row>
  </sheetData>
  <autoFilter ref="A5:M25"/>
  <mergeCells count="1">
    <mergeCell ref="A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45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46</v>
      </c>
      <c r="G3" s="2" t="s">
        <v>7</v>
      </c>
      <c r="H3" s="2">
        <v>20</v>
      </c>
      <c r="I3" s="2" t="s">
        <v>8</v>
      </c>
      <c r="J3" s="2">
        <v>19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47</v>
      </c>
      <c r="C6" s="6">
        <v>123.611</v>
      </c>
      <c r="D6" s="6">
        <v>35.001</v>
      </c>
      <c r="E6" s="6">
        <v>30.014</v>
      </c>
      <c r="F6" s="6">
        <v>34.265</v>
      </c>
      <c r="G6" s="6">
        <v>24.331</v>
      </c>
      <c r="H6" s="7">
        <v>339.1</v>
      </c>
      <c r="I6" s="6">
        <v>123.611</v>
      </c>
      <c r="J6" s="8">
        <v>0.00143068287037037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48</v>
      </c>
      <c r="C7" s="6">
        <v>122.459</v>
      </c>
      <c r="D7" s="6">
        <v>34.449</v>
      </c>
      <c r="E7" s="6">
        <v>29.441</v>
      </c>
      <c r="F7" s="6">
        <v>34.18</v>
      </c>
      <c r="G7" s="6">
        <v>24.389</v>
      </c>
      <c r="H7" s="7">
        <v>340.2</v>
      </c>
      <c r="I7" s="6">
        <v>246.07</v>
      </c>
      <c r="J7" s="8">
        <v>0.001417349537037037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49</v>
      </c>
      <c r="C8" s="6">
        <v>122.408</v>
      </c>
      <c r="D8" s="6">
        <v>34.579</v>
      </c>
      <c r="E8" s="6">
        <v>29.465</v>
      </c>
      <c r="F8" s="6">
        <v>34.027</v>
      </c>
      <c r="G8" s="6">
        <v>24.337</v>
      </c>
      <c r="H8" s="7">
        <v>339.1</v>
      </c>
      <c r="I8" s="6">
        <v>368.478</v>
      </c>
      <c r="J8" s="8">
        <v>0.001416759259259259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50</v>
      </c>
      <c r="C9" s="6">
        <v>122.256</v>
      </c>
      <c r="D9" s="6">
        <v>34.427</v>
      </c>
      <c r="E9" s="6">
        <v>29.4</v>
      </c>
      <c r="F9" s="6">
        <v>34.032</v>
      </c>
      <c r="G9" s="6">
        <v>24.397</v>
      </c>
      <c r="H9" s="7">
        <v>340.2</v>
      </c>
      <c r="I9" s="6">
        <v>490.734</v>
      </c>
      <c r="J9" s="8">
        <v>0.001415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51</v>
      </c>
      <c r="C10" s="6">
        <v>122.564</v>
      </c>
      <c r="D10" s="6">
        <v>34.58</v>
      </c>
      <c r="E10" s="6">
        <v>29.416</v>
      </c>
      <c r="F10" s="6">
        <v>34.16</v>
      </c>
      <c r="G10" s="6">
        <v>24.408</v>
      </c>
      <c r="H10" s="7">
        <v>339.1</v>
      </c>
      <c r="I10" s="6">
        <v>613.298</v>
      </c>
      <c r="J10" s="8">
        <v>0.001418564814814815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52</v>
      </c>
      <c r="C11" s="6">
        <v>122.433</v>
      </c>
      <c r="D11" s="6">
        <v>34.518</v>
      </c>
      <c r="E11" s="6">
        <v>29.664</v>
      </c>
      <c r="F11" s="6">
        <v>33.961</v>
      </c>
      <c r="G11" s="6">
        <v>24.29</v>
      </c>
      <c r="H11" s="7">
        <v>340.2</v>
      </c>
      <c r="I11" s="6">
        <v>735.731</v>
      </c>
      <c r="J11" s="8">
        <v>0.001417048611111111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53</v>
      </c>
      <c r="C12" s="6">
        <v>123.313</v>
      </c>
      <c r="D12" s="6">
        <v>35.316</v>
      </c>
      <c r="E12" s="6">
        <v>29.582</v>
      </c>
      <c r="F12" s="6">
        <v>33.95</v>
      </c>
      <c r="G12" s="6">
        <v>24.465</v>
      </c>
      <c r="H12" s="7">
        <v>339.1</v>
      </c>
      <c r="I12" s="6">
        <v>859.044</v>
      </c>
      <c r="J12" s="8">
        <v>0.001427233796296296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54</v>
      </c>
      <c r="C13" s="6">
        <v>122.335</v>
      </c>
      <c r="D13" s="6">
        <v>34.425</v>
      </c>
      <c r="E13" s="6">
        <v>29.505</v>
      </c>
      <c r="F13" s="6">
        <v>33.948</v>
      </c>
      <c r="G13" s="6">
        <v>24.457</v>
      </c>
      <c r="H13" s="7">
        <v>339.1</v>
      </c>
      <c r="I13" s="6">
        <v>981.379</v>
      </c>
      <c r="J13" s="8">
        <v>0.001415914351851852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55</v>
      </c>
      <c r="C14" s="6">
        <v>122.386</v>
      </c>
      <c r="D14" s="6">
        <v>34.575</v>
      </c>
      <c r="E14" s="6">
        <v>29.401</v>
      </c>
      <c r="F14" s="6">
        <v>34.021</v>
      </c>
      <c r="G14" s="6">
        <v>24.389</v>
      </c>
      <c r="H14" s="7">
        <v>339.1</v>
      </c>
      <c r="I14" s="6">
        <v>1103.765</v>
      </c>
      <c r="J14" s="8">
        <v>0.00141650462962963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56</v>
      </c>
      <c r="C15" s="6">
        <v>122.754</v>
      </c>
      <c r="D15" s="6">
        <v>34.606</v>
      </c>
      <c r="E15" s="6">
        <v>29.639</v>
      </c>
      <c r="F15" s="6">
        <v>34.013</v>
      </c>
      <c r="G15" s="6">
        <v>24.496</v>
      </c>
      <c r="H15" s="7">
        <v>341.3</v>
      </c>
      <c r="I15" s="6">
        <v>1226.519</v>
      </c>
      <c r="J15" s="8">
        <v>0.001420763888888889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57</v>
      </c>
      <c r="C16" s="6">
        <v>122.358</v>
      </c>
      <c r="D16" s="6">
        <v>34.552</v>
      </c>
      <c r="E16" s="6">
        <v>29.457</v>
      </c>
      <c r="F16" s="6">
        <v>33.929</v>
      </c>
      <c r="G16" s="6">
        <v>24.42</v>
      </c>
      <c r="H16" s="7">
        <v>341.3</v>
      </c>
      <c r="I16" s="6">
        <v>1348.877</v>
      </c>
      <c r="J16" s="8">
        <v>0.001416180555555556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58</v>
      </c>
      <c r="C17" s="6">
        <v>122.417</v>
      </c>
      <c r="D17" s="6">
        <v>34.625</v>
      </c>
      <c r="E17" s="6">
        <v>29.463</v>
      </c>
      <c r="F17" s="6">
        <v>33.975</v>
      </c>
      <c r="G17" s="6">
        <v>24.354</v>
      </c>
      <c r="H17" s="7">
        <v>340.2</v>
      </c>
      <c r="I17" s="6">
        <v>1471.294</v>
      </c>
      <c r="J17" s="8">
        <v>0.001416863425925926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59</v>
      </c>
      <c r="C18" s="6">
        <v>122.534</v>
      </c>
      <c r="D18" s="6">
        <v>34.492</v>
      </c>
      <c r="E18" s="6">
        <v>29.673</v>
      </c>
      <c r="F18" s="6">
        <v>33.988</v>
      </c>
      <c r="G18" s="6">
        <v>24.381</v>
      </c>
      <c r="H18" s="7">
        <v>339.1</v>
      </c>
      <c r="I18" s="6">
        <v>1593.828</v>
      </c>
      <c r="J18" s="8">
        <v>0.001418217592592593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60</v>
      </c>
      <c r="C19" s="6">
        <v>122.424</v>
      </c>
      <c r="D19" s="6">
        <v>34.539</v>
      </c>
      <c r="E19" s="6">
        <v>29.462</v>
      </c>
      <c r="F19" s="6">
        <v>34.033</v>
      </c>
      <c r="G19" s="6">
        <v>24.39</v>
      </c>
      <c r="H19" s="7">
        <v>336.9</v>
      </c>
      <c r="I19" s="6">
        <v>1716.252</v>
      </c>
      <c r="J19" s="8">
        <v>0.001416944444444444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61</v>
      </c>
      <c r="C20" s="6">
        <v>122.509</v>
      </c>
      <c r="D20" s="6">
        <v>34.537</v>
      </c>
      <c r="E20" s="6">
        <v>29.515</v>
      </c>
      <c r="F20" s="6">
        <v>34.12</v>
      </c>
      <c r="G20" s="6">
        <v>24.337</v>
      </c>
      <c r="H20" s="7">
        <v>336.9</v>
      </c>
      <c r="I20" s="6">
        <v>1838.761</v>
      </c>
      <c r="J20" s="8">
        <v>0.001417928240740741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62</v>
      </c>
      <c r="C21" s="6">
        <v>122.483</v>
      </c>
      <c r="D21" s="6">
        <v>34.436</v>
      </c>
      <c r="E21" s="6">
        <v>29.649</v>
      </c>
      <c r="F21" s="6">
        <v>34.017</v>
      </c>
      <c r="G21" s="6">
        <v>24.381</v>
      </c>
      <c r="H21" s="7">
        <v>336.9</v>
      </c>
      <c r="I21" s="6">
        <v>1961.244</v>
      </c>
      <c r="J21" s="8">
        <v>0.001417627314814815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63</v>
      </c>
      <c r="C22" s="6">
        <v>122.385</v>
      </c>
      <c r="D22" s="6">
        <v>34.5</v>
      </c>
      <c r="E22" s="6">
        <v>29.477</v>
      </c>
      <c r="F22" s="6">
        <v>34.02</v>
      </c>
      <c r="G22" s="6">
        <v>24.388</v>
      </c>
      <c r="H22" s="7">
        <v>335.9</v>
      </c>
      <c r="I22" s="6">
        <v>2083.629</v>
      </c>
      <c r="J22" s="8">
        <v>0.001416493055555556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64</v>
      </c>
      <c r="C23" s="6">
        <v>122.535</v>
      </c>
      <c r="D23" s="6">
        <v>34.528</v>
      </c>
      <c r="E23" s="6">
        <v>29.561</v>
      </c>
      <c r="F23" s="6">
        <v>34.026</v>
      </c>
      <c r="G23" s="6">
        <v>24.42</v>
      </c>
      <c r="H23" s="7">
        <v>338</v>
      </c>
      <c r="I23" s="6">
        <v>2206.164</v>
      </c>
      <c r="J23" s="8">
        <v>0.001418229166666667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65</v>
      </c>
      <c r="C24" s="6">
        <v>122.789</v>
      </c>
      <c r="D24" s="6">
        <v>34.625</v>
      </c>
      <c r="E24" s="6">
        <v>29.654</v>
      </c>
      <c r="F24" s="6">
        <v>34.088</v>
      </c>
      <c r="G24" s="6">
        <v>24.422</v>
      </c>
      <c r="H24" s="7">
        <v>339.1</v>
      </c>
      <c r="I24" s="6">
        <v>2328.953</v>
      </c>
      <c r="J24" s="8">
        <v>0.001421168981481482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66</v>
      </c>
      <c r="C25" s="6">
        <v>123.736</v>
      </c>
      <c r="D25" s="6">
        <v>34.798</v>
      </c>
      <c r="E25" s="6">
        <v>29.699</v>
      </c>
      <c r="F25" s="6">
        <v>34.347</v>
      </c>
      <c r="G25" s="6">
        <v>24.892</v>
      </c>
      <c r="H25" s="7">
        <v>340.2</v>
      </c>
      <c r="I25" s="6">
        <v>2452.689</v>
      </c>
      <c r="J25" s="8">
        <v>0.00143212962962963</v>
      </c>
      <c r="K25" s="9" t="b">
        <v>0</v>
      </c>
      <c r="L25" s="9" t="b">
        <v>0</v>
      </c>
      <c r="M25" s="9" t="b">
        <v>0</v>
      </c>
    </row>
  </sheetData>
  <autoFilter ref="A5:M25"/>
  <mergeCells count="1">
    <mergeCell ref="A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67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68</v>
      </c>
      <c r="C3" s="2" t="s">
        <v>3</v>
      </c>
      <c r="D3" s="2" t="s">
        <v>69</v>
      </c>
      <c r="E3" s="2" t="s">
        <v>5</v>
      </c>
      <c r="F3" s="2" t="s">
        <v>46</v>
      </c>
      <c r="G3" s="2" t="s">
        <v>7</v>
      </c>
      <c r="H3" s="2">
        <v>20</v>
      </c>
      <c r="I3" s="2" t="s">
        <v>8</v>
      </c>
      <c r="J3" s="2">
        <v>18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70</v>
      </c>
      <c r="C6" s="6">
        <v>123.423</v>
      </c>
      <c r="D6" s="6">
        <v>34.459</v>
      </c>
      <c r="E6" s="6">
        <v>30.366</v>
      </c>
      <c r="F6" s="6">
        <v>34.238</v>
      </c>
      <c r="G6" s="6">
        <v>24.36</v>
      </c>
      <c r="H6" s="7">
        <v>332.7</v>
      </c>
      <c r="I6" s="6">
        <v>123.423</v>
      </c>
      <c r="J6" s="8">
        <v>0.001428506944444444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71</v>
      </c>
      <c r="C7" s="6">
        <v>122.41</v>
      </c>
      <c r="D7" s="6">
        <v>34.395</v>
      </c>
      <c r="E7" s="6">
        <v>29.55</v>
      </c>
      <c r="F7" s="6">
        <v>34.128</v>
      </c>
      <c r="G7" s="6">
        <v>24.337</v>
      </c>
      <c r="H7" s="7">
        <v>335.9</v>
      </c>
      <c r="I7" s="6">
        <v>245.833</v>
      </c>
      <c r="J7" s="8">
        <v>0.001416782407407407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72</v>
      </c>
      <c r="C8" s="6">
        <v>122.393</v>
      </c>
      <c r="D8" s="6">
        <v>34.601</v>
      </c>
      <c r="E8" s="6">
        <v>29.405</v>
      </c>
      <c r="F8" s="6">
        <v>34.108</v>
      </c>
      <c r="G8" s="6">
        <v>24.279</v>
      </c>
      <c r="H8" s="7">
        <v>334.8</v>
      </c>
      <c r="I8" s="6">
        <v>368.226</v>
      </c>
      <c r="J8" s="8">
        <v>0.001416585648148148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73</v>
      </c>
      <c r="C9" s="6">
        <v>122.359</v>
      </c>
      <c r="D9" s="6">
        <v>34.483</v>
      </c>
      <c r="E9" s="6">
        <v>29.446</v>
      </c>
      <c r="F9" s="6">
        <v>34.031</v>
      </c>
      <c r="G9" s="6">
        <v>24.399</v>
      </c>
      <c r="H9" s="7">
        <v>336.9</v>
      </c>
      <c r="I9" s="6">
        <v>490.585</v>
      </c>
      <c r="J9" s="8">
        <v>0.00141619212962963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74</v>
      </c>
      <c r="C10" s="6">
        <v>122.299</v>
      </c>
      <c r="D10" s="6">
        <v>34.383</v>
      </c>
      <c r="E10" s="6">
        <v>29.468</v>
      </c>
      <c r="F10" s="6">
        <v>34.045</v>
      </c>
      <c r="G10" s="6">
        <v>24.403</v>
      </c>
      <c r="H10" s="7">
        <v>335.9</v>
      </c>
      <c r="I10" s="6">
        <v>612.884</v>
      </c>
      <c r="J10" s="8">
        <v>0.001415497685185185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75</v>
      </c>
      <c r="C11" s="6">
        <v>122.663</v>
      </c>
      <c r="D11" s="6">
        <v>34.598</v>
      </c>
      <c r="E11" s="6">
        <v>29.666</v>
      </c>
      <c r="F11" s="6">
        <v>34.031</v>
      </c>
      <c r="G11" s="6">
        <v>24.368</v>
      </c>
      <c r="H11" s="7">
        <v>333.7</v>
      </c>
      <c r="I11" s="6">
        <v>735.547</v>
      </c>
      <c r="J11" s="8">
        <v>0.001419710648148148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76</v>
      </c>
      <c r="C12" s="6">
        <v>122.524</v>
      </c>
      <c r="D12" s="6">
        <v>34.486</v>
      </c>
      <c r="E12" s="6">
        <v>29.549</v>
      </c>
      <c r="F12" s="6">
        <v>33.968</v>
      </c>
      <c r="G12" s="6">
        <v>24.521</v>
      </c>
      <c r="H12" s="7">
        <v>335.9</v>
      </c>
      <c r="I12" s="6">
        <v>858.071</v>
      </c>
      <c r="J12" s="8">
        <v>0.001418101851851852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59</v>
      </c>
      <c r="C13" s="6">
        <v>122.534</v>
      </c>
      <c r="D13" s="6">
        <v>34.616</v>
      </c>
      <c r="E13" s="6">
        <v>29.478</v>
      </c>
      <c r="F13" s="6">
        <v>33.931</v>
      </c>
      <c r="G13" s="6">
        <v>24.509</v>
      </c>
      <c r="H13" s="7">
        <v>335.9</v>
      </c>
      <c r="I13" s="6">
        <v>980.605</v>
      </c>
      <c r="J13" s="8">
        <v>0.001418217592592593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77</v>
      </c>
      <c r="C14" s="6">
        <v>122.446</v>
      </c>
      <c r="D14" s="6">
        <v>34.531</v>
      </c>
      <c r="E14" s="6">
        <v>29.554</v>
      </c>
      <c r="F14" s="6">
        <v>33.968</v>
      </c>
      <c r="G14" s="6">
        <v>24.393</v>
      </c>
      <c r="H14" s="7">
        <v>336.9</v>
      </c>
      <c r="I14" s="6">
        <v>1103.051</v>
      </c>
      <c r="J14" s="8">
        <v>0.001417199074074074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78</v>
      </c>
      <c r="C15" s="6">
        <v>122.451</v>
      </c>
      <c r="D15" s="6">
        <v>34.598</v>
      </c>
      <c r="E15" s="6">
        <v>29.5</v>
      </c>
      <c r="F15" s="6">
        <v>33.972</v>
      </c>
      <c r="G15" s="6">
        <v>24.381</v>
      </c>
      <c r="H15" s="7">
        <v>335.9</v>
      </c>
      <c r="I15" s="6">
        <v>1225.502</v>
      </c>
      <c r="J15" s="8">
        <v>0.001417256944444444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79</v>
      </c>
      <c r="C16" s="6">
        <v>122.645</v>
      </c>
      <c r="D16" s="6">
        <v>34.666</v>
      </c>
      <c r="E16" s="6">
        <v>29.465</v>
      </c>
      <c r="F16" s="6">
        <v>34.033</v>
      </c>
      <c r="G16" s="6">
        <v>24.481</v>
      </c>
      <c r="H16" s="7">
        <v>336.9</v>
      </c>
      <c r="I16" s="6">
        <v>1348.147</v>
      </c>
      <c r="J16" s="8">
        <v>0.001419502314814815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80</v>
      </c>
      <c r="C17" s="6">
        <v>122.283</v>
      </c>
      <c r="D17" s="6">
        <v>34.434</v>
      </c>
      <c r="E17" s="6">
        <v>29.521</v>
      </c>
      <c r="F17" s="6">
        <v>33.969</v>
      </c>
      <c r="G17" s="6">
        <v>24.359</v>
      </c>
      <c r="H17" s="7">
        <v>338</v>
      </c>
      <c r="I17" s="6">
        <v>1470.43</v>
      </c>
      <c r="J17" s="8">
        <v>0.0014153125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81</v>
      </c>
      <c r="C18" s="6">
        <v>122.743</v>
      </c>
      <c r="D18" s="6">
        <v>34.511</v>
      </c>
      <c r="E18" s="6">
        <v>29.596</v>
      </c>
      <c r="F18" s="6">
        <v>34.159</v>
      </c>
      <c r="G18" s="6">
        <v>24.477</v>
      </c>
      <c r="H18" s="7">
        <v>334.8</v>
      </c>
      <c r="I18" s="6">
        <v>1593.173</v>
      </c>
      <c r="J18" s="8">
        <v>0.001420636574074074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82</v>
      </c>
      <c r="C19" s="6">
        <v>123.331</v>
      </c>
      <c r="D19" s="6">
        <v>35.341</v>
      </c>
      <c r="E19" s="6">
        <v>29.503</v>
      </c>
      <c r="F19" s="6">
        <v>34.125</v>
      </c>
      <c r="G19" s="6">
        <v>24.362</v>
      </c>
      <c r="H19" s="7">
        <v>339.1</v>
      </c>
      <c r="I19" s="6">
        <v>1716.504</v>
      </c>
      <c r="J19" s="8">
        <v>0.00142744212962963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83</v>
      </c>
      <c r="C20" s="6">
        <v>122.766</v>
      </c>
      <c r="D20" s="6">
        <v>34.62</v>
      </c>
      <c r="E20" s="6">
        <v>29.545</v>
      </c>
      <c r="F20" s="6">
        <v>34.171</v>
      </c>
      <c r="G20" s="6">
        <v>24.43</v>
      </c>
      <c r="H20" s="7">
        <v>338</v>
      </c>
      <c r="I20" s="6">
        <v>1839.27</v>
      </c>
      <c r="J20" s="8">
        <v>0.001420902777777778</v>
      </c>
      <c r="K20" s="9" t="b">
        <v>1</v>
      </c>
      <c r="L20" s="9" t="b">
        <v>0</v>
      </c>
      <c r="M20" s="9" t="b">
        <v>0</v>
      </c>
    </row>
    <row r="21" spans="1:13">
      <c r="A21" s="4">
        <v>16</v>
      </c>
      <c r="B21" s="5" t="s">
        <v>84</v>
      </c>
      <c r="C21" s="6">
        <v>122.939</v>
      </c>
      <c r="D21" s="6">
        <v>34.565</v>
      </c>
      <c r="E21" s="6">
        <v>29.726</v>
      </c>
      <c r="F21" s="6">
        <v>34.092</v>
      </c>
      <c r="G21" s="6">
        <v>24.556</v>
      </c>
      <c r="H21" s="7">
        <v>335.9</v>
      </c>
      <c r="I21" s="6">
        <v>1962.209</v>
      </c>
      <c r="J21" s="8">
        <v>0.001422905092592593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85</v>
      </c>
      <c r="C22" s="6">
        <v>123.143</v>
      </c>
      <c r="D22" s="6">
        <v>34.821</v>
      </c>
      <c r="E22" s="6">
        <v>29.665</v>
      </c>
      <c r="F22" s="6">
        <v>34.136</v>
      </c>
      <c r="G22" s="6">
        <v>24.521</v>
      </c>
      <c r="H22" s="7">
        <v>333.7</v>
      </c>
      <c r="I22" s="6">
        <v>2085.352</v>
      </c>
      <c r="J22" s="8">
        <v>0.001425266203703704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86</v>
      </c>
      <c r="C23" s="6">
        <v>123.051</v>
      </c>
      <c r="D23" s="6">
        <v>34.731</v>
      </c>
      <c r="E23" s="6">
        <v>29.719</v>
      </c>
      <c r="F23" s="6">
        <v>34.116</v>
      </c>
      <c r="G23" s="6">
        <v>24.485</v>
      </c>
      <c r="H23" s="7">
        <v>333.7</v>
      </c>
      <c r="I23" s="6">
        <v>2208.403</v>
      </c>
      <c r="J23" s="8">
        <v>0.001424201388888889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87</v>
      </c>
      <c r="C24" s="6">
        <v>123.009</v>
      </c>
      <c r="D24" s="6">
        <v>34.626</v>
      </c>
      <c r="E24" s="6">
        <v>29.706</v>
      </c>
      <c r="F24" s="6">
        <v>34.153</v>
      </c>
      <c r="G24" s="6">
        <v>24.524</v>
      </c>
      <c r="H24" s="7">
        <v>335.9</v>
      </c>
      <c r="I24" s="6">
        <v>2331.412</v>
      </c>
      <c r="J24" s="8">
        <v>0.001423715277777778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88</v>
      </c>
      <c r="C25" s="6">
        <v>123.738</v>
      </c>
      <c r="D25" s="6">
        <v>34.996</v>
      </c>
      <c r="E25" s="6">
        <v>29.776</v>
      </c>
      <c r="F25" s="6">
        <v>34.243</v>
      </c>
      <c r="G25" s="6">
        <v>24.723</v>
      </c>
      <c r="H25" s="7">
        <v>335.9</v>
      </c>
      <c r="I25" s="6">
        <v>2455.15</v>
      </c>
      <c r="J25" s="8">
        <v>0.001432152777777778</v>
      </c>
      <c r="K25" s="9" t="b">
        <v>0</v>
      </c>
      <c r="L25" s="9" t="b">
        <v>0</v>
      </c>
      <c r="M25" s="9" t="b">
        <v>0</v>
      </c>
    </row>
  </sheetData>
  <autoFilter ref="A5:M25"/>
  <mergeCells count="1">
    <mergeCell ref="A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89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90</v>
      </c>
      <c r="C3" s="2" t="s">
        <v>3</v>
      </c>
      <c r="D3" s="2" t="s">
        <v>91</v>
      </c>
      <c r="E3" s="2" t="s">
        <v>5</v>
      </c>
      <c r="F3" s="2" t="s">
        <v>6</v>
      </c>
      <c r="G3" s="2" t="s">
        <v>7</v>
      </c>
      <c r="H3" s="2">
        <v>20</v>
      </c>
      <c r="I3" s="2" t="s">
        <v>8</v>
      </c>
      <c r="J3" s="2">
        <v>18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92</v>
      </c>
      <c r="C6" s="6">
        <v>124.148</v>
      </c>
      <c r="D6" s="6">
        <v>35.272</v>
      </c>
      <c r="E6" s="6">
        <v>29.98</v>
      </c>
      <c r="F6" s="6">
        <v>34.463</v>
      </c>
      <c r="G6" s="6">
        <v>24.433</v>
      </c>
      <c r="H6" s="7">
        <v>339.1</v>
      </c>
      <c r="I6" s="6">
        <v>124.148</v>
      </c>
      <c r="J6" s="8">
        <v>0.001436898148148148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93</v>
      </c>
      <c r="C7" s="6">
        <v>123.184</v>
      </c>
      <c r="D7" s="6">
        <v>34.922</v>
      </c>
      <c r="E7" s="6">
        <v>29.905</v>
      </c>
      <c r="F7" s="6">
        <v>34.056</v>
      </c>
      <c r="G7" s="6">
        <v>24.301</v>
      </c>
      <c r="H7" s="7">
        <v>332.7</v>
      </c>
      <c r="I7" s="6">
        <v>247.332</v>
      </c>
      <c r="J7" s="8">
        <v>0.001425740740740741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94</v>
      </c>
      <c r="C8" s="6">
        <v>122.222</v>
      </c>
      <c r="D8" s="6">
        <v>34.328</v>
      </c>
      <c r="E8" s="6">
        <v>29.565</v>
      </c>
      <c r="F8" s="6">
        <v>33.999</v>
      </c>
      <c r="G8" s="6">
        <v>24.33</v>
      </c>
      <c r="H8" s="7">
        <v>335.9</v>
      </c>
      <c r="I8" s="6">
        <v>369.554</v>
      </c>
      <c r="J8" s="8">
        <v>0.001414606481481481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95</v>
      </c>
      <c r="C9" s="6">
        <v>122.179</v>
      </c>
      <c r="D9" s="6">
        <v>34.351</v>
      </c>
      <c r="E9" s="6">
        <v>29.56</v>
      </c>
      <c r="F9" s="6">
        <v>33.881</v>
      </c>
      <c r="G9" s="6">
        <v>24.387</v>
      </c>
      <c r="H9" s="7">
        <v>336.9</v>
      </c>
      <c r="I9" s="6">
        <v>491.733</v>
      </c>
      <c r="J9" s="8">
        <v>0.001414108796296296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96</v>
      </c>
      <c r="C10" s="6">
        <v>122.436</v>
      </c>
      <c r="D10" s="6">
        <v>34.413</v>
      </c>
      <c r="E10" s="6">
        <v>29.609</v>
      </c>
      <c r="F10" s="6">
        <v>34.014</v>
      </c>
      <c r="G10" s="6">
        <v>24.4</v>
      </c>
      <c r="H10" s="7">
        <v>336.9</v>
      </c>
      <c r="I10" s="6">
        <v>614.169</v>
      </c>
      <c r="J10" s="8">
        <v>0.001417083333333333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97</v>
      </c>
      <c r="C11" s="6">
        <v>122.336</v>
      </c>
      <c r="D11" s="6">
        <v>34.316</v>
      </c>
      <c r="E11" s="6">
        <v>29.625</v>
      </c>
      <c r="F11" s="6">
        <v>34.025</v>
      </c>
      <c r="G11" s="6">
        <v>24.37</v>
      </c>
      <c r="H11" s="7">
        <v>339.1</v>
      </c>
      <c r="I11" s="6">
        <v>736.505</v>
      </c>
      <c r="J11" s="8">
        <v>0.001415925925925926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98</v>
      </c>
      <c r="C12" s="6">
        <v>122.925</v>
      </c>
      <c r="D12" s="6">
        <v>34.661</v>
      </c>
      <c r="E12" s="6">
        <v>29.807</v>
      </c>
      <c r="F12" s="6">
        <v>33.994</v>
      </c>
      <c r="G12" s="6">
        <v>24.463</v>
      </c>
      <c r="H12" s="7">
        <v>341.3</v>
      </c>
      <c r="I12" s="6">
        <v>859.4299999999999</v>
      </c>
      <c r="J12" s="8">
        <v>0.001422743055555556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99</v>
      </c>
      <c r="C13" s="6">
        <v>122.571</v>
      </c>
      <c r="D13" s="6">
        <v>34.429</v>
      </c>
      <c r="E13" s="6">
        <v>29.597</v>
      </c>
      <c r="F13" s="6">
        <v>34.101</v>
      </c>
      <c r="G13" s="6">
        <v>24.444</v>
      </c>
      <c r="H13" s="7">
        <v>339.1</v>
      </c>
      <c r="I13" s="6">
        <v>982.001</v>
      </c>
      <c r="J13" s="8">
        <v>0.001418645833333333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100</v>
      </c>
      <c r="C14" s="6">
        <v>122.443</v>
      </c>
      <c r="D14" s="6">
        <v>34.405</v>
      </c>
      <c r="E14" s="6">
        <v>29.624</v>
      </c>
      <c r="F14" s="6">
        <v>33.933</v>
      </c>
      <c r="G14" s="6">
        <v>24.481</v>
      </c>
      <c r="H14" s="7">
        <v>341.3</v>
      </c>
      <c r="I14" s="6">
        <v>1104.444</v>
      </c>
      <c r="J14" s="8">
        <v>0.001417164351851852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101</v>
      </c>
      <c r="C15" s="6">
        <v>122.808</v>
      </c>
      <c r="D15" s="6">
        <v>34.53</v>
      </c>
      <c r="E15" s="6">
        <v>29.613</v>
      </c>
      <c r="F15" s="6">
        <v>34.143</v>
      </c>
      <c r="G15" s="6">
        <v>24.522</v>
      </c>
      <c r="H15" s="7">
        <v>338</v>
      </c>
      <c r="I15" s="6">
        <v>1227.252</v>
      </c>
      <c r="J15" s="8">
        <v>0.001421388888888889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102</v>
      </c>
      <c r="C16" s="6">
        <v>122.437</v>
      </c>
      <c r="D16" s="6">
        <v>34.419</v>
      </c>
      <c r="E16" s="6">
        <v>29.636</v>
      </c>
      <c r="F16" s="6">
        <v>34.03</v>
      </c>
      <c r="G16" s="6">
        <v>24.352</v>
      </c>
      <c r="H16" s="7">
        <v>339.1</v>
      </c>
      <c r="I16" s="6">
        <v>1349.689</v>
      </c>
      <c r="J16" s="8">
        <v>0.001417094907407407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103</v>
      </c>
      <c r="C17" s="6">
        <v>122.71</v>
      </c>
      <c r="D17" s="6">
        <v>34.418</v>
      </c>
      <c r="E17" s="6">
        <v>29.765</v>
      </c>
      <c r="F17" s="6">
        <v>34.04</v>
      </c>
      <c r="G17" s="6">
        <v>24.487</v>
      </c>
      <c r="H17" s="7">
        <v>341.3</v>
      </c>
      <c r="I17" s="6">
        <v>1472.399</v>
      </c>
      <c r="J17" s="8">
        <v>0.00142025462962963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104</v>
      </c>
      <c r="C18" s="6">
        <v>123.136</v>
      </c>
      <c r="D18" s="6">
        <v>34.444</v>
      </c>
      <c r="E18" s="6">
        <v>29.67</v>
      </c>
      <c r="F18" s="6">
        <v>34.428</v>
      </c>
      <c r="G18" s="6">
        <v>24.594</v>
      </c>
      <c r="H18" s="7">
        <v>336.9</v>
      </c>
      <c r="I18" s="6">
        <v>1595.535</v>
      </c>
      <c r="J18" s="8">
        <v>0.001425185185185185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98</v>
      </c>
      <c r="C19" s="6">
        <v>122.925</v>
      </c>
      <c r="D19" s="6">
        <v>34.644</v>
      </c>
      <c r="E19" s="6">
        <v>29.704</v>
      </c>
      <c r="F19" s="6">
        <v>34.037</v>
      </c>
      <c r="G19" s="6">
        <v>24.54</v>
      </c>
      <c r="H19" s="7">
        <v>339.1</v>
      </c>
      <c r="I19" s="6">
        <v>1718.46</v>
      </c>
      <c r="J19" s="8">
        <v>0.001422743055555556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105</v>
      </c>
      <c r="C20" s="6">
        <v>122.972</v>
      </c>
      <c r="D20" s="6">
        <v>34.587</v>
      </c>
      <c r="E20" s="6">
        <v>29.745</v>
      </c>
      <c r="F20" s="6">
        <v>34.181</v>
      </c>
      <c r="G20" s="6">
        <v>24.459</v>
      </c>
      <c r="H20" s="7">
        <v>335.9</v>
      </c>
      <c r="I20" s="6">
        <v>1841.432</v>
      </c>
      <c r="J20" s="8">
        <v>0.001423287037037037</v>
      </c>
      <c r="K20" s="9" t="b">
        <v>1</v>
      </c>
      <c r="L20" s="9" t="b">
        <v>0</v>
      </c>
      <c r="M20" s="9" t="b">
        <v>0</v>
      </c>
    </row>
    <row r="21" spans="1:13">
      <c r="A21" s="4">
        <v>16</v>
      </c>
      <c r="B21" s="5" t="s">
        <v>106</v>
      </c>
      <c r="C21" s="6">
        <v>123.357</v>
      </c>
      <c r="D21" s="6">
        <v>34.593</v>
      </c>
      <c r="E21" s="6">
        <v>29.871</v>
      </c>
      <c r="F21" s="6">
        <v>34.299</v>
      </c>
      <c r="G21" s="6">
        <v>24.594</v>
      </c>
      <c r="H21" s="7">
        <v>334.8</v>
      </c>
      <c r="I21" s="6">
        <v>1964.789</v>
      </c>
      <c r="J21" s="8">
        <v>0.001427743055555556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107</v>
      </c>
      <c r="C22" s="6">
        <v>123.275</v>
      </c>
      <c r="D22" s="6">
        <v>34.61</v>
      </c>
      <c r="E22" s="6">
        <v>29.868</v>
      </c>
      <c r="F22" s="6">
        <v>34.269</v>
      </c>
      <c r="G22" s="6">
        <v>24.528</v>
      </c>
      <c r="H22" s="7">
        <v>333.7</v>
      </c>
      <c r="I22" s="6">
        <v>2088.064</v>
      </c>
      <c r="J22" s="8">
        <v>0.001426793981481482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108</v>
      </c>
      <c r="C23" s="6">
        <v>122.86</v>
      </c>
      <c r="D23" s="6">
        <v>34.452</v>
      </c>
      <c r="E23" s="6">
        <v>29.691</v>
      </c>
      <c r="F23" s="6">
        <v>34.135</v>
      </c>
      <c r="G23" s="6">
        <v>24.582</v>
      </c>
      <c r="H23" s="7">
        <v>335.9</v>
      </c>
      <c r="I23" s="6">
        <v>2210.924</v>
      </c>
      <c r="J23" s="8">
        <v>0.001421990740740741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109</v>
      </c>
      <c r="C24" s="6">
        <v>123.297</v>
      </c>
      <c r="D24" s="6">
        <v>34.535</v>
      </c>
      <c r="E24" s="6">
        <v>29.824</v>
      </c>
      <c r="F24" s="6">
        <v>34.37</v>
      </c>
      <c r="G24" s="6">
        <v>24.568</v>
      </c>
      <c r="H24" s="7">
        <v>335.9</v>
      </c>
      <c r="I24" s="6">
        <v>2334.221</v>
      </c>
      <c r="J24" s="8">
        <v>0.001427048611111111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110</v>
      </c>
      <c r="C25" s="6">
        <v>123.404</v>
      </c>
      <c r="D25" s="6">
        <v>34.695</v>
      </c>
      <c r="E25" s="6">
        <v>29.877</v>
      </c>
      <c r="F25" s="6">
        <v>34.281</v>
      </c>
      <c r="G25" s="6">
        <v>24.551</v>
      </c>
      <c r="H25" s="7">
        <v>338</v>
      </c>
      <c r="I25" s="6">
        <v>2457.625</v>
      </c>
      <c r="J25" s="8">
        <v>0.001428287037037037</v>
      </c>
      <c r="K25" s="9" t="b">
        <v>0</v>
      </c>
      <c r="L25" s="9" t="b">
        <v>0</v>
      </c>
      <c r="M25" s="9" t="b">
        <v>0</v>
      </c>
    </row>
  </sheetData>
  <autoFilter ref="A5:M25"/>
  <mergeCells count="1">
    <mergeCell ref="A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2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111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112</v>
      </c>
      <c r="C3" s="2" t="s">
        <v>3</v>
      </c>
      <c r="D3" s="2" t="s">
        <v>91</v>
      </c>
      <c r="E3" s="2" t="s">
        <v>5</v>
      </c>
      <c r="F3" s="2" t="s">
        <v>46</v>
      </c>
      <c r="G3" s="2" t="s">
        <v>7</v>
      </c>
      <c r="H3" s="2">
        <v>20</v>
      </c>
      <c r="I3" s="2" t="s">
        <v>8</v>
      </c>
      <c r="J3" s="2">
        <v>19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113</v>
      </c>
      <c r="C6" s="6">
        <v>124.33</v>
      </c>
      <c r="D6" s="6">
        <v>35.157</v>
      </c>
      <c r="E6" s="6">
        <v>29.94</v>
      </c>
      <c r="F6" s="6">
        <v>34.465</v>
      </c>
      <c r="G6" s="6">
        <v>24.768</v>
      </c>
      <c r="H6" s="7">
        <v>336.9</v>
      </c>
      <c r="I6" s="6">
        <v>124.33</v>
      </c>
      <c r="J6" s="8">
        <v>0.00143900462962963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114</v>
      </c>
      <c r="C7" s="6">
        <v>123.976</v>
      </c>
      <c r="D7" s="6">
        <v>35.04</v>
      </c>
      <c r="E7" s="6">
        <v>30.227</v>
      </c>
      <c r="F7" s="6">
        <v>34.273</v>
      </c>
      <c r="G7" s="6">
        <v>24.436</v>
      </c>
      <c r="H7" s="7">
        <v>341.3</v>
      </c>
      <c r="I7" s="6">
        <v>248.306</v>
      </c>
      <c r="J7" s="8">
        <v>0.001434907407407407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115</v>
      </c>
      <c r="C8" s="6">
        <v>122.887</v>
      </c>
      <c r="D8" s="6">
        <v>34.717</v>
      </c>
      <c r="E8" s="6">
        <v>29.63</v>
      </c>
      <c r="F8" s="6">
        <v>34.093</v>
      </c>
      <c r="G8" s="6">
        <v>24.447</v>
      </c>
      <c r="H8" s="7">
        <v>342.4</v>
      </c>
      <c r="I8" s="6">
        <v>371.193</v>
      </c>
      <c r="J8" s="8">
        <v>0.001422303240740741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116</v>
      </c>
      <c r="C9" s="6">
        <v>125.392</v>
      </c>
      <c r="D9" s="6">
        <v>34.444</v>
      </c>
      <c r="E9" s="6">
        <v>29.582</v>
      </c>
      <c r="F9" s="6">
        <v>36.737</v>
      </c>
      <c r="G9" s="6">
        <v>24.629</v>
      </c>
      <c r="H9" s="7">
        <v>346.9</v>
      </c>
      <c r="I9" s="6">
        <v>496.585</v>
      </c>
      <c r="J9" s="8">
        <v>0.001451296296296296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117</v>
      </c>
      <c r="C10" s="6">
        <v>122.888</v>
      </c>
      <c r="D10" s="6">
        <v>34.542</v>
      </c>
      <c r="E10" s="6">
        <v>29.672</v>
      </c>
      <c r="F10" s="6">
        <v>34.232</v>
      </c>
      <c r="G10" s="6">
        <v>24.442</v>
      </c>
      <c r="H10" s="7">
        <v>343.5</v>
      </c>
      <c r="I10" s="6">
        <v>619.473</v>
      </c>
      <c r="J10" s="8">
        <v>0.001422314814814815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118</v>
      </c>
      <c r="C11" s="6">
        <v>122.461</v>
      </c>
      <c r="D11" s="6">
        <v>34.412</v>
      </c>
      <c r="E11" s="6">
        <v>29.482</v>
      </c>
      <c r="F11" s="6">
        <v>34.137</v>
      </c>
      <c r="G11" s="6">
        <v>24.43</v>
      </c>
      <c r="H11" s="7">
        <v>344.7</v>
      </c>
      <c r="I11" s="6">
        <v>741.934</v>
      </c>
      <c r="J11" s="8">
        <v>0.001417372685185185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119</v>
      </c>
      <c r="C12" s="6">
        <v>122.266</v>
      </c>
      <c r="D12" s="6">
        <v>34.363</v>
      </c>
      <c r="E12" s="6">
        <v>29.54</v>
      </c>
      <c r="F12" s="6">
        <v>33.95</v>
      </c>
      <c r="G12" s="6">
        <v>24.413</v>
      </c>
      <c r="H12" s="7">
        <v>342.4</v>
      </c>
      <c r="I12" s="6">
        <v>864.2</v>
      </c>
      <c r="J12" s="8">
        <v>0.001415115740740741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57</v>
      </c>
      <c r="C13" s="6">
        <v>122.358</v>
      </c>
      <c r="D13" s="6">
        <v>34.483</v>
      </c>
      <c r="E13" s="6">
        <v>29.412</v>
      </c>
      <c r="F13" s="6">
        <v>33.974</v>
      </c>
      <c r="G13" s="6">
        <v>24.489</v>
      </c>
      <c r="H13" s="7">
        <v>342.4</v>
      </c>
      <c r="I13" s="6">
        <v>986.558</v>
      </c>
      <c r="J13" s="8">
        <v>0.001416180555555556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120</v>
      </c>
      <c r="C14" s="6">
        <v>122.485</v>
      </c>
      <c r="D14" s="6">
        <v>34.685</v>
      </c>
      <c r="E14" s="6">
        <v>29.506</v>
      </c>
      <c r="F14" s="6">
        <v>33.858</v>
      </c>
      <c r="G14" s="6">
        <v>24.436</v>
      </c>
      <c r="H14" s="7">
        <v>342.4</v>
      </c>
      <c r="I14" s="6">
        <v>1109.043</v>
      </c>
      <c r="J14" s="8">
        <v>0.001417650462962963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121</v>
      </c>
      <c r="C15" s="6">
        <v>122.529</v>
      </c>
      <c r="D15" s="6">
        <v>34.495</v>
      </c>
      <c r="E15" s="6">
        <v>29.547</v>
      </c>
      <c r="F15" s="6">
        <v>33.985</v>
      </c>
      <c r="G15" s="6">
        <v>24.502</v>
      </c>
      <c r="H15" s="7">
        <v>341.3</v>
      </c>
      <c r="I15" s="6">
        <v>1231.572</v>
      </c>
      <c r="J15" s="8">
        <v>0.001418159722222222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122</v>
      </c>
      <c r="C16" s="6">
        <v>122.184</v>
      </c>
      <c r="D16" s="6">
        <v>34.387</v>
      </c>
      <c r="E16" s="6">
        <v>29.368</v>
      </c>
      <c r="F16" s="6">
        <v>33.917</v>
      </c>
      <c r="G16" s="6">
        <v>24.512</v>
      </c>
      <c r="H16" s="7">
        <v>342.4</v>
      </c>
      <c r="I16" s="6">
        <v>1353.756</v>
      </c>
      <c r="J16" s="8">
        <v>0.001414166666666667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123</v>
      </c>
      <c r="C17" s="6">
        <v>122.133</v>
      </c>
      <c r="D17" s="6">
        <v>34.423</v>
      </c>
      <c r="E17" s="6">
        <v>29.419</v>
      </c>
      <c r="F17" s="6">
        <v>33.92</v>
      </c>
      <c r="G17" s="6">
        <v>24.371</v>
      </c>
      <c r="H17" s="7">
        <v>344.7</v>
      </c>
      <c r="I17" s="6">
        <v>1475.889</v>
      </c>
      <c r="J17" s="8">
        <v>0.001413576388888889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124</v>
      </c>
      <c r="C18" s="6">
        <v>122.294</v>
      </c>
      <c r="D18" s="6">
        <v>34.424</v>
      </c>
      <c r="E18" s="6">
        <v>29.554</v>
      </c>
      <c r="F18" s="6">
        <v>33.84</v>
      </c>
      <c r="G18" s="6">
        <v>24.476</v>
      </c>
      <c r="H18" s="7">
        <v>343.5</v>
      </c>
      <c r="I18" s="6">
        <v>1598.183</v>
      </c>
      <c r="J18" s="8">
        <v>0.001415439814814815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125</v>
      </c>
      <c r="C19" s="6">
        <v>122.956</v>
      </c>
      <c r="D19" s="6">
        <v>34.716</v>
      </c>
      <c r="E19" s="6">
        <v>29.397</v>
      </c>
      <c r="F19" s="6">
        <v>34.307</v>
      </c>
      <c r="G19" s="6">
        <v>24.536</v>
      </c>
      <c r="H19" s="7">
        <v>348.1</v>
      </c>
      <c r="I19" s="6">
        <v>1721.139</v>
      </c>
      <c r="J19" s="8">
        <v>0.001423101851851852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126</v>
      </c>
      <c r="C20" s="6">
        <v>123.029</v>
      </c>
      <c r="D20" s="6">
        <v>34.79</v>
      </c>
      <c r="E20" s="6">
        <v>29.656</v>
      </c>
      <c r="F20" s="6">
        <v>34.123</v>
      </c>
      <c r="G20" s="6">
        <v>24.46</v>
      </c>
      <c r="H20" s="7">
        <v>344.7</v>
      </c>
      <c r="I20" s="6">
        <v>1844.168</v>
      </c>
      <c r="J20" s="8">
        <v>0.001423946759259259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127</v>
      </c>
      <c r="C21" s="6">
        <v>123.64</v>
      </c>
      <c r="D21" s="6">
        <v>34.455</v>
      </c>
      <c r="E21" s="6">
        <v>30.038</v>
      </c>
      <c r="F21" s="6">
        <v>34.26</v>
      </c>
      <c r="G21" s="6">
        <v>24.887</v>
      </c>
      <c r="H21" s="7">
        <v>341.3</v>
      </c>
      <c r="I21" s="6">
        <v>1967.808</v>
      </c>
      <c r="J21" s="8">
        <v>0.001431018518518519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128</v>
      </c>
      <c r="C22" s="6">
        <v>122.849</v>
      </c>
      <c r="D22" s="6">
        <v>34.522</v>
      </c>
      <c r="E22" s="6">
        <v>29.748</v>
      </c>
      <c r="F22" s="6">
        <v>34.062</v>
      </c>
      <c r="G22" s="6">
        <v>24.517</v>
      </c>
      <c r="H22" s="7">
        <v>341.3</v>
      </c>
      <c r="I22" s="6">
        <v>2090.657</v>
      </c>
      <c r="J22" s="8">
        <v>0.001421863425925926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129</v>
      </c>
      <c r="C23" s="6">
        <v>122.959</v>
      </c>
      <c r="D23" s="6">
        <v>34.582</v>
      </c>
      <c r="E23" s="6">
        <v>29.832</v>
      </c>
      <c r="F23" s="6">
        <v>33.994</v>
      </c>
      <c r="G23" s="6">
        <v>24.551</v>
      </c>
      <c r="H23" s="7">
        <v>340.2</v>
      </c>
      <c r="I23" s="6">
        <v>2213.616</v>
      </c>
      <c r="J23" s="8">
        <v>0.001423136574074074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130</v>
      </c>
      <c r="C24" s="6">
        <v>122.68</v>
      </c>
      <c r="D24" s="6">
        <v>34.647</v>
      </c>
      <c r="E24" s="6">
        <v>29.559</v>
      </c>
      <c r="F24" s="6">
        <v>33.934</v>
      </c>
      <c r="G24" s="6">
        <v>24.54</v>
      </c>
      <c r="H24" s="7">
        <v>340.2</v>
      </c>
      <c r="I24" s="6">
        <v>2336.296</v>
      </c>
      <c r="J24" s="8">
        <v>0.001419907407407407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131</v>
      </c>
      <c r="C25" s="6">
        <v>122.457</v>
      </c>
      <c r="D25" s="6">
        <v>34.578</v>
      </c>
      <c r="E25" s="6">
        <v>29.417</v>
      </c>
      <c r="F25" s="6">
        <v>33.973</v>
      </c>
      <c r="G25" s="6">
        <v>24.489</v>
      </c>
      <c r="H25" s="7">
        <v>342.4</v>
      </c>
      <c r="I25" s="6">
        <v>2458.753</v>
      </c>
      <c r="J25" s="8">
        <v>0.001417326388888889</v>
      </c>
      <c r="K25" s="9" t="b">
        <v>0</v>
      </c>
      <c r="L25" s="9" t="b">
        <v>0</v>
      </c>
      <c r="M25" s="9" t="b">
        <v>0</v>
      </c>
    </row>
  </sheetData>
  <autoFilter ref="A5:M25"/>
  <mergeCells count="1">
    <mergeCell ref="A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2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132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133</v>
      </c>
      <c r="C3" s="2" t="s">
        <v>3</v>
      </c>
      <c r="D3" s="2" t="s">
        <v>69</v>
      </c>
      <c r="E3" s="2" t="s">
        <v>5</v>
      </c>
      <c r="F3" s="2" t="s">
        <v>6</v>
      </c>
      <c r="G3" s="2" t="s">
        <v>7</v>
      </c>
      <c r="H3" s="2">
        <v>20</v>
      </c>
      <c r="I3" s="2" t="s">
        <v>8</v>
      </c>
      <c r="J3" s="2">
        <v>19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134</v>
      </c>
      <c r="C6" s="6">
        <v>126.004</v>
      </c>
      <c r="D6" s="6">
        <v>36.311</v>
      </c>
      <c r="E6" s="6">
        <v>30.295</v>
      </c>
      <c r="F6" s="6">
        <v>34.881</v>
      </c>
      <c r="G6" s="6">
        <v>24.517</v>
      </c>
      <c r="H6" s="7">
        <v>339.1</v>
      </c>
      <c r="I6" s="6">
        <v>126.004</v>
      </c>
      <c r="J6" s="8">
        <v>0.00145837962962963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135</v>
      </c>
      <c r="C7" s="6">
        <v>123.416</v>
      </c>
      <c r="D7" s="6">
        <v>34.744</v>
      </c>
      <c r="E7" s="6">
        <v>30.361</v>
      </c>
      <c r="F7" s="6">
        <v>33.905</v>
      </c>
      <c r="G7" s="6">
        <v>24.406</v>
      </c>
      <c r="H7" s="7">
        <v>343.5</v>
      </c>
      <c r="I7" s="6">
        <v>249.42</v>
      </c>
      <c r="J7" s="8">
        <v>0.001428425925925926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136</v>
      </c>
      <c r="C8" s="6">
        <v>123.452</v>
      </c>
      <c r="D8" s="6">
        <v>34.624</v>
      </c>
      <c r="E8" s="6">
        <v>29.687</v>
      </c>
      <c r="F8" s="6">
        <v>34.689</v>
      </c>
      <c r="G8" s="6">
        <v>24.452</v>
      </c>
      <c r="H8" s="7">
        <v>336.9</v>
      </c>
      <c r="I8" s="6">
        <v>372.872</v>
      </c>
      <c r="J8" s="8">
        <v>0.001428842592592593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137</v>
      </c>
      <c r="C9" s="6">
        <v>122.28</v>
      </c>
      <c r="D9" s="6">
        <v>34.457</v>
      </c>
      <c r="E9" s="6">
        <v>29.523</v>
      </c>
      <c r="F9" s="6">
        <v>33.913</v>
      </c>
      <c r="G9" s="6">
        <v>24.387</v>
      </c>
      <c r="H9" s="7">
        <v>335.9</v>
      </c>
      <c r="I9" s="6">
        <v>495.152</v>
      </c>
      <c r="J9" s="8">
        <v>0.001415277777777778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138</v>
      </c>
      <c r="C10" s="6">
        <v>122.399</v>
      </c>
      <c r="D10" s="6">
        <v>34.513</v>
      </c>
      <c r="E10" s="6">
        <v>29.505</v>
      </c>
      <c r="F10" s="6">
        <v>33.994</v>
      </c>
      <c r="G10" s="6">
        <v>24.387</v>
      </c>
      <c r="H10" s="7">
        <v>336.9</v>
      </c>
      <c r="I10" s="6">
        <v>617.551</v>
      </c>
      <c r="J10" s="8">
        <v>0.001416655092592593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139</v>
      </c>
      <c r="C11" s="6">
        <v>122.259</v>
      </c>
      <c r="D11" s="6">
        <v>34.42</v>
      </c>
      <c r="E11" s="6">
        <v>29.613</v>
      </c>
      <c r="F11" s="6">
        <v>33.901</v>
      </c>
      <c r="G11" s="6">
        <v>24.325</v>
      </c>
      <c r="H11" s="7">
        <v>339.1</v>
      </c>
      <c r="I11" s="6">
        <v>739.8099999999999</v>
      </c>
      <c r="J11" s="8">
        <v>0.001415034722222222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140</v>
      </c>
      <c r="C12" s="6">
        <v>122.502</v>
      </c>
      <c r="D12" s="6">
        <v>34.479</v>
      </c>
      <c r="E12" s="6">
        <v>29.584</v>
      </c>
      <c r="F12" s="6">
        <v>34.032</v>
      </c>
      <c r="G12" s="6">
        <v>24.407</v>
      </c>
      <c r="H12" s="7">
        <v>341.3</v>
      </c>
      <c r="I12" s="6">
        <v>862.312</v>
      </c>
      <c r="J12" s="8">
        <v>0.001417847222222222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141</v>
      </c>
      <c r="C13" s="6">
        <v>122.315</v>
      </c>
      <c r="D13" s="6">
        <v>34.366</v>
      </c>
      <c r="E13" s="6">
        <v>29.526</v>
      </c>
      <c r="F13" s="6">
        <v>33.937</v>
      </c>
      <c r="G13" s="6">
        <v>24.486</v>
      </c>
      <c r="H13" s="7">
        <v>342.4</v>
      </c>
      <c r="I13" s="6">
        <v>984.627</v>
      </c>
      <c r="J13" s="8">
        <v>0.00141568287037037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142</v>
      </c>
      <c r="C14" s="6">
        <v>122.506</v>
      </c>
      <c r="D14" s="6">
        <v>34.615</v>
      </c>
      <c r="E14" s="6">
        <v>29.51</v>
      </c>
      <c r="F14" s="6">
        <v>34.04</v>
      </c>
      <c r="G14" s="6">
        <v>24.341</v>
      </c>
      <c r="H14" s="7">
        <v>340.2</v>
      </c>
      <c r="I14" s="6">
        <v>1107.133</v>
      </c>
      <c r="J14" s="8">
        <v>0.001417893518518518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143</v>
      </c>
      <c r="C15" s="6">
        <v>122.698</v>
      </c>
      <c r="D15" s="6">
        <v>34.387</v>
      </c>
      <c r="E15" s="6">
        <v>29.618</v>
      </c>
      <c r="F15" s="6">
        <v>34.21</v>
      </c>
      <c r="G15" s="6">
        <v>24.483</v>
      </c>
      <c r="H15" s="7">
        <v>336.9</v>
      </c>
      <c r="I15" s="6">
        <v>1229.831</v>
      </c>
      <c r="J15" s="8">
        <v>0.001420115740740741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63</v>
      </c>
      <c r="C16" s="6">
        <v>122.385</v>
      </c>
      <c r="D16" s="6">
        <v>34.443</v>
      </c>
      <c r="E16" s="6">
        <v>29.483</v>
      </c>
      <c r="F16" s="6">
        <v>34.037</v>
      </c>
      <c r="G16" s="6">
        <v>24.422</v>
      </c>
      <c r="H16" s="7">
        <v>338</v>
      </c>
      <c r="I16" s="6">
        <v>1352.216</v>
      </c>
      <c r="J16" s="8">
        <v>0.001416493055555556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144</v>
      </c>
      <c r="C17" s="6">
        <v>122.602</v>
      </c>
      <c r="D17" s="6">
        <v>34.524</v>
      </c>
      <c r="E17" s="6">
        <v>29.575</v>
      </c>
      <c r="F17" s="6">
        <v>33.995</v>
      </c>
      <c r="G17" s="6">
        <v>24.508</v>
      </c>
      <c r="H17" s="7">
        <v>341.3</v>
      </c>
      <c r="I17" s="6">
        <v>1474.818</v>
      </c>
      <c r="J17" s="8">
        <v>0.00141900462962963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145</v>
      </c>
      <c r="C18" s="6">
        <v>122.858</v>
      </c>
      <c r="D18" s="6">
        <v>34.526</v>
      </c>
      <c r="E18" s="6">
        <v>29.687</v>
      </c>
      <c r="F18" s="6">
        <v>34.11</v>
      </c>
      <c r="G18" s="6">
        <v>24.535</v>
      </c>
      <c r="H18" s="7">
        <v>342.4</v>
      </c>
      <c r="I18" s="6">
        <v>1597.676</v>
      </c>
      <c r="J18" s="8">
        <v>0.001421967592592593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146</v>
      </c>
      <c r="C19" s="6">
        <v>123.284</v>
      </c>
      <c r="D19" s="6">
        <v>34.671</v>
      </c>
      <c r="E19" s="6">
        <v>29.714</v>
      </c>
      <c r="F19" s="6">
        <v>34.325</v>
      </c>
      <c r="G19" s="6">
        <v>24.574</v>
      </c>
      <c r="H19" s="7">
        <v>341.3</v>
      </c>
      <c r="I19" s="6">
        <v>1720.96</v>
      </c>
      <c r="J19" s="8">
        <v>0.001426898148148148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147</v>
      </c>
      <c r="C20" s="6">
        <v>123.427</v>
      </c>
      <c r="D20" s="6">
        <v>34.82</v>
      </c>
      <c r="E20" s="6">
        <v>29.667</v>
      </c>
      <c r="F20" s="6">
        <v>34.437</v>
      </c>
      <c r="G20" s="6">
        <v>24.503</v>
      </c>
      <c r="H20" s="7">
        <v>340.2</v>
      </c>
      <c r="I20" s="6">
        <v>1844.387</v>
      </c>
      <c r="J20" s="8">
        <v>0.001428553240740741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148</v>
      </c>
      <c r="C21" s="6">
        <v>123.279</v>
      </c>
      <c r="D21" s="6">
        <v>34.632</v>
      </c>
      <c r="E21" s="6">
        <v>29.74</v>
      </c>
      <c r="F21" s="6">
        <v>34.318</v>
      </c>
      <c r="G21" s="6">
        <v>24.589</v>
      </c>
      <c r="H21" s="7">
        <v>346.9</v>
      </c>
      <c r="I21" s="6">
        <v>1967.666</v>
      </c>
      <c r="J21" s="8">
        <v>0.001426840277777778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93</v>
      </c>
      <c r="C22" s="6">
        <v>123.184</v>
      </c>
      <c r="D22" s="6">
        <v>34.637</v>
      </c>
      <c r="E22" s="6">
        <v>29.87</v>
      </c>
      <c r="F22" s="6">
        <v>34.12</v>
      </c>
      <c r="G22" s="6">
        <v>24.557</v>
      </c>
      <c r="H22" s="7">
        <v>344.7</v>
      </c>
      <c r="I22" s="6">
        <v>2090.85</v>
      </c>
      <c r="J22" s="8">
        <v>0.001425740740740741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149</v>
      </c>
      <c r="C23" s="6">
        <v>123.027</v>
      </c>
      <c r="D23" s="6">
        <v>34.615</v>
      </c>
      <c r="E23" s="6">
        <v>29.815</v>
      </c>
      <c r="F23" s="6">
        <v>34.143</v>
      </c>
      <c r="G23" s="6">
        <v>24.454</v>
      </c>
      <c r="H23" s="7">
        <v>339.1</v>
      </c>
      <c r="I23" s="6">
        <v>2213.877</v>
      </c>
      <c r="J23" s="8">
        <v>0.001423923611111111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150</v>
      </c>
      <c r="C24" s="6">
        <v>122.558</v>
      </c>
      <c r="D24" s="6">
        <v>34.622</v>
      </c>
      <c r="E24" s="6">
        <v>29.473</v>
      </c>
      <c r="F24" s="6">
        <v>34.073</v>
      </c>
      <c r="G24" s="6">
        <v>24.39</v>
      </c>
      <c r="H24" s="7">
        <v>343.5</v>
      </c>
      <c r="I24" s="6">
        <v>2336.435</v>
      </c>
      <c r="J24" s="8">
        <v>0.001418495370370371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118</v>
      </c>
      <c r="C25" s="6">
        <v>122.461</v>
      </c>
      <c r="D25" s="6">
        <v>34.625</v>
      </c>
      <c r="E25" s="6">
        <v>29.386</v>
      </c>
      <c r="F25" s="6">
        <v>34.067</v>
      </c>
      <c r="G25" s="6">
        <v>24.383</v>
      </c>
      <c r="H25" s="7">
        <v>345.8</v>
      </c>
      <c r="I25" s="6">
        <v>2458.896</v>
      </c>
      <c r="J25" s="8">
        <v>0.001417372685185185</v>
      </c>
      <c r="K25" s="9" t="b">
        <v>0</v>
      </c>
      <c r="L25" s="9" t="b">
        <v>0</v>
      </c>
      <c r="M25" s="9" t="b">
        <v>0</v>
      </c>
    </row>
  </sheetData>
  <autoFilter ref="A5:M25"/>
  <mergeCells count="1">
    <mergeCell ref="A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2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151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152</v>
      </c>
      <c r="C3" s="2" t="s">
        <v>3</v>
      </c>
      <c r="D3" s="2" t="s">
        <v>91</v>
      </c>
      <c r="E3" s="2" t="s">
        <v>5</v>
      </c>
      <c r="F3" s="2" t="s">
        <v>46</v>
      </c>
      <c r="G3" s="2" t="s">
        <v>7</v>
      </c>
      <c r="H3" s="2">
        <v>20</v>
      </c>
      <c r="I3" s="2" t="s">
        <v>8</v>
      </c>
      <c r="J3" s="2">
        <v>17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153</v>
      </c>
      <c r="C6" s="6">
        <v>124.724</v>
      </c>
      <c r="D6" s="6">
        <v>35.7</v>
      </c>
      <c r="E6" s="6">
        <v>29.853</v>
      </c>
      <c r="F6" s="6">
        <v>34.725</v>
      </c>
      <c r="G6" s="6">
        <v>24.446</v>
      </c>
      <c r="H6" s="7">
        <v>330.6</v>
      </c>
      <c r="I6" s="6">
        <v>124.724</v>
      </c>
      <c r="J6" s="8">
        <v>0.001443564814814815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154</v>
      </c>
      <c r="C7" s="6">
        <v>123.939</v>
      </c>
      <c r="D7" s="6">
        <v>35.018</v>
      </c>
      <c r="E7" s="6">
        <v>30.125</v>
      </c>
      <c r="F7" s="6">
        <v>34.354</v>
      </c>
      <c r="G7" s="6">
        <v>24.442</v>
      </c>
      <c r="H7" s="7">
        <v>338</v>
      </c>
      <c r="I7" s="6">
        <v>248.663</v>
      </c>
      <c r="J7" s="8">
        <v>0.001434479166666667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39</v>
      </c>
      <c r="C8" s="6">
        <v>122.826</v>
      </c>
      <c r="D8" s="6">
        <v>34.595</v>
      </c>
      <c r="E8" s="6">
        <v>29.586</v>
      </c>
      <c r="F8" s="6">
        <v>34.306</v>
      </c>
      <c r="G8" s="6">
        <v>24.339</v>
      </c>
      <c r="H8" s="7">
        <v>341.3</v>
      </c>
      <c r="I8" s="6">
        <v>371.489</v>
      </c>
      <c r="J8" s="8">
        <v>0.001421597222222222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155</v>
      </c>
      <c r="C9" s="6">
        <v>122.856</v>
      </c>
      <c r="D9" s="6">
        <v>34.39</v>
      </c>
      <c r="E9" s="6">
        <v>29.802</v>
      </c>
      <c r="F9" s="6">
        <v>34.256</v>
      </c>
      <c r="G9" s="6">
        <v>24.408</v>
      </c>
      <c r="H9" s="7">
        <v>342.4</v>
      </c>
      <c r="I9" s="6">
        <v>494.345</v>
      </c>
      <c r="J9" s="8">
        <v>0.001421944444444444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156</v>
      </c>
      <c r="C10" s="6">
        <v>122.291</v>
      </c>
      <c r="D10" s="6">
        <v>34.236</v>
      </c>
      <c r="E10" s="6">
        <v>29.52</v>
      </c>
      <c r="F10" s="6">
        <v>34.15</v>
      </c>
      <c r="G10" s="6">
        <v>24.385</v>
      </c>
      <c r="H10" s="7">
        <v>341.3</v>
      </c>
      <c r="I10" s="6">
        <v>616.636</v>
      </c>
      <c r="J10" s="8">
        <v>0.001415405092592592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157</v>
      </c>
      <c r="C11" s="6">
        <v>122.674</v>
      </c>
      <c r="D11" s="6">
        <v>34.564</v>
      </c>
      <c r="E11" s="6">
        <v>29.771</v>
      </c>
      <c r="F11" s="6">
        <v>34.018</v>
      </c>
      <c r="G11" s="6">
        <v>24.321</v>
      </c>
      <c r="H11" s="7">
        <v>339.1</v>
      </c>
      <c r="I11" s="6">
        <v>739.3099999999999</v>
      </c>
      <c r="J11" s="8">
        <v>0.001419837962962963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158</v>
      </c>
      <c r="C12" s="6">
        <v>122.149</v>
      </c>
      <c r="D12" s="6">
        <v>34.252</v>
      </c>
      <c r="E12" s="6">
        <v>29.465</v>
      </c>
      <c r="F12" s="6">
        <v>34.092</v>
      </c>
      <c r="G12" s="6">
        <v>24.34</v>
      </c>
      <c r="H12" s="7">
        <v>342.4</v>
      </c>
      <c r="I12" s="6">
        <v>861.4589999999999</v>
      </c>
      <c r="J12" s="8">
        <v>0.001413761574074074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159</v>
      </c>
      <c r="C13" s="6">
        <v>122.33</v>
      </c>
      <c r="D13" s="6">
        <v>34.314</v>
      </c>
      <c r="E13" s="6">
        <v>29.472</v>
      </c>
      <c r="F13" s="6">
        <v>34.072</v>
      </c>
      <c r="G13" s="6">
        <v>24.472</v>
      </c>
      <c r="H13" s="7">
        <v>342.4</v>
      </c>
      <c r="I13" s="6">
        <v>983.789</v>
      </c>
      <c r="J13" s="8">
        <v>0.001415856481481481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160</v>
      </c>
      <c r="C14" s="6">
        <v>122.89</v>
      </c>
      <c r="D14" s="6">
        <v>34.377</v>
      </c>
      <c r="E14" s="6">
        <v>29.799</v>
      </c>
      <c r="F14" s="6">
        <v>34.221</v>
      </c>
      <c r="G14" s="6">
        <v>24.493</v>
      </c>
      <c r="H14" s="7">
        <v>340.2</v>
      </c>
      <c r="I14" s="6">
        <v>1106.679</v>
      </c>
      <c r="J14" s="8">
        <v>0.001422337962962963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161</v>
      </c>
      <c r="C15" s="6">
        <v>122.758</v>
      </c>
      <c r="D15" s="6">
        <v>34.376</v>
      </c>
      <c r="E15" s="6">
        <v>29.622</v>
      </c>
      <c r="F15" s="6">
        <v>34.205</v>
      </c>
      <c r="G15" s="6">
        <v>24.555</v>
      </c>
      <c r="H15" s="7">
        <v>344.7</v>
      </c>
      <c r="I15" s="6">
        <v>1229.437</v>
      </c>
      <c r="J15" s="8">
        <v>0.001420810185185185</v>
      </c>
      <c r="K15" s="9" t="b">
        <v>1</v>
      </c>
      <c r="L15" s="9" t="b">
        <v>0</v>
      </c>
      <c r="M15" s="9" t="b">
        <v>0</v>
      </c>
    </row>
    <row r="16" spans="1:14">
      <c r="A16" s="4">
        <v>11</v>
      </c>
      <c r="B16" s="5" t="s">
        <v>35</v>
      </c>
      <c r="C16" s="6">
        <v>122.47</v>
      </c>
      <c r="D16" s="6">
        <v>34.396</v>
      </c>
      <c r="E16" s="6">
        <v>29.51</v>
      </c>
      <c r="F16" s="6">
        <v>34.059</v>
      </c>
      <c r="G16" s="6">
        <v>24.505</v>
      </c>
      <c r="H16" s="7">
        <v>342.4</v>
      </c>
      <c r="I16" s="6">
        <v>1351.907</v>
      </c>
      <c r="J16" s="8">
        <v>0.001417476851851852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75</v>
      </c>
      <c r="C17" s="6">
        <v>122.663</v>
      </c>
      <c r="D17" s="6">
        <v>34.365</v>
      </c>
      <c r="E17" s="6">
        <v>29.7</v>
      </c>
      <c r="F17" s="6">
        <v>34.114</v>
      </c>
      <c r="G17" s="6">
        <v>24.484</v>
      </c>
      <c r="H17" s="7">
        <v>344.7</v>
      </c>
      <c r="I17" s="6">
        <v>1474.57</v>
      </c>
      <c r="J17" s="8">
        <v>0.001419710648148148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162</v>
      </c>
      <c r="C18" s="6">
        <v>122.937</v>
      </c>
      <c r="D18" s="6">
        <v>34.454</v>
      </c>
      <c r="E18" s="6">
        <v>29.787</v>
      </c>
      <c r="F18" s="6">
        <v>34.165</v>
      </c>
      <c r="G18" s="6">
        <v>24.531</v>
      </c>
      <c r="H18" s="7">
        <v>340.2</v>
      </c>
      <c r="I18" s="6">
        <v>1597.507</v>
      </c>
      <c r="J18" s="8">
        <v>0.001422881944444444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163</v>
      </c>
      <c r="C19" s="6">
        <v>123.269</v>
      </c>
      <c r="D19" s="6">
        <v>34.581</v>
      </c>
      <c r="E19" s="6">
        <v>29.835</v>
      </c>
      <c r="F19" s="6">
        <v>34.269</v>
      </c>
      <c r="G19" s="6">
        <v>24.584</v>
      </c>
      <c r="H19" s="7">
        <v>342.4</v>
      </c>
      <c r="I19" s="6">
        <v>1720.776</v>
      </c>
      <c r="J19" s="8">
        <v>0.001426724537037037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164</v>
      </c>
      <c r="C20" s="6">
        <v>124.291</v>
      </c>
      <c r="D20" s="6">
        <v>35.099</v>
      </c>
      <c r="E20" s="6">
        <v>30.31</v>
      </c>
      <c r="F20" s="6">
        <v>34.387</v>
      </c>
      <c r="G20" s="6">
        <v>24.495</v>
      </c>
      <c r="H20" s="7">
        <v>343.5</v>
      </c>
      <c r="I20" s="6">
        <v>1845.067</v>
      </c>
      <c r="J20" s="8">
        <v>0.001438553240740741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165</v>
      </c>
      <c r="C21" s="6">
        <v>123.255</v>
      </c>
      <c r="D21" s="6">
        <v>34.592</v>
      </c>
      <c r="E21" s="6">
        <v>29.848</v>
      </c>
      <c r="F21" s="6">
        <v>34.274</v>
      </c>
      <c r="G21" s="6">
        <v>24.541</v>
      </c>
      <c r="H21" s="7">
        <v>344.7</v>
      </c>
      <c r="I21" s="6">
        <v>1968.322</v>
      </c>
      <c r="J21" s="8">
        <v>0.0014265625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166</v>
      </c>
      <c r="C22" s="6">
        <v>123.461</v>
      </c>
      <c r="D22" s="6">
        <v>34.555</v>
      </c>
      <c r="E22" s="6">
        <v>29.904</v>
      </c>
      <c r="F22" s="6">
        <v>34.35</v>
      </c>
      <c r="G22" s="6">
        <v>24.652</v>
      </c>
      <c r="H22" s="7">
        <v>341.3</v>
      </c>
      <c r="I22" s="6">
        <v>2091.783</v>
      </c>
      <c r="J22" s="8">
        <v>0.001428946759259259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167</v>
      </c>
      <c r="C23" s="6">
        <v>123.474</v>
      </c>
      <c r="D23" s="6">
        <v>34.691</v>
      </c>
      <c r="E23" s="6">
        <v>29.922</v>
      </c>
      <c r="F23" s="6">
        <v>34.267</v>
      </c>
      <c r="G23" s="6">
        <v>24.594</v>
      </c>
      <c r="H23" s="7">
        <v>342.4</v>
      </c>
      <c r="I23" s="6">
        <v>2215.257</v>
      </c>
      <c r="J23" s="8">
        <v>0.001429097222222222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168</v>
      </c>
      <c r="C24" s="6">
        <v>123.317</v>
      </c>
      <c r="D24" s="6">
        <v>34.618</v>
      </c>
      <c r="E24" s="6">
        <v>29.904</v>
      </c>
      <c r="F24" s="6">
        <v>34.281</v>
      </c>
      <c r="G24" s="6">
        <v>24.514</v>
      </c>
      <c r="H24" s="7">
        <v>339.1</v>
      </c>
      <c r="I24" s="6">
        <v>2338.574</v>
      </c>
      <c r="J24" s="8">
        <v>0.001427280092592593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169</v>
      </c>
      <c r="C25" s="6">
        <v>123.332</v>
      </c>
      <c r="D25" s="6">
        <v>34.706</v>
      </c>
      <c r="E25" s="6">
        <v>29.85</v>
      </c>
      <c r="F25" s="6">
        <v>34.208</v>
      </c>
      <c r="G25" s="6">
        <v>24.568</v>
      </c>
      <c r="H25" s="7">
        <v>341.3</v>
      </c>
      <c r="I25" s="6">
        <v>2461.906</v>
      </c>
      <c r="J25" s="8">
        <v>0.001427453703703704</v>
      </c>
      <c r="K25" s="9" t="b">
        <v>1</v>
      </c>
      <c r="L25" s="9" t="b">
        <v>0</v>
      </c>
      <c r="M25" s="9" t="b">
        <v>0</v>
      </c>
    </row>
  </sheetData>
  <autoFilter ref="A5:M25"/>
  <mergeCells count="1">
    <mergeCell ref="A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2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170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171</v>
      </c>
      <c r="C3" s="2" t="s">
        <v>3</v>
      </c>
      <c r="D3" s="2" t="s">
        <v>4</v>
      </c>
      <c r="E3" s="2" t="s">
        <v>5</v>
      </c>
      <c r="F3" s="2" t="s">
        <v>46</v>
      </c>
      <c r="G3" s="2" t="s">
        <v>7</v>
      </c>
      <c r="H3" s="2">
        <v>20</v>
      </c>
      <c r="I3" s="2" t="s">
        <v>8</v>
      </c>
      <c r="J3" s="2">
        <v>18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172</v>
      </c>
      <c r="C6" s="6">
        <v>125.863</v>
      </c>
      <c r="D6" s="6">
        <v>36.137</v>
      </c>
      <c r="E6" s="6">
        <v>30.215</v>
      </c>
      <c r="F6" s="6">
        <v>35.005</v>
      </c>
      <c r="G6" s="6">
        <v>24.506</v>
      </c>
      <c r="H6" s="7">
        <v>334.8</v>
      </c>
      <c r="I6" s="6">
        <v>125.863</v>
      </c>
      <c r="J6" s="8">
        <v>0.001456747685185185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173</v>
      </c>
      <c r="C7" s="6">
        <v>123.867</v>
      </c>
      <c r="D7" s="6">
        <v>34.975</v>
      </c>
      <c r="E7" s="6">
        <v>29.944</v>
      </c>
      <c r="F7" s="6">
        <v>34.524</v>
      </c>
      <c r="G7" s="6">
        <v>24.424</v>
      </c>
      <c r="H7" s="7">
        <v>336.9</v>
      </c>
      <c r="I7" s="6">
        <v>249.73</v>
      </c>
      <c r="J7" s="8">
        <v>0.001433645833333333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174</v>
      </c>
      <c r="C8" s="6">
        <v>123.39</v>
      </c>
      <c r="D8" s="6">
        <v>34.628</v>
      </c>
      <c r="E8" s="6">
        <v>29.789</v>
      </c>
      <c r="F8" s="6">
        <v>34.441</v>
      </c>
      <c r="G8" s="6">
        <v>24.532</v>
      </c>
      <c r="H8" s="7">
        <v>338</v>
      </c>
      <c r="I8" s="6">
        <v>373.12</v>
      </c>
      <c r="J8" s="8">
        <v>0.001428125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175</v>
      </c>
      <c r="C9" s="6">
        <v>123.025</v>
      </c>
      <c r="D9" s="6">
        <v>34.537</v>
      </c>
      <c r="E9" s="6">
        <v>29.833</v>
      </c>
      <c r="F9" s="6">
        <v>34.242</v>
      </c>
      <c r="G9" s="6">
        <v>24.413</v>
      </c>
      <c r="H9" s="7">
        <v>332.7</v>
      </c>
      <c r="I9" s="6">
        <v>496.145</v>
      </c>
      <c r="J9" s="8">
        <v>0.001423900462962963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176</v>
      </c>
      <c r="C10" s="6">
        <v>122.88</v>
      </c>
      <c r="D10" s="6">
        <v>34.438</v>
      </c>
      <c r="E10" s="6">
        <v>30.006</v>
      </c>
      <c r="F10" s="6">
        <v>34.111</v>
      </c>
      <c r="G10" s="6">
        <v>24.325</v>
      </c>
      <c r="H10" s="7">
        <v>332.7</v>
      </c>
      <c r="I10" s="6">
        <v>619.025</v>
      </c>
      <c r="J10" s="8">
        <v>0.001422222222222222</v>
      </c>
      <c r="K10" s="9" t="b">
        <v>1</v>
      </c>
      <c r="L10" s="9" t="b">
        <v>0</v>
      </c>
      <c r="M10" s="9" t="b">
        <v>0</v>
      </c>
    </row>
    <row r="11" spans="1:14">
      <c r="A11" s="4">
        <v>6</v>
      </c>
      <c r="B11" s="5" t="s">
        <v>177</v>
      </c>
      <c r="C11" s="6">
        <v>122.56</v>
      </c>
      <c r="D11" s="6">
        <v>34.438</v>
      </c>
      <c r="E11" s="6">
        <v>29.754</v>
      </c>
      <c r="F11" s="6">
        <v>34.04</v>
      </c>
      <c r="G11" s="6">
        <v>24.328</v>
      </c>
      <c r="H11" s="7">
        <v>335.9</v>
      </c>
      <c r="I11" s="6">
        <v>741.585</v>
      </c>
      <c r="J11" s="8">
        <v>0.001418518518518519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178</v>
      </c>
      <c r="C12" s="6">
        <v>123.183</v>
      </c>
      <c r="D12" s="6">
        <v>34.407</v>
      </c>
      <c r="E12" s="6">
        <v>30.048</v>
      </c>
      <c r="F12" s="6">
        <v>34.306</v>
      </c>
      <c r="G12" s="6">
        <v>24.422</v>
      </c>
      <c r="H12" s="7">
        <v>339.1</v>
      </c>
      <c r="I12" s="6">
        <v>864.768</v>
      </c>
      <c r="J12" s="8">
        <v>0.001425729166666667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179</v>
      </c>
      <c r="C13" s="6">
        <v>122.553</v>
      </c>
      <c r="D13" s="6">
        <v>34.518</v>
      </c>
      <c r="E13" s="6">
        <v>29.565</v>
      </c>
      <c r="F13" s="6">
        <v>34.133</v>
      </c>
      <c r="G13" s="6">
        <v>24.337</v>
      </c>
      <c r="H13" s="7">
        <v>336.9</v>
      </c>
      <c r="I13" s="6">
        <v>987.321</v>
      </c>
      <c r="J13" s="8">
        <v>0.0014184375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180</v>
      </c>
      <c r="C14" s="6">
        <v>122.413</v>
      </c>
      <c r="D14" s="6">
        <v>34.437</v>
      </c>
      <c r="E14" s="6">
        <v>29.635</v>
      </c>
      <c r="F14" s="6">
        <v>34.049</v>
      </c>
      <c r="G14" s="6">
        <v>24.292</v>
      </c>
      <c r="H14" s="7">
        <v>338</v>
      </c>
      <c r="I14" s="6">
        <v>1109.734</v>
      </c>
      <c r="J14" s="8">
        <v>0.00141681712962963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181</v>
      </c>
      <c r="C15" s="6">
        <v>122.675</v>
      </c>
      <c r="D15" s="6">
        <v>34.409</v>
      </c>
      <c r="E15" s="6">
        <v>29.792</v>
      </c>
      <c r="F15" s="6">
        <v>34.068</v>
      </c>
      <c r="G15" s="6">
        <v>24.406</v>
      </c>
      <c r="H15" s="7">
        <v>335.9</v>
      </c>
      <c r="I15" s="6">
        <v>1232.409</v>
      </c>
      <c r="J15" s="8">
        <v>0.001419849537037037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62</v>
      </c>
      <c r="C16" s="6">
        <v>122.483</v>
      </c>
      <c r="D16" s="6">
        <v>34.357</v>
      </c>
      <c r="E16" s="6">
        <v>29.524</v>
      </c>
      <c r="F16" s="6">
        <v>34.201</v>
      </c>
      <c r="G16" s="6">
        <v>24.401</v>
      </c>
      <c r="H16" s="7">
        <v>338</v>
      </c>
      <c r="I16" s="6">
        <v>1354.892</v>
      </c>
      <c r="J16" s="8">
        <v>0.001417627314814815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182</v>
      </c>
      <c r="C17" s="6">
        <v>122.51</v>
      </c>
      <c r="D17" s="6">
        <v>34.434</v>
      </c>
      <c r="E17" s="6">
        <v>29.591</v>
      </c>
      <c r="F17" s="6">
        <v>34.071</v>
      </c>
      <c r="G17" s="6">
        <v>24.414</v>
      </c>
      <c r="H17" s="7">
        <v>338</v>
      </c>
      <c r="I17" s="6">
        <v>1477.402</v>
      </c>
      <c r="J17" s="8">
        <v>0.001417939814814815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183</v>
      </c>
      <c r="C18" s="6">
        <v>122.943</v>
      </c>
      <c r="D18" s="6">
        <v>34.5</v>
      </c>
      <c r="E18" s="6">
        <v>29.739</v>
      </c>
      <c r="F18" s="6">
        <v>34.201</v>
      </c>
      <c r="G18" s="6">
        <v>24.503</v>
      </c>
      <c r="H18" s="7">
        <v>333.7</v>
      </c>
      <c r="I18" s="6">
        <v>1600.345</v>
      </c>
      <c r="J18" s="8">
        <v>0.001422951388888889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184</v>
      </c>
      <c r="C19" s="6">
        <v>123.033</v>
      </c>
      <c r="D19" s="6">
        <v>34.56</v>
      </c>
      <c r="E19" s="6">
        <v>29.809</v>
      </c>
      <c r="F19" s="6">
        <v>34.192</v>
      </c>
      <c r="G19" s="6">
        <v>24.472</v>
      </c>
      <c r="H19" s="7">
        <v>334.8</v>
      </c>
      <c r="I19" s="6">
        <v>1723.378</v>
      </c>
      <c r="J19" s="8">
        <v>0.001423993055555556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185</v>
      </c>
      <c r="C20" s="6">
        <v>123.236</v>
      </c>
      <c r="D20" s="6">
        <v>34.592</v>
      </c>
      <c r="E20" s="6">
        <v>30.049</v>
      </c>
      <c r="F20" s="6">
        <v>34.198</v>
      </c>
      <c r="G20" s="6">
        <v>24.397</v>
      </c>
      <c r="H20" s="7">
        <v>332.7</v>
      </c>
      <c r="I20" s="6">
        <v>1846.614</v>
      </c>
      <c r="J20" s="8">
        <v>0.001426342592592593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186</v>
      </c>
      <c r="C21" s="6">
        <v>122.894</v>
      </c>
      <c r="D21" s="6">
        <v>34.598</v>
      </c>
      <c r="E21" s="6">
        <v>29.771</v>
      </c>
      <c r="F21" s="6">
        <v>34.105</v>
      </c>
      <c r="G21" s="6">
        <v>24.42</v>
      </c>
      <c r="H21" s="7">
        <v>334.8</v>
      </c>
      <c r="I21" s="6">
        <v>1969.508</v>
      </c>
      <c r="J21" s="8">
        <v>0.001422384259259259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187</v>
      </c>
      <c r="C22" s="6">
        <v>123.244</v>
      </c>
      <c r="D22" s="6">
        <v>34.693</v>
      </c>
      <c r="E22" s="6">
        <v>29.749</v>
      </c>
      <c r="F22" s="6">
        <v>34.249</v>
      </c>
      <c r="G22" s="6">
        <v>24.553</v>
      </c>
      <c r="H22" s="7">
        <v>333.7</v>
      </c>
      <c r="I22" s="6">
        <v>2092.752</v>
      </c>
      <c r="J22" s="8">
        <v>0.001426435185185185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188</v>
      </c>
      <c r="C23" s="6">
        <v>123.453</v>
      </c>
      <c r="D23" s="6">
        <v>34.689</v>
      </c>
      <c r="E23" s="6">
        <v>29.821</v>
      </c>
      <c r="F23" s="6">
        <v>34.405</v>
      </c>
      <c r="G23" s="6">
        <v>24.538</v>
      </c>
      <c r="H23" s="7">
        <v>335.9</v>
      </c>
      <c r="I23" s="6">
        <v>2216.205</v>
      </c>
      <c r="J23" s="8">
        <v>0.001428854166666667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189</v>
      </c>
      <c r="C24" s="6">
        <v>123.395</v>
      </c>
      <c r="D24" s="6">
        <v>34.756</v>
      </c>
      <c r="E24" s="6">
        <v>29.753</v>
      </c>
      <c r="F24" s="6">
        <v>34.28</v>
      </c>
      <c r="G24" s="6">
        <v>24.606</v>
      </c>
      <c r="H24" s="7">
        <v>338</v>
      </c>
      <c r="I24" s="6">
        <v>2339.6</v>
      </c>
      <c r="J24" s="8">
        <v>0.00142818287037037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190</v>
      </c>
      <c r="C25" s="6">
        <v>124.182</v>
      </c>
      <c r="D25" s="6">
        <v>34.899</v>
      </c>
      <c r="E25" s="6">
        <v>29.965</v>
      </c>
      <c r="F25" s="6">
        <v>34.512</v>
      </c>
      <c r="G25" s="6">
        <v>24.806</v>
      </c>
      <c r="H25" s="7">
        <v>336.9</v>
      </c>
      <c r="I25" s="6">
        <v>2463.782</v>
      </c>
      <c r="J25" s="8">
        <v>0.001437291666666667</v>
      </c>
      <c r="K25" s="9" t="b">
        <v>0</v>
      </c>
      <c r="L25" s="9" t="b">
        <v>0</v>
      </c>
      <c r="M25" s="9" t="b">
        <v>0</v>
      </c>
    </row>
  </sheetData>
  <autoFilter ref="A5:M25"/>
  <mergeCells count="1">
    <mergeCell ref="A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2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191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192</v>
      </c>
      <c r="C3" s="2" t="s">
        <v>3</v>
      </c>
      <c r="D3" s="2" t="s">
        <v>193</v>
      </c>
      <c r="E3" s="2" t="s">
        <v>5</v>
      </c>
      <c r="F3" s="2" t="s">
        <v>6</v>
      </c>
      <c r="G3" s="2" t="s">
        <v>7</v>
      </c>
      <c r="H3" s="2">
        <v>20</v>
      </c>
      <c r="I3" s="2" t="s">
        <v>8</v>
      </c>
      <c r="J3" s="2">
        <v>19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194</v>
      </c>
      <c r="C6" s="6">
        <v>126.495</v>
      </c>
      <c r="D6" s="6">
        <v>36.544</v>
      </c>
      <c r="E6" s="6">
        <v>30.397</v>
      </c>
      <c r="F6" s="6">
        <v>34.739</v>
      </c>
      <c r="G6" s="6">
        <v>24.815</v>
      </c>
      <c r="H6" s="7">
        <v>344.7</v>
      </c>
      <c r="I6" s="6">
        <v>126.495</v>
      </c>
      <c r="J6" s="8">
        <v>0.0014640625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195</v>
      </c>
      <c r="C7" s="6">
        <v>123.938</v>
      </c>
      <c r="D7" s="6">
        <v>34.647</v>
      </c>
      <c r="E7" s="6">
        <v>30.651</v>
      </c>
      <c r="F7" s="6">
        <v>34.103</v>
      </c>
      <c r="G7" s="6">
        <v>24.537</v>
      </c>
      <c r="H7" s="7">
        <v>340.2</v>
      </c>
      <c r="I7" s="6">
        <v>250.433</v>
      </c>
      <c r="J7" s="8">
        <v>0.001434467592592593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196</v>
      </c>
      <c r="C8" s="6">
        <v>123.034</v>
      </c>
      <c r="D8" s="6">
        <v>34.655</v>
      </c>
      <c r="E8" s="6">
        <v>29.64</v>
      </c>
      <c r="F8" s="6">
        <v>34.166</v>
      </c>
      <c r="G8" s="6">
        <v>24.573</v>
      </c>
      <c r="H8" s="7">
        <v>338</v>
      </c>
      <c r="I8" s="6">
        <v>373.467</v>
      </c>
      <c r="J8" s="8">
        <v>0.00142400462962963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197</v>
      </c>
      <c r="C9" s="6">
        <v>123.509</v>
      </c>
      <c r="D9" s="6">
        <v>34.607</v>
      </c>
      <c r="E9" s="6">
        <v>29.789</v>
      </c>
      <c r="F9" s="6">
        <v>34.422</v>
      </c>
      <c r="G9" s="6">
        <v>24.691</v>
      </c>
      <c r="H9" s="7">
        <v>335.9</v>
      </c>
      <c r="I9" s="6">
        <v>496.976</v>
      </c>
      <c r="J9" s="8">
        <v>0.001429502314814815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198</v>
      </c>
      <c r="C10" s="6">
        <v>123.277</v>
      </c>
      <c r="D10" s="6">
        <v>35.079</v>
      </c>
      <c r="E10" s="6">
        <v>29.688</v>
      </c>
      <c r="F10" s="6">
        <v>34.035</v>
      </c>
      <c r="G10" s="6">
        <v>24.475</v>
      </c>
      <c r="H10" s="7">
        <v>341.3</v>
      </c>
      <c r="I10" s="6">
        <v>620.253</v>
      </c>
      <c r="J10" s="8">
        <v>0.00142681712962963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199</v>
      </c>
      <c r="C11" s="6">
        <v>122.719</v>
      </c>
      <c r="D11" s="6">
        <v>34.52</v>
      </c>
      <c r="E11" s="6">
        <v>29.711</v>
      </c>
      <c r="F11" s="6">
        <v>33.997</v>
      </c>
      <c r="G11" s="6">
        <v>24.491</v>
      </c>
      <c r="H11" s="7">
        <v>338</v>
      </c>
      <c r="I11" s="6">
        <v>742.972</v>
      </c>
      <c r="J11" s="8">
        <v>0.001420358796296296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200</v>
      </c>
      <c r="C12" s="6">
        <v>122.851</v>
      </c>
      <c r="D12" s="6">
        <v>34.515</v>
      </c>
      <c r="E12" s="6">
        <v>29.734</v>
      </c>
      <c r="F12" s="6">
        <v>34.065</v>
      </c>
      <c r="G12" s="6">
        <v>24.537</v>
      </c>
      <c r="H12" s="7">
        <v>339.1</v>
      </c>
      <c r="I12" s="6">
        <v>865.823</v>
      </c>
      <c r="J12" s="8">
        <v>0.001421886574074074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65</v>
      </c>
      <c r="C13" s="6">
        <v>122.789</v>
      </c>
      <c r="D13" s="6">
        <v>34.583</v>
      </c>
      <c r="E13" s="6">
        <v>29.624</v>
      </c>
      <c r="F13" s="6">
        <v>34.03</v>
      </c>
      <c r="G13" s="6">
        <v>24.552</v>
      </c>
      <c r="H13" s="7">
        <v>339.1</v>
      </c>
      <c r="I13" s="6">
        <v>988.612</v>
      </c>
      <c r="J13" s="8">
        <v>0.001421168981481482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131</v>
      </c>
      <c r="C14" s="6">
        <v>122.457</v>
      </c>
      <c r="D14" s="6">
        <v>34.501</v>
      </c>
      <c r="E14" s="6">
        <v>29.497</v>
      </c>
      <c r="F14" s="6">
        <v>33.983</v>
      </c>
      <c r="G14" s="6">
        <v>24.476</v>
      </c>
      <c r="H14" s="7">
        <v>340.2</v>
      </c>
      <c r="I14" s="6">
        <v>1111.069</v>
      </c>
      <c r="J14" s="8">
        <v>0.001417326388888889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201</v>
      </c>
      <c r="C15" s="6">
        <v>122.802</v>
      </c>
      <c r="D15" s="6">
        <v>34.603</v>
      </c>
      <c r="E15" s="6">
        <v>29.64</v>
      </c>
      <c r="F15" s="6">
        <v>34.018</v>
      </c>
      <c r="G15" s="6">
        <v>24.541</v>
      </c>
      <c r="H15" s="7">
        <v>336.9</v>
      </c>
      <c r="I15" s="6">
        <v>1233.871</v>
      </c>
      <c r="J15" s="8">
        <v>0.001421319444444444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202</v>
      </c>
      <c r="C16" s="6">
        <v>122.612</v>
      </c>
      <c r="D16" s="6">
        <v>34.561</v>
      </c>
      <c r="E16" s="6">
        <v>29.452</v>
      </c>
      <c r="F16" s="6">
        <v>34.113</v>
      </c>
      <c r="G16" s="6">
        <v>24.486</v>
      </c>
      <c r="H16" s="7">
        <v>339.1</v>
      </c>
      <c r="I16" s="6">
        <v>1356.483</v>
      </c>
      <c r="J16" s="8">
        <v>0.00141912037037037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203</v>
      </c>
      <c r="C17" s="6">
        <v>122.682</v>
      </c>
      <c r="D17" s="6">
        <v>34.583</v>
      </c>
      <c r="E17" s="6">
        <v>29.547</v>
      </c>
      <c r="F17" s="6">
        <v>34.02</v>
      </c>
      <c r="G17" s="6">
        <v>24.532</v>
      </c>
      <c r="H17" s="7">
        <v>339.1</v>
      </c>
      <c r="I17" s="6">
        <v>1479.165</v>
      </c>
      <c r="J17" s="8">
        <v>0.001419930555555556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204</v>
      </c>
      <c r="C18" s="6">
        <v>122.824</v>
      </c>
      <c r="D18" s="6">
        <v>34.699</v>
      </c>
      <c r="E18" s="6">
        <v>29.606</v>
      </c>
      <c r="F18" s="6">
        <v>34.047</v>
      </c>
      <c r="G18" s="6">
        <v>24.472</v>
      </c>
      <c r="H18" s="7">
        <v>336.9</v>
      </c>
      <c r="I18" s="6">
        <v>1601.989</v>
      </c>
      <c r="J18" s="8">
        <v>0.001421574074074074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205</v>
      </c>
      <c r="C19" s="6">
        <v>122.834</v>
      </c>
      <c r="D19" s="6">
        <v>34.695</v>
      </c>
      <c r="E19" s="6">
        <v>29.639</v>
      </c>
      <c r="F19" s="6">
        <v>34.02</v>
      </c>
      <c r="G19" s="6">
        <v>24.48</v>
      </c>
      <c r="H19" s="7">
        <v>336.9</v>
      </c>
      <c r="I19" s="6">
        <v>1724.823</v>
      </c>
      <c r="J19" s="8">
        <v>0.001421689814814815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146</v>
      </c>
      <c r="C20" s="6">
        <v>123.284</v>
      </c>
      <c r="D20" s="6">
        <v>34.681</v>
      </c>
      <c r="E20" s="6">
        <v>29.932</v>
      </c>
      <c r="F20" s="6">
        <v>34.179</v>
      </c>
      <c r="G20" s="6">
        <v>24.492</v>
      </c>
      <c r="H20" s="7">
        <v>336.9</v>
      </c>
      <c r="I20" s="6">
        <v>1848.107</v>
      </c>
      <c r="J20" s="8">
        <v>0.001426898148148148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206</v>
      </c>
      <c r="C21" s="6">
        <v>123.263</v>
      </c>
      <c r="D21" s="6">
        <v>34.587</v>
      </c>
      <c r="E21" s="6">
        <v>29.696</v>
      </c>
      <c r="F21" s="6">
        <v>34.191</v>
      </c>
      <c r="G21" s="6">
        <v>24.789</v>
      </c>
      <c r="H21" s="7">
        <v>338</v>
      </c>
      <c r="I21" s="6">
        <v>1971.37</v>
      </c>
      <c r="J21" s="8">
        <v>0.001426655092592593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207</v>
      </c>
      <c r="C22" s="6">
        <v>123.318</v>
      </c>
      <c r="D22" s="6">
        <v>34.753</v>
      </c>
      <c r="E22" s="6">
        <v>29.725</v>
      </c>
      <c r="F22" s="6">
        <v>34.258</v>
      </c>
      <c r="G22" s="6">
        <v>24.582</v>
      </c>
      <c r="H22" s="7">
        <v>334.8</v>
      </c>
      <c r="I22" s="6">
        <v>2094.688</v>
      </c>
      <c r="J22" s="8">
        <v>0.001427291666666667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208</v>
      </c>
      <c r="C23" s="6">
        <v>123.102</v>
      </c>
      <c r="D23" s="6">
        <v>34.712</v>
      </c>
      <c r="E23" s="6">
        <v>29.66</v>
      </c>
      <c r="F23" s="6">
        <v>34.135</v>
      </c>
      <c r="G23" s="6">
        <v>24.595</v>
      </c>
      <c r="H23" s="7">
        <v>338</v>
      </c>
      <c r="I23" s="6">
        <v>2217.79</v>
      </c>
      <c r="J23" s="8">
        <v>0.001424791666666667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209</v>
      </c>
      <c r="C24" s="6">
        <v>123.649</v>
      </c>
      <c r="D24" s="6">
        <v>34.73</v>
      </c>
      <c r="E24" s="6">
        <v>29.788</v>
      </c>
      <c r="F24" s="6">
        <v>34.409</v>
      </c>
      <c r="G24" s="6">
        <v>24.722</v>
      </c>
      <c r="H24" s="7">
        <v>338</v>
      </c>
      <c r="I24" s="6">
        <v>2341.439</v>
      </c>
      <c r="J24" s="8">
        <v>0.001431122685185185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210</v>
      </c>
      <c r="C25" s="6">
        <v>123.685</v>
      </c>
      <c r="D25" s="6">
        <v>34.82</v>
      </c>
      <c r="E25" s="6">
        <v>29.581</v>
      </c>
      <c r="F25" s="6">
        <v>34.307</v>
      </c>
      <c r="G25" s="6">
        <v>24.977</v>
      </c>
      <c r="H25" s="7">
        <v>344.7</v>
      </c>
      <c r="I25" s="6">
        <v>2465.124</v>
      </c>
      <c r="J25" s="8">
        <v>0.001431539351851852</v>
      </c>
      <c r="K25" s="9" t="b">
        <v>0</v>
      </c>
      <c r="L25" s="9" t="b">
        <v>0</v>
      </c>
      <c r="M25" s="9" t="b">
        <v>0</v>
      </c>
    </row>
  </sheetData>
  <autoFilter ref="A5:M25"/>
  <mergeCells count="1">
    <mergeCell ref="A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2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211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112</v>
      </c>
      <c r="C3" s="2" t="s">
        <v>3</v>
      </c>
      <c r="D3" s="2" t="s">
        <v>91</v>
      </c>
      <c r="E3" s="2" t="s">
        <v>5</v>
      </c>
      <c r="F3" s="2" t="s">
        <v>6</v>
      </c>
      <c r="G3" s="2" t="s">
        <v>7</v>
      </c>
      <c r="H3" s="2">
        <v>20</v>
      </c>
      <c r="I3" s="2" t="s">
        <v>8</v>
      </c>
      <c r="J3" s="2">
        <v>17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212</v>
      </c>
      <c r="C6" s="6">
        <v>124.501</v>
      </c>
      <c r="D6" s="6">
        <v>35.428</v>
      </c>
      <c r="E6" s="6">
        <v>29.89</v>
      </c>
      <c r="F6" s="6">
        <v>34.608</v>
      </c>
      <c r="G6" s="6">
        <v>24.575</v>
      </c>
      <c r="H6" s="7">
        <v>341.3</v>
      </c>
      <c r="I6" s="6">
        <v>124.501</v>
      </c>
      <c r="J6" s="8">
        <v>0.001440983796296296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213</v>
      </c>
      <c r="C7" s="6">
        <v>123.268</v>
      </c>
      <c r="D7" s="6">
        <v>34.883</v>
      </c>
      <c r="E7" s="6">
        <v>29.944</v>
      </c>
      <c r="F7" s="6">
        <v>34.039</v>
      </c>
      <c r="G7" s="6">
        <v>24.402</v>
      </c>
      <c r="H7" s="7">
        <v>340.2</v>
      </c>
      <c r="I7" s="6">
        <v>247.769</v>
      </c>
      <c r="J7" s="8">
        <v>0.001426712962962963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140</v>
      </c>
      <c r="C8" s="6">
        <v>122.502</v>
      </c>
      <c r="D8" s="6">
        <v>34.418</v>
      </c>
      <c r="E8" s="6">
        <v>29.712</v>
      </c>
      <c r="F8" s="6">
        <v>34.028</v>
      </c>
      <c r="G8" s="6">
        <v>24.344</v>
      </c>
      <c r="H8" s="7">
        <v>338</v>
      </c>
      <c r="I8" s="6">
        <v>370.271</v>
      </c>
      <c r="J8" s="8">
        <v>0.001417847222222222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214</v>
      </c>
      <c r="C9" s="6">
        <v>122.573</v>
      </c>
      <c r="D9" s="6">
        <v>34.62</v>
      </c>
      <c r="E9" s="6">
        <v>29.668</v>
      </c>
      <c r="F9" s="6">
        <v>33.845</v>
      </c>
      <c r="G9" s="6">
        <v>24.44</v>
      </c>
      <c r="H9" s="7">
        <v>339.1</v>
      </c>
      <c r="I9" s="6">
        <v>492.844</v>
      </c>
      <c r="J9" s="8">
        <v>0.001418668981481481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215</v>
      </c>
      <c r="C10" s="6">
        <v>122.454</v>
      </c>
      <c r="D10" s="6">
        <v>34.493</v>
      </c>
      <c r="E10" s="6">
        <v>29.558</v>
      </c>
      <c r="F10" s="6">
        <v>34.027</v>
      </c>
      <c r="G10" s="6">
        <v>24.376</v>
      </c>
      <c r="H10" s="7">
        <v>338</v>
      </c>
      <c r="I10" s="6">
        <v>615.298</v>
      </c>
      <c r="J10" s="8">
        <v>0.001417291666666667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216</v>
      </c>
      <c r="C11" s="6">
        <v>122.305</v>
      </c>
      <c r="D11" s="6">
        <v>34.504</v>
      </c>
      <c r="E11" s="6">
        <v>29.626</v>
      </c>
      <c r="F11" s="6">
        <v>33.781</v>
      </c>
      <c r="G11" s="6">
        <v>24.394</v>
      </c>
      <c r="H11" s="7">
        <v>339.1</v>
      </c>
      <c r="I11" s="6">
        <v>737.603</v>
      </c>
      <c r="J11" s="8">
        <v>0.00141556712962963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217</v>
      </c>
      <c r="C12" s="6">
        <v>122.296</v>
      </c>
      <c r="D12" s="6">
        <v>34.511</v>
      </c>
      <c r="E12" s="6">
        <v>29.597</v>
      </c>
      <c r="F12" s="6">
        <v>33.787</v>
      </c>
      <c r="G12" s="6">
        <v>24.401</v>
      </c>
      <c r="H12" s="7">
        <v>341.3</v>
      </c>
      <c r="I12" s="6">
        <v>859.899</v>
      </c>
      <c r="J12" s="8">
        <v>0.001415462962962963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218</v>
      </c>
      <c r="C13" s="6">
        <v>122.344</v>
      </c>
      <c r="D13" s="6">
        <v>34.36</v>
      </c>
      <c r="E13" s="6">
        <v>29.603</v>
      </c>
      <c r="F13" s="6">
        <v>33.877</v>
      </c>
      <c r="G13" s="6">
        <v>24.504</v>
      </c>
      <c r="H13" s="7">
        <v>342.4</v>
      </c>
      <c r="I13" s="6">
        <v>982.2430000000001</v>
      </c>
      <c r="J13" s="8">
        <v>0.001416018518518518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219</v>
      </c>
      <c r="C14" s="6">
        <v>122.62</v>
      </c>
      <c r="D14" s="6">
        <v>34.418</v>
      </c>
      <c r="E14" s="6">
        <v>29.653</v>
      </c>
      <c r="F14" s="6">
        <v>33.931</v>
      </c>
      <c r="G14" s="6">
        <v>24.618</v>
      </c>
      <c r="H14" s="7">
        <v>344.7</v>
      </c>
      <c r="I14" s="6">
        <v>1104.863</v>
      </c>
      <c r="J14" s="8">
        <v>0.001419212962962963</v>
      </c>
      <c r="K14" s="9" t="b">
        <v>1</v>
      </c>
      <c r="L14" s="9" t="b">
        <v>0</v>
      </c>
      <c r="M14" s="9" t="b">
        <v>0</v>
      </c>
    </row>
    <row r="15" spans="1:14">
      <c r="A15" s="4">
        <v>10</v>
      </c>
      <c r="B15" s="5" t="s">
        <v>220</v>
      </c>
      <c r="C15" s="6">
        <v>122.681</v>
      </c>
      <c r="D15" s="6">
        <v>34.61</v>
      </c>
      <c r="E15" s="6">
        <v>29.624</v>
      </c>
      <c r="F15" s="6">
        <v>33.914</v>
      </c>
      <c r="G15" s="6">
        <v>24.533</v>
      </c>
      <c r="H15" s="7">
        <v>341.3</v>
      </c>
      <c r="I15" s="6">
        <v>1227.544</v>
      </c>
      <c r="J15" s="8">
        <v>0.001419918981481481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221</v>
      </c>
      <c r="C16" s="6">
        <v>123.165</v>
      </c>
      <c r="D16" s="6">
        <v>34.474</v>
      </c>
      <c r="E16" s="6">
        <v>29.647</v>
      </c>
      <c r="F16" s="6">
        <v>34.109</v>
      </c>
      <c r="G16" s="6">
        <v>24.935</v>
      </c>
      <c r="H16" s="7">
        <v>342.4</v>
      </c>
      <c r="I16" s="6">
        <v>1350.709</v>
      </c>
      <c r="J16" s="8">
        <v>0.001425520833333333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222</v>
      </c>
      <c r="C17" s="6">
        <v>122.838</v>
      </c>
      <c r="D17" s="6">
        <v>34.583</v>
      </c>
      <c r="E17" s="6">
        <v>29.767</v>
      </c>
      <c r="F17" s="6">
        <v>33.965</v>
      </c>
      <c r="G17" s="6">
        <v>24.523</v>
      </c>
      <c r="H17" s="7">
        <v>343.5</v>
      </c>
      <c r="I17" s="6">
        <v>1473.547</v>
      </c>
      <c r="J17" s="8">
        <v>0.001421736111111111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223</v>
      </c>
      <c r="C18" s="6">
        <v>123.341</v>
      </c>
      <c r="D18" s="6">
        <v>34.642</v>
      </c>
      <c r="E18" s="6">
        <v>29.992</v>
      </c>
      <c r="F18" s="6">
        <v>34.049</v>
      </c>
      <c r="G18" s="6">
        <v>24.658</v>
      </c>
      <c r="H18" s="7">
        <v>340.2</v>
      </c>
      <c r="I18" s="6">
        <v>1596.888</v>
      </c>
      <c r="J18" s="8">
        <v>0.00142755787037037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224</v>
      </c>
      <c r="C19" s="6">
        <v>123.668</v>
      </c>
      <c r="D19" s="6">
        <v>34.936</v>
      </c>
      <c r="E19" s="6">
        <v>29.964</v>
      </c>
      <c r="F19" s="6">
        <v>34.058</v>
      </c>
      <c r="G19" s="6">
        <v>24.71</v>
      </c>
      <c r="H19" s="7">
        <v>339.1</v>
      </c>
      <c r="I19" s="6">
        <v>1720.556</v>
      </c>
      <c r="J19" s="8">
        <v>0.001431342592592593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225</v>
      </c>
      <c r="C20" s="6">
        <v>123.223</v>
      </c>
      <c r="D20" s="6">
        <v>34.861</v>
      </c>
      <c r="E20" s="6">
        <v>29.734</v>
      </c>
      <c r="F20" s="6">
        <v>34.031</v>
      </c>
      <c r="G20" s="6">
        <v>24.597</v>
      </c>
      <c r="H20" s="7">
        <v>338</v>
      </c>
      <c r="I20" s="6">
        <v>1843.779</v>
      </c>
      <c r="J20" s="8">
        <v>0.00142619212962963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226</v>
      </c>
      <c r="C21" s="6">
        <v>123.621</v>
      </c>
      <c r="D21" s="6">
        <v>34.665</v>
      </c>
      <c r="E21" s="6">
        <v>30.152</v>
      </c>
      <c r="F21" s="6">
        <v>34.138</v>
      </c>
      <c r="G21" s="6">
        <v>24.666</v>
      </c>
      <c r="H21" s="7">
        <v>341.3</v>
      </c>
      <c r="I21" s="6">
        <v>1967.4</v>
      </c>
      <c r="J21" s="8">
        <v>0.001430798611111111</v>
      </c>
      <c r="K21" s="9" t="b">
        <v>1</v>
      </c>
      <c r="L21" s="9" t="b">
        <v>0</v>
      </c>
      <c r="M21" s="9" t="b">
        <v>0</v>
      </c>
    </row>
    <row r="22" spans="1:13">
      <c r="A22" s="4">
        <v>17</v>
      </c>
      <c r="B22" s="5" t="s">
        <v>227</v>
      </c>
      <c r="C22" s="6">
        <v>123.073</v>
      </c>
      <c r="D22" s="6">
        <v>34.69</v>
      </c>
      <c r="E22" s="6">
        <v>29.658</v>
      </c>
      <c r="F22" s="6">
        <v>34.022</v>
      </c>
      <c r="G22" s="6">
        <v>24.703</v>
      </c>
      <c r="H22" s="7">
        <v>338</v>
      </c>
      <c r="I22" s="6">
        <v>2090.473</v>
      </c>
      <c r="J22" s="8">
        <v>0.001424456018518518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228</v>
      </c>
      <c r="C23" s="6">
        <v>124.321</v>
      </c>
      <c r="D23" s="6">
        <v>34.738</v>
      </c>
      <c r="E23" s="6">
        <v>30.451</v>
      </c>
      <c r="F23" s="6">
        <v>34.3</v>
      </c>
      <c r="G23" s="6">
        <v>24.832</v>
      </c>
      <c r="H23" s="7">
        <v>344.7</v>
      </c>
      <c r="I23" s="6">
        <v>2214.794</v>
      </c>
      <c r="J23" s="8">
        <v>0.001438900462962963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229</v>
      </c>
      <c r="C24" s="6">
        <v>125.104</v>
      </c>
      <c r="D24" s="6">
        <v>34.975</v>
      </c>
      <c r="E24" s="6">
        <v>30.149</v>
      </c>
      <c r="F24" s="6">
        <v>34.658</v>
      </c>
      <c r="G24" s="6">
        <v>25.322</v>
      </c>
      <c r="H24" s="7">
        <v>344.7</v>
      </c>
      <c r="I24" s="6">
        <v>2339.898</v>
      </c>
      <c r="J24" s="8">
        <v>0.001447962962962963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230</v>
      </c>
      <c r="C25" s="6">
        <v>125.299</v>
      </c>
      <c r="D25" s="6">
        <v>35.624</v>
      </c>
      <c r="E25" s="6">
        <v>30.135</v>
      </c>
      <c r="F25" s="6">
        <v>34.326</v>
      </c>
      <c r="G25" s="6">
        <v>25.214</v>
      </c>
      <c r="H25" s="7">
        <v>340.2</v>
      </c>
      <c r="I25" s="6">
        <v>2465.197</v>
      </c>
      <c r="J25" s="8">
        <v>0.001450219907407407</v>
      </c>
      <c r="K25" s="9" t="b">
        <v>0</v>
      </c>
      <c r="L25" s="9" t="b">
        <v>0</v>
      </c>
      <c r="M25" s="9" t="b">
        <v>0</v>
      </c>
    </row>
  </sheetData>
  <autoFilter ref="A5:M25"/>
  <mergeCells count="1">
    <mergeCell ref="A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2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231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152</v>
      </c>
      <c r="C3" s="2" t="s">
        <v>3</v>
      </c>
      <c r="D3" s="2" t="s">
        <v>91</v>
      </c>
      <c r="E3" s="2" t="s">
        <v>5</v>
      </c>
      <c r="F3" s="2" t="s">
        <v>46</v>
      </c>
      <c r="G3" s="2" t="s">
        <v>7</v>
      </c>
      <c r="H3" s="2">
        <v>20</v>
      </c>
      <c r="I3" s="2" t="s">
        <v>8</v>
      </c>
      <c r="J3" s="2">
        <v>18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232</v>
      </c>
      <c r="C6" s="6">
        <v>125.115</v>
      </c>
      <c r="D6" s="6">
        <v>35.9</v>
      </c>
      <c r="E6" s="6">
        <v>30.251</v>
      </c>
      <c r="F6" s="6">
        <v>34.441</v>
      </c>
      <c r="G6" s="6">
        <v>24.523</v>
      </c>
      <c r="H6" s="7">
        <v>336.9</v>
      </c>
      <c r="I6" s="6">
        <v>125.115</v>
      </c>
      <c r="J6" s="8">
        <v>0.001448090277777778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233</v>
      </c>
      <c r="C7" s="6">
        <v>123.388</v>
      </c>
      <c r="D7" s="6">
        <v>34.799</v>
      </c>
      <c r="E7" s="6">
        <v>29.921</v>
      </c>
      <c r="F7" s="6">
        <v>34.229</v>
      </c>
      <c r="G7" s="6">
        <v>24.439</v>
      </c>
      <c r="H7" s="7">
        <v>341.3</v>
      </c>
      <c r="I7" s="6">
        <v>248.503</v>
      </c>
      <c r="J7" s="8">
        <v>0.001428101851851852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234</v>
      </c>
      <c r="C8" s="6">
        <v>124.227</v>
      </c>
      <c r="D8" s="6">
        <v>35.094</v>
      </c>
      <c r="E8" s="6">
        <v>29.965</v>
      </c>
      <c r="F8" s="6">
        <v>34.723</v>
      </c>
      <c r="G8" s="6">
        <v>24.445</v>
      </c>
      <c r="H8" s="7">
        <v>333.7</v>
      </c>
      <c r="I8" s="6">
        <v>372.73</v>
      </c>
      <c r="J8" s="8">
        <v>0.0014378125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235</v>
      </c>
      <c r="C9" s="6">
        <v>124.106</v>
      </c>
      <c r="D9" s="6">
        <v>34.8</v>
      </c>
      <c r="E9" s="6">
        <v>30.279</v>
      </c>
      <c r="F9" s="6">
        <v>34.342</v>
      </c>
      <c r="G9" s="6">
        <v>24.685</v>
      </c>
      <c r="H9" s="7">
        <v>334.8</v>
      </c>
      <c r="I9" s="6">
        <v>496.836</v>
      </c>
      <c r="J9" s="8">
        <v>0.001436412037037037</v>
      </c>
      <c r="K9" s="9" t="b">
        <v>1</v>
      </c>
      <c r="L9" s="9" t="b">
        <v>0</v>
      </c>
      <c r="M9" s="9" t="b">
        <v>0</v>
      </c>
    </row>
    <row r="10" spans="1:14">
      <c r="A10" s="4">
        <v>5</v>
      </c>
      <c r="B10" s="5" t="s">
        <v>236</v>
      </c>
      <c r="C10" s="6">
        <v>124.079</v>
      </c>
      <c r="D10" s="6">
        <v>35.47</v>
      </c>
      <c r="E10" s="6">
        <v>29.77</v>
      </c>
      <c r="F10" s="6">
        <v>34.324</v>
      </c>
      <c r="G10" s="6">
        <v>24.515</v>
      </c>
      <c r="H10" s="7">
        <v>339.1</v>
      </c>
      <c r="I10" s="6">
        <v>620.915</v>
      </c>
      <c r="J10" s="8">
        <v>0.001436099537037037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237</v>
      </c>
      <c r="C11" s="6">
        <v>123.329</v>
      </c>
      <c r="D11" s="6">
        <v>34.643</v>
      </c>
      <c r="E11" s="6">
        <v>29.848</v>
      </c>
      <c r="F11" s="6">
        <v>34.374</v>
      </c>
      <c r="G11" s="6">
        <v>24.464</v>
      </c>
      <c r="H11" s="7">
        <v>334.8</v>
      </c>
      <c r="I11" s="6">
        <v>744.244</v>
      </c>
      <c r="J11" s="8">
        <v>0.001427418981481481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238</v>
      </c>
      <c r="C12" s="6">
        <v>122.918</v>
      </c>
      <c r="D12" s="6">
        <v>34.559</v>
      </c>
      <c r="E12" s="6">
        <v>29.706</v>
      </c>
      <c r="F12" s="6">
        <v>34.144</v>
      </c>
      <c r="G12" s="6">
        <v>24.509</v>
      </c>
      <c r="H12" s="7">
        <v>338</v>
      </c>
      <c r="I12" s="6">
        <v>867.162</v>
      </c>
      <c r="J12" s="8">
        <v>0.001422662037037037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239</v>
      </c>
      <c r="C13" s="6">
        <v>123.082</v>
      </c>
      <c r="D13" s="6">
        <v>34.581</v>
      </c>
      <c r="E13" s="6">
        <v>29.846</v>
      </c>
      <c r="F13" s="6">
        <v>34.135</v>
      </c>
      <c r="G13" s="6">
        <v>24.52</v>
      </c>
      <c r="H13" s="7">
        <v>338</v>
      </c>
      <c r="I13" s="6">
        <v>990.244</v>
      </c>
      <c r="J13" s="8">
        <v>0.001424560185185185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240</v>
      </c>
      <c r="C14" s="6">
        <v>122.99</v>
      </c>
      <c r="D14" s="6">
        <v>34.711</v>
      </c>
      <c r="E14" s="6">
        <v>29.733</v>
      </c>
      <c r="F14" s="6">
        <v>34.041</v>
      </c>
      <c r="G14" s="6">
        <v>24.505</v>
      </c>
      <c r="H14" s="7">
        <v>333.7</v>
      </c>
      <c r="I14" s="6">
        <v>1113.234</v>
      </c>
      <c r="J14" s="8">
        <v>0.00142349537037037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241</v>
      </c>
      <c r="C15" s="6">
        <v>123.283</v>
      </c>
      <c r="D15" s="6">
        <v>34.607</v>
      </c>
      <c r="E15" s="6">
        <v>29.949</v>
      </c>
      <c r="F15" s="6">
        <v>34.092</v>
      </c>
      <c r="G15" s="6">
        <v>24.635</v>
      </c>
      <c r="H15" s="7">
        <v>331.6</v>
      </c>
      <c r="I15" s="6">
        <v>1236.517</v>
      </c>
      <c r="J15" s="8">
        <v>0.001426886574074074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242</v>
      </c>
      <c r="C16" s="6">
        <v>122.863</v>
      </c>
      <c r="D16" s="6">
        <v>34.654</v>
      </c>
      <c r="E16" s="6">
        <v>29.69</v>
      </c>
      <c r="F16" s="6">
        <v>33.998</v>
      </c>
      <c r="G16" s="6">
        <v>24.521</v>
      </c>
      <c r="H16" s="7">
        <v>333.7</v>
      </c>
      <c r="I16" s="6">
        <v>1359.38</v>
      </c>
      <c r="J16" s="8">
        <v>0.001422025462962963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243</v>
      </c>
      <c r="C17" s="6">
        <v>123.471</v>
      </c>
      <c r="D17" s="6">
        <v>34.868</v>
      </c>
      <c r="E17" s="6">
        <v>29.778</v>
      </c>
      <c r="F17" s="6">
        <v>34.178</v>
      </c>
      <c r="G17" s="6">
        <v>24.647</v>
      </c>
      <c r="H17" s="7">
        <v>334.8</v>
      </c>
      <c r="I17" s="6">
        <v>1482.851</v>
      </c>
      <c r="J17" s="8">
        <v>0.0014290625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244</v>
      </c>
      <c r="C18" s="6">
        <v>122.998</v>
      </c>
      <c r="D18" s="6">
        <v>34.682</v>
      </c>
      <c r="E18" s="6">
        <v>29.671</v>
      </c>
      <c r="F18" s="6">
        <v>34.099</v>
      </c>
      <c r="G18" s="6">
        <v>24.546</v>
      </c>
      <c r="H18" s="7">
        <v>332.7</v>
      </c>
      <c r="I18" s="6">
        <v>1605.849</v>
      </c>
      <c r="J18" s="8">
        <v>0.001423587962962963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245</v>
      </c>
      <c r="C19" s="6">
        <v>123.389</v>
      </c>
      <c r="D19" s="6">
        <v>34.881</v>
      </c>
      <c r="E19" s="6">
        <v>29.765</v>
      </c>
      <c r="F19" s="6">
        <v>34.193</v>
      </c>
      <c r="G19" s="6">
        <v>24.55</v>
      </c>
      <c r="H19" s="7">
        <v>331.6</v>
      </c>
      <c r="I19" s="6">
        <v>1729.238</v>
      </c>
      <c r="J19" s="8">
        <v>0.001428113425925926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246</v>
      </c>
      <c r="C20" s="6">
        <v>123.464</v>
      </c>
      <c r="D20" s="6">
        <v>34.787</v>
      </c>
      <c r="E20" s="6">
        <v>29.733</v>
      </c>
      <c r="F20" s="6">
        <v>34.27</v>
      </c>
      <c r="G20" s="6">
        <v>24.674</v>
      </c>
      <c r="H20" s="7">
        <v>330.6</v>
      </c>
      <c r="I20" s="6">
        <v>1852.702</v>
      </c>
      <c r="J20" s="8">
        <v>0.001428981481481481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247</v>
      </c>
      <c r="C21" s="6">
        <v>123.701</v>
      </c>
      <c r="D21" s="6">
        <v>34.785</v>
      </c>
      <c r="E21" s="6">
        <v>29.872</v>
      </c>
      <c r="F21" s="6">
        <v>34.329</v>
      </c>
      <c r="G21" s="6">
        <v>24.715</v>
      </c>
      <c r="H21" s="7">
        <v>330.6</v>
      </c>
      <c r="I21" s="6">
        <v>1976.403</v>
      </c>
      <c r="J21" s="8">
        <v>0.001431724537037037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248</v>
      </c>
      <c r="C22" s="6">
        <v>123.26</v>
      </c>
      <c r="D22" s="6">
        <v>34.716</v>
      </c>
      <c r="E22" s="6">
        <v>29.735</v>
      </c>
      <c r="F22" s="6">
        <v>34.152</v>
      </c>
      <c r="G22" s="6">
        <v>24.657</v>
      </c>
      <c r="H22" s="7">
        <v>330.6</v>
      </c>
      <c r="I22" s="6">
        <v>2099.663</v>
      </c>
      <c r="J22" s="8">
        <v>0.00142662037037037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249</v>
      </c>
      <c r="C23" s="6">
        <v>123.69</v>
      </c>
      <c r="D23" s="6">
        <v>34.835</v>
      </c>
      <c r="E23" s="6">
        <v>29.974</v>
      </c>
      <c r="F23" s="6">
        <v>34.219</v>
      </c>
      <c r="G23" s="6">
        <v>24.662</v>
      </c>
      <c r="H23" s="7">
        <v>331.6</v>
      </c>
      <c r="I23" s="6">
        <v>2223.353</v>
      </c>
      <c r="J23" s="8">
        <v>0.001431597222222222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250</v>
      </c>
      <c r="C24" s="6">
        <v>123.832</v>
      </c>
      <c r="D24" s="6">
        <v>34.911</v>
      </c>
      <c r="E24" s="6">
        <v>29.965</v>
      </c>
      <c r="F24" s="6">
        <v>34.268</v>
      </c>
      <c r="G24" s="6">
        <v>24.688</v>
      </c>
      <c r="H24" s="7">
        <v>332.7</v>
      </c>
      <c r="I24" s="6">
        <v>2347.185</v>
      </c>
      <c r="J24" s="8">
        <v>0.001433240740740741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251</v>
      </c>
      <c r="C25" s="6">
        <v>124.531</v>
      </c>
      <c r="D25" s="6">
        <v>35.133</v>
      </c>
      <c r="E25" s="6">
        <v>30</v>
      </c>
      <c r="F25" s="6">
        <v>34.456</v>
      </c>
      <c r="G25" s="6">
        <v>24.942</v>
      </c>
      <c r="H25" s="7">
        <v>332.7</v>
      </c>
      <c r="I25" s="6">
        <v>2471.716</v>
      </c>
      <c r="J25" s="8">
        <v>0.001441331018518519</v>
      </c>
      <c r="K25" s="9" t="b">
        <v>0</v>
      </c>
      <c r="L25" s="9" t="b">
        <v>0</v>
      </c>
      <c r="M25" s="9" t="b">
        <v>0</v>
      </c>
    </row>
  </sheetData>
  <autoFilter ref="A5:M25"/>
  <mergeCells count="1">
    <mergeCell ref="A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2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252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68</v>
      </c>
      <c r="C3" s="2" t="s">
        <v>3</v>
      </c>
      <c r="D3" s="2" t="s">
        <v>69</v>
      </c>
      <c r="E3" s="2" t="s">
        <v>5</v>
      </c>
      <c r="F3" s="2" t="s">
        <v>253</v>
      </c>
      <c r="G3" s="2" t="s">
        <v>7</v>
      </c>
      <c r="H3" s="2">
        <v>20</v>
      </c>
      <c r="I3" s="2" t="s">
        <v>8</v>
      </c>
      <c r="J3" s="2">
        <v>19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254</v>
      </c>
      <c r="C6" s="6">
        <v>127.074</v>
      </c>
      <c r="D6" s="6">
        <v>37.001</v>
      </c>
      <c r="E6" s="6">
        <v>30.277</v>
      </c>
      <c r="F6" s="6">
        <v>35.113</v>
      </c>
      <c r="G6" s="6">
        <v>24.683</v>
      </c>
      <c r="H6" s="7">
        <v>340.2</v>
      </c>
      <c r="I6" s="6">
        <v>127.074</v>
      </c>
      <c r="J6" s="8">
        <v>0.001470763888888889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255</v>
      </c>
      <c r="C7" s="6">
        <v>124.528</v>
      </c>
      <c r="D7" s="6">
        <v>34.85</v>
      </c>
      <c r="E7" s="6">
        <v>30.664</v>
      </c>
      <c r="F7" s="6">
        <v>34.163</v>
      </c>
      <c r="G7" s="6">
        <v>24.851</v>
      </c>
      <c r="H7" s="7">
        <v>342.4</v>
      </c>
      <c r="I7" s="6">
        <v>251.602</v>
      </c>
      <c r="J7" s="8">
        <v>0.001441296296296296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256</v>
      </c>
      <c r="C8" s="6">
        <v>123.314</v>
      </c>
      <c r="D8" s="6">
        <v>34.805</v>
      </c>
      <c r="E8" s="6">
        <v>29.724</v>
      </c>
      <c r="F8" s="6">
        <v>34.221</v>
      </c>
      <c r="G8" s="6">
        <v>24.564</v>
      </c>
      <c r="H8" s="7">
        <v>334.8</v>
      </c>
      <c r="I8" s="6">
        <v>374.916</v>
      </c>
      <c r="J8" s="8">
        <v>0.00142724537037037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257</v>
      </c>
      <c r="C9" s="6">
        <v>123.698</v>
      </c>
      <c r="D9" s="6">
        <v>34.79</v>
      </c>
      <c r="E9" s="6">
        <v>29.758</v>
      </c>
      <c r="F9" s="6">
        <v>34.541</v>
      </c>
      <c r="G9" s="6">
        <v>24.609</v>
      </c>
      <c r="H9" s="7">
        <v>334.8</v>
      </c>
      <c r="I9" s="6">
        <v>498.614</v>
      </c>
      <c r="J9" s="8">
        <v>0.001431689814814815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110</v>
      </c>
      <c r="C10" s="6">
        <v>123.404</v>
      </c>
      <c r="D10" s="6">
        <v>34.75</v>
      </c>
      <c r="E10" s="6">
        <v>29.653</v>
      </c>
      <c r="F10" s="6">
        <v>34.189</v>
      </c>
      <c r="G10" s="6">
        <v>24.812</v>
      </c>
      <c r="H10" s="7">
        <v>338</v>
      </c>
      <c r="I10" s="6">
        <v>622.018</v>
      </c>
      <c r="J10" s="8">
        <v>0.001428287037037037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258</v>
      </c>
      <c r="C11" s="6">
        <v>123.151</v>
      </c>
      <c r="D11" s="6">
        <v>34.632</v>
      </c>
      <c r="E11" s="6">
        <v>29.776</v>
      </c>
      <c r="F11" s="6">
        <v>34.203</v>
      </c>
      <c r="G11" s="6">
        <v>24.54</v>
      </c>
      <c r="H11" s="7">
        <v>338</v>
      </c>
      <c r="I11" s="6">
        <v>745.169</v>
      </c>
      <c r="J11" s="8">
        <v>0.001425358796296296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259</v>
      </c>
      <c r="C12" s="6">
        <v>122.854</v>
      </c>
      <c r="D12" s="6">
        <v>34.72</v>
      </c>
      <c r="E12" s="6">
        <v>29.717</v>
      </c>
      <c r="F12" s="6">
        <v>33.963</v>
      </c>
      <c r="G12" s="6">
        <v>24.454</v>
      </c>
      <c r="H12" s="7">
        <v>339.1</v>
      </c>
      <c r="I12" s="6">
        <v>868.023</v>
      </c>
      <c r="J12" s="8">
        <v>0.001421921296296296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260</v>
      </c>
      <c r="C13" s="6">
        <v>122.912</v>
      </c>
      <c r="D13" s="6">
        <v>34.586</v>
      </c>
      <c r="E13" s="6">
        <v>29.614</v>
      </c>
      <c r="F13" s="6">
        <v>34.017</v>
      </c>
      <c r="G13" s="6">
        <v>24.695</v>
      </c>
      <c r="H13" s="7">
        <v>341.3</v>
      </c>
      <c r="I13" s="6">
        <v>990.9349999999999</v>
      </c>
      <c r="J13" s="8">
        <v>0.001422592592592593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261</v>
      </c>
      <c r="C14" s="6">
        <v>123.258</v>
      </c>
      <c r="D14" s="6">
        <v>34.723</v>
      </c>
      <c r="E14" s="6">
        <v>29.777</v>
      </c>
      <c r="F14" s="6">
        <v>34.14</v>
      </c>
      <c r="G14" s="6">
        <v>24.618</v>
      </c>
      <c r="H14" s="7">
        <v>339.1</v>
      </c>
      <c r="I14" s="6">
        <v>1114.193</v>
      </c>
      <c r="J14" s="8">
        <v>0.001426597222222222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223</v>
      </c>
      <c r="C15" s="6">
        <v>123.341</v>
      </c>
      <c r="D15" s="6">
        <v>34.768</v>
      </c>
      <c r="E15" s="6">
        <v>29.589</v>
      </c>
      <c r="F15" s="6">
        <v>34.332</v>
      </c>
      <c r="G15" s="6">
        <v>24.652</v>
      </c>
      <c r="H15" s="7">
        <v>341.3</v>
      </c>
      <c r="I15" s="6">
        <v>1237.534</v>
      </c>
      <c r="J15" s="8">
        <v>0.00142755787037037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262</v>
      </c>
      <c r="C16" s="6">
        <v>123.451</v>
      </c>
      <c r="D16" s="6">
        <v>34.761</v>
      </c>
      <c r="E16" s="6">
        <v>29.717</v>
      </c>
      <c r="F16" s="6">
        <v>34.302</v>
      </c>
      <c r="G16" s="6">
        <v>24.671</v>
      </c>
      <c r="H16" s="7">
        <v>342.4</v>
      </c>
      <c r="I16" s="6">
        <v>1360.985</v>
      </c>
      <c r="J16" s="8">
        <v>0.001428831018518519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263</v>
      </c>
      <c r="C17" s="6">
        <v>123.385</v>
      </c>
      <c r="D17" s="6">
        <v>34.775</v>
      </c>
      <c r="E17" s="6">
        <v>29.697</v>
      </c>
      <c r="F17" s="6">
        <v>34.292</v>
      </c>
      <c r="G17" s="6">
        <v>24.621</v>
      </c>
      <c r="H17" s="7">
        <v>345.8</v>
      </c>
      <c r="I17" s="6">
        <v>1484.37</v>
      </c>
      <c r="J17" s="8">
        <v>0.00142806712962963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264</v>
      </c>
      <c r="C18" s="6">
        <v>123.25</v>
      </c>
      <c r="D18" s="6">
        <v>34.763</v>
      </c>
      <c r="E18" s="6">
        <v>29.71</v>
      </c>
      <c r="F18" s="6">
        <v>34.157</v>
      </c>
      <c r="G18" s="6">
        <v>24.62</v>
      </c>
      <c r="H18" s="7">
        <v>340.2</v>
      </c>
      <c r="I18" s="6">
        <v>1607.62</v>
      </c>
      <c r="J18" s="8">
        <v>0.00142650462962963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265</v>
      </c>
      <c r="C19" s="6">
        <v>123.337</v>
      </c>
      <c r="D19" s="6">
        <v>34.904</v>
      </c>
      <c r="E19" s="6">
        <v>29.598</v>
      </c>
      <c r="F19" s="6">
        <v>34.211</v>
      </c>
      <c r="G19" s="6">
        <v>24.624</v>
      </c>
      <c r="H19" s="7">
        <v>340.2</v>
      </c>
      <c r="I19" s="6">
        <v>1730.957</v>
      </c>
      <c r="J19" s="8">
        <v>0.001427511574074074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266</v>
      </c>
      <c r="C20" s="6">
        <v>123.828</v>
      </c>
      <c r="D20" s="6">
        <v>34.83</v>
      </c>
      <c r="E20" s="6">
        <v>30.12</v>
      </c>
      <c r="F20" s="6">
        <v>34.151</v>
      </c>
      <c r="G20" s="6">
        <v>24.727</v>
      </c>
      <c r="H20" s="7">
        <v>333.7</v>
      </c>
      <c r="I20" s="6">
        <v>1854.785</v>
      </c>
      <c r="J20" s="8">
        <v>0.001433194444444444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188</v>
      </c>
      <c r="C21" s="6">
        <v>123.453</v>
      </c>
      <c r="D21" s="6">
        <v>34.784</v>
      </c>
      <c r="E21" s="6">
        <v>29.669</v>
      </c>
      <c r="F21" s="6">
        <v>34.293</v>
      </c>
      <c r="G21" s="6">
        <v>24.707</v>
      </c>
      <c r="H21" s="7">
        <v>335.9</v>
      </c>
      <c r="I21" s="6">
        <v>1978.238</v>
      </c>
      <c r="J21" s="8">
        <v>0.001428854166666667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267</v>
      </c>
      <c r="C22" s="6">
        <v>123.488</v>
      </c>
      <c r="D22" s="6">
        <v>34.747</v>
      </c>
      <c r="E22" s="6">
        <v>29.706</v>
      </c>
      <c r="F22" s="6">
        <v>34.233</v>
      </c>
      <c r="G22" s="6">
        <v>24.802</v>
      </c>
      <c r="H22" s="7">
        <v>335.9</v>
      </c>
      <c r="I22" s="6">
        <v>2101.726</v>
      </c>
      <c r="J22" s="8">
        <v>0.001429259259259259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268</v>
      </c>
      <c r="C23" s="6">
        <v>123.459</v>
      </c>
      <c r="D23" s="6">
        <v>34.804</v>
      </c>
      <c r="E23" s="6">
        <v>29.799</v>
      </c>
      <c r="F23" s="6">
        <v>34.048</v>
      </c>
      <c r="G23" s="6">
        <v>24.808</v>
      </c>
      <c r="H23" s="7">
        <v>335.9</v>
      </c>
      <c r="I23" s="6">
        <v>2225.185</v>
      </c>
      <c r="J23" s="8">
        <v>0.001428923611111111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269</v>
      </c>
      <c r="C24" s="6">
        <v>123.677</v>
      </c>
      <c r="D24" s="6">
        <v>34.858</v>
      </c>
      <c r="E24" s="6">
        <v>29.771</v>
      </c>
      <c r="F24" s="6">
        <v>34.277</v>
      </c>
      <c r="G24" s="6">
        <v>24.771</v>
      </c>
      <c r="H24" s="7">
        <v>335.9</v>
      </c>
      <c r="I24" s="6">
        <v>2348.862</v>
      </c>
      <c r="J24" s="8">
        <v>0.001431446759259259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270</v>
      </c>
      <c r="C25" s="6">
        <v>123.853</v>
      </c>
      <c r="D25" s="6">
        <v>34.888</v>
      </c>
      <c r="E25" s="6">
        <v>29.681</v>
      </c>
      <c r="F25" s="6">
        <v>34.464</v>
      </c>
      <c r="G25" s="6">
        <v>24.82</v>
      </c>
      <c r="H25" s="7">
        <v>336.9</v>
      </c>
      <c r="I25" s="6">
        <v>2472.715</v>
      </c>
      <c r="J25" s="8">
        <v>0.001433483796296296</v>
      </c>
      <c r="K25" s="9" t="b">
        <v>0</v>
      </c>
      <c r="L25" s="9" t="b">
        <v>0</v>
      </c>
      <c r="M25" s="9" t="b">
        <v>0</v>
      </c>
    </row>
  </sheetData>
  <autoFilter ref="A5:M25"/>
  <mergeCells count="1">
    <mergeCell ref="A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2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271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272</v>
      </c>
      <c r="C3" s="2" t="s">
        <v>3</v>
      </c>
      <c r="D3" s="2" t="s">
        <v>193</v>
      </c>
      <c r="E3" s="2" t="s">
        <v>5</v>
      </c>
      <c r="F3" s="2" t="s">
        <v>273</v>
      </c>
      <c r="G3" s="2" t="s">
        <v>7</v>
      </c>
      <c r="H3" s="2">
        <v>20</v>
      </c>
      <c r="I3" s="2" t="s">
        <v>8</v>
      </c>
      <c r="J3" s="2">
        <v>19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274</v>
      </c>
      <c r="C6" s="6">
        <v>126.599</v>
      </c>
      <c r="D6" s="6">
        <v>36.444</v>
      </c>
      <c r="E6" s="6">
        <v>30.426</v>
      </c>
      <c r="F6" s="6">
        <v>35.009</v>
      </c>
      <c r="G6" s="6">
        <v>24.72</v>
      </c>
      <c r="H6" s="7">
        <v>336.9</v>
      </c>
      <c r="I6" s="6">
        <v>126.599</v>
      </c>
      <c r="J6" s="8">
        <v>0.001465266203703704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275</v>
      </c>
      <c r="C7" s="6">
        <v>124.078</v>
      </c>
      <c r="D7" s="6">
        <v>34.783</v>
      </c>
      <c r="E7" s="6">
        <v>30.549</v>
      </c>
      <c r="F7" s="6">
        <v>34.337</v>
      </c>
      <c r="G7" s="6">
        <v>24.409</v>
      </c>
      <c r="H7" s="7">
        <v>339.1</v>
      </c>
      <c r="I7" s="6">
        <v>250.677</v>
      </c>
      <c r="J7" s="8">
        <v>0.001436087962962963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276</v>
      </c>
      <c r="C8" s="6">
        <v>123.097</v>
      </c>
      <c r="D8" s="6">
        <v>34.581</v>
      </c>
      <c r="E8" s="6">
        <v>29.828</v>
      </c>
      <c r="F8" s="6">
        <v>34.281</v>
      </c>
      <c r="G8" s="6">
        <v>24.407</v>
      </c>
      <c r="H8" s="7">
        <v>333.7</v>
      </c>
      <c r="I8" s="6">
        <v>373.774</v>
      </c>
      <c r="J8" s="8">
        <v>0.001424733796296296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277</v>
      </c>
      <c r="C9" s="6">
        <v>123.425</v>
      </c>
      <c r="D9" s="6">
        <v>34.642</v>
      </c>
      <c r="E9" s="6">
        <v>29.831</v>
      </c>
      <c r="F9" s="6">
        <v>34.363</v>
      </c>
      <c r="G9" s="6">
        <v>24.589</v>
      </c>
      <c r="H9" s="7">
        <v>335.9</v>
      </c>
      <c r="I9" s="6">
        <v>497.199</v>
      </c>
      <c r="J9" s="8">
        <v>0.001428530092592593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278</v>
      </c>
      <c r="C10" s="6">
        <v>123.339</v>
      </c>
      <c r="D10" s="6">
        <v>34.629</v>
      </c>
      <c r="E10" s="6">
        <v>29.81</v>
      </c>
      <c r="F10" s="6">
        <v>34.444</v>
      </c>
      <c r="G10" s="6">
        <v>24.456</v>
      </c>
      <c r="H10" s="7">
        <v>333.7</v>
      </c>
      <c r="I10" s="6">
        <v>620.538</v>
      </c>
      <c r="J10" s="8">
        <v>0.001427534722222222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279</v>
      </c>
      <c r="C11" s="6">
        <v>122.947</v>
      </c>
      <c r="D11" s="6">
        <v>34.498</v>
      </c>
      <c r="E11" s="6">
        <v>29.942</v>
      </c>
      <c r="F11" s="6">
        <v>33.995</v>
      </c>
      <c r="G11" s="6">
        <v>24.512</v>
      </c>
      <c r="H11" s="7">
        <v>333.7</v>
      </c>
      <c r="I11" s="6">
        <v>743.485</v>
      </c>
      <c r="J11" s="8">
        <v>0.001422997685185185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280</v>
      </c>
      <c r="C12" s="6">
        <v>123.46</v>
      </c>
      <c r="D12" s="6">
        <v>34.623</v>
      </c>
      <c r="E12" s="6">
        <v>29.948</v>
      </c>
      <c r="F12" s="6">
        <v>34.3</v>
      </c>
      <c r="G12" s="6">
        <v>24.589</v>
      </c>
      <c r="H12" s="7">
        <v>335.9</v>
      </c>
      <c r="I12" s="6">
        <v>866.9450000000001</v>
      </c>
      <c r="J12" s="8">
        <v>0.001428935185185185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281</v>
      </c>
      <c r="C13" s="6">
        <v>123.093</v>
      </c>
      <c r="D13" s="6">
        <v>34.555</v>
      </c>
      <c r="E13" s="6">
        <v>29.902</v>
      </c>
      <c r="F13" s="6">
        <v>34.066</v>
      </c>
      <c r="G13" s="6">
        <v>24.57</v>
      </c>
      <c r="H13" s="7">
        <v>335.9</v>
      </c>
      <c r="I13" s="6">
        <v>990.038</v>
      </c>
      <c r="J13" s="8">
        <v>0.0014246875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282</v>
      </c>
      <c r="C14" s="6">
        <v>123.5</v>
      </c>
      <c r="D14" s="6">
        <v>34.643</v>
      </c>
      <c r="E14" s="6">
        <v>30.067</v>
      </c>
      <c r="F14" s="6">
        <v>34.305</v>
      </c>
      <c r="G14" s="6">
        <v>24.485</v>
      </c>
      <c r="H14" s="7">
        <v>335.9</v>
      </c>
      <c r="I14" s="6">
        <v>1113.538</v>
      </c>
      <c r="J14" s="8">
        <v>0.001429398148148148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283</v>
      </c>
      <c r="C15" s="6">
        <v>123.778</v>
      </c>
      <c r="D15" s="6">
        <v>34.783</v>
      </c>
      <c r="E15" s="6">
        <v>29.834</v>
      </c>
      <c r="F15" s="6">
        <v>34.487</v>
      </c>
      <c r="G15" s="6">
        <v>24.674</v>
      </c>
      <c r="H15" s="7">
        <v>334.8</v>
      </c>
      <c r="I15" s="6">
        <v>1237.316</v>
      </c>
      <c r="J15" s="8">
        <v>0.001432615740740741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284</v>
      </c>
      <c r="C16" s="6">
        <v>123.49</v>
      </c>
      <c r="D16" s="6">
        <v>34.778</v>
      </c>
      <c r="E16" s="6">
        <v>29.8</v>
      </c>
      <c r="F16" s="6">
        <v>34.238</v>
      </c>
      <c r="G16" s="6">
        <v>24.674</v>
      </c>
      <c r="H16" s="7">
        <v>336.9</v>
      </c>
      <c r="I16" s="6">
        <v>1360.806</v>
      </c>
      <c r="J16" s="8">
        <v>0.001429282407407407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285</v>
      </c>
      <c r="C17" s="6">
        <v>123.288</v>
      </c>
      <c r="D17" s="6">
        <v>34.653</v>
      </c>
      <c r="E17" s="6">
        <v>29.901</v>
      </c>
      <c r="F17" s="6">
        <v>34.171</v>
      </c>
      <c r="G17" s="6">
        <v>24.563</v>
      </c>
      <c r="H17" s="7">
        <v>338</v>
      </c>
      <c r="I17" s="6">
        <v>1484.094</v>
      </c>
      <c r="J17" s="8">
        <v>0.001426944444444444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163</v>
      </c>
      <c r="C18" s="6">
        <v>123.269</v>
      </c>
      <c r="D18" s="6">
        <v>34.671</v>
      </c>
      <c r="E18" s="6">
        <v>29.812</v>
      </c>
      <c r="F18" s="6">
        <v>34.235</v>
      </c>
      <c r="G18" s="6">
        <v>24.551</v>
      </c>
      <c r="H18" s="7">
        <v>333.7</v>
      </c>
      <c r="I18" s="6">
        <v>1607.363</v>
      </c>
      <c r="J18" s="8">
        <v>0.001426724537037037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286</v>
      </c>
      <c r="C19" s="6">
        <v>124.03</v>
      </c>
      <c r="D19" s="6">
        <v>34.747</v>
      </c>
      <c r="E19" s="6">
        <v>29.83</v>
      </c>
      <c r="F19" s="6">
        <v>34.716</v>
      </c>
      <c r="G19" s="6">
        <v>24.737</v>
      </c>
      <c r="H19" s="7">
        <v>332.7</v>
      </c>
      <c r="I19" s="6">
        <v>1731.393</v>
      </c>
      <c r="J19" s="8">
        <v>0.001435532407407408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287</v>
      </c>
      <c r="C20" s="6">
        <v>123.931</v>
      </c>
      <c r="D20" s="6">
        <v>35.152</v>
      </c>
      <c r="E20" s="6">
        <v>29.813</v>
      </c>
      <c r="F20" s="6">
        <v>34.392</v>
      </c>
      <c r="G20" s="6">
        <v>24.574</v>
      </c>
      <c r="H20" s="7">
        <v>335.9</v>
      </c>
      <c r="I20" s="6">
        <v>1855.324</v>
      </c>
      <c r="J20" s="8">
        <v>0.001434386574074074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288</v>
      </c>
      <c r="C21" s="6">
        <v>123.665</v>
      </c>
      <c r="D21" s="6">
        <v>34.745</v>
      </c>
      <c r="E21" s="6">
        <v>29.894</v>
      </c>
      <c r="F21" s="6">
        <v>34.341</v>
      </c>
      <c r="G21" s="6">
        <v>24.685</v>
      </c>
      <c r="H21" s="7">
        <v>333.7</v>
      </c>
      <c r="I21" s="6">
        <v>1978.989</v>
      </c>
      <c r="J21" s="8">
        <v>0.001431307870370371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289</v>
      </c>
      <c r="C22" s="6">
        <v>123.456</v>
      </c>
      <c r="D22" s="6">
        <v>34.717</v>
      </c>
      <c r="E22" s="6">
        <v>29.738</v>
      </c>
      <c r="F22" s="6">
        <v>34.438</v>
      </c>
      <c r="G22" s="6">
        <v>24.563</v>
      </c>
      <c r="H22" s="7">
        <v>332.7</v>
      </c>
      <c r="I22" s="6">
        <v>2102.445</v>
      </c>
      <c r="J22" s="8">
        <v>0.001428888888888889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290</v>
      </c>
      <c r="C23" s="6">
        <v>123.704</v>
      </c>
      <c r="D23" s="6">
        <v>34.844</v>
      </c>
      <c r="E23" s="6">
        <v>30.029</v>
      </c>
      <c r="F23" s="6">
        <v>34.265</v>
      </c>
      <c r="G23" s="6">
        <v>24.566</v>
      </c>
      <c r="H23" s="7">
        <v>333.7</v>
      </c>
      <c r="I23" s="6">
        <v>2226.149</v>
      </c>
      <c r="J23" s="8">
        <v>0.001431759259259259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291</v>
      </c>
      <c r="C24" s="6">
        <v>123.35</v>
      </c>
      <c r="D24" s="6">
        <v>34.767</v>
      </c>
      <c r="E24" s="6">
        <v>29.879</v>
      </c>
      <c r="F24" s="6">
        <v>34.183</v>
      </c>
      <c r="G24" s="6">
        <v>24.521</v>
      </c>
      <c r="H24" s="7">
        <v>333.7</v>
      </c>
      <c r="I24" s="6">
        <v>2349.499</v>
      </c>
      <c r="J24" s="8">
        <v>0.001427662037037037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292</v>
      </c>
      <c r="C25" s="6">
        <v>123.355</v>
      </c>
      <c r="D25" s="6">
        <v>34.677</v>
      </c>
      <c r="E25" s="6">
        <v>29.794</v>
      </c>
      <c r="F25" s="6">
        <v>34.208</v>
      </c>
      <c r="G25" s="6">
        <v>24.676</v>
      </c>
      <c r="H25" s="7">
        <v>336.9</v>
      </c>
      <c r="I25" s="6">
        <v>2472.854</v>
      </c>
      <c r="J25" s="8">
        <v>0.001427719907407407</v>
      </c>
      <c r="K25" s="9" t="b">
        <v>0</v>
      </c>
      <c r="L25" s="9" t="b">
        <v>0</v>
      </c>
      <c r="M25" s="9" t="b">
        <v>0</v>
      </c>
    </row>
  </sheetData>
  <autoFilter ref="A5:M25"/>
  <mergeCells count="1">
    <mergeCell ref="A1:M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N2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293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90</v>
      </c>
      <c r="C3" s="2" t="s">
        <v>3</v>
      </c>
      <c r="D3" s="2" t="s">
        <v>91</v>
      </c>
      <c r="E3" s="2" t="s">
        <v>5</v>
      </c>
      <c r="F3" s="2" t="s">
        <v>6</v>
      </c>
      <c r="G3" s="2" t="s">
        <v>7</v>
      </c>
      <c r="H3" s="2">
        <v>20</v>
      </c>
      <c r="I3" s="2" t="s">
        <v>8</v>
      </c>
      <c r="J3" s="2">
        <v>19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294</v>
      </c>
      <c r="C6" s="6">
        <v>127.361</v>
      </c>
      <c r="D6" s="6">
        <v>37.136</v>
      </c>
      <c r="E6" s="6">
        <v>30.735</v>
      </c>
      <c r="F6" s="6">
        <v>34.866</v>
      </c>
      <c r="G6" s="6">
        <v>24.624</v>
      </c>
      <c r="H6" s="7">
        <v>332.7</v>
      </c>
      <c r="I6" s="6">
        <v>127.361</v>
      </c>
      <c r="J6" s="8">
        <v>0.001474085648148148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295</v>
      </c>
      <c r="C7" s="6">
        <v>124.469</v>
      </c>
      <c r="D7" s="6">
        <v>34.887</v>
      </c>
      <c r="E7" s="6">
        <v>30.648</v>
      </c>
      <c r="F7" s="6">
        <v>34.261</v>
      </c>
      <c r="G7" s="6">
        <v>24.673</v>
      </c>
      <c r="H7" s="7">
        <v>338</v>
      </c>
      <c r="I7" s="6">
        <v>251.83</v>
      </c>
      <c r="J7" s="8">
        <v>0.001440613425925926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296</v>
      </c>
      <c r="C8" s="6">
        <v>123.523</v>
      </c>
      <c r="D8" s="6">
        <v>34.792</v>
      </c>
      <c r="E8" s="6">
        <v>29.841</v>
      </c>
      <c r="F8" s="6">
        <v>34.268</v>
      </c>
      <c r="G8" s="6">
        <v>24.622</v>
      </c>
      <c r="H8" s="7">
        <v>335.9</v>
      </c>
      <c r="I8" s="6">
        <v>375.353</v>
      </c>
      <c r="J8" s="8">
        <v>0.001429664351851852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297</v>
      </c>
      <c r="C9" s="6">
        <v>123.607</v>
      </c>
      <c r="D9" s="6">
        <v>34.767</v>
      </c>
      <c r="E9" s="6">
        <v>29.836</v>
      </c>
      <c r="F9" s="6">
        <v>34.357</v>
      </c>
      <c r="G9" s="6">
        <v>24.647</v>
      </c>
      <c r="H9" s="7">
        <v>333.7</v>
      </c>
      <c r="I9" s="6">
        <v>498.96</v>
      </c>
      <c r="J9" s="8">
        <v>0.001430636574074074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298</v>
      </c>
      <c r="C10" s="6">
        <v>123.31</v>
      </c>
      <c r="D10" s="6">
        <v>34.83</v>
      </c>
      <c r="E10" s="6">
        <v>29.65</v>
      </c>
      <c r="F10" s="6">
        <v>34.251</v>
      </c>
      <c r="G10" s="6">
        <v>24.579</v>
      </c>
      <c r="H10" s="7">
        <v>338</v>
      </c>
      <c r="I10" s="6">
        <v>622.27</v>
      </c>
      <c r="J10" s="8">
        <v>0.001427199074074074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241</v>
      </c>
      <c r="C11" s="6">
        <v>123.283</v>
      </c>
      <c r="D11" s="6">
        <v>34.65</v>
      </c>
      <c r="E11" s="6">
        <v>29.822</v>
      </c>
      <c r="F11" s="6">
        <v>34.246</v>
      </c>
      <c r="G11" s="6">
        <v>24.565</v>
      </c>
      <c r="H11" s="7">
        <v>338</v>
      </c>
      <c r="I11" s="6">
        <v>745.553</v>
      </c>
      <c r="J11" s="8">
        <v>0.001426886574074074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299</v>
      </c>
      <c r="C12" s="6">
        <v>122.967</v>
      </c>
      <c r="D12" s="6">
        <v>34.717</v>
      </c>
      <c r="E12" s="6">
        <v>29.655</v>
      </c>
      <c r="F12" s="6">
        <v>34.123</v>
      </c>
      <c r="G12" s="6">
        <v>24.472</v>
      </c>
      <c r="H12" s="7">
        <v>339.1</v>
      </c>
      <c r="I12" s="6">
        <v>868.52</v>
      </c>
      <c r="J12" s="8">
        <v>0.001423229166666667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300</v>
      </c>
      <c r="C13" s="6">
        <v>122.944</v>
      </c>
      <c r="D13" s="6">
        <v>34.645</v>
      </c>
      <c r="E13" s="6">
        <v>29.7</v>
      </c>
      <c r="F13" s="6">
        <v>34.037</v>
      </c>
      <c r="G13" s="6">
        <v>24.562</v>
      </c>
      <c r="H13" s="7">
        <v>339.1</v>
      </c>
      <c r="I13" s="6">
        <v>991.4640000000001</v>
      </c>
      <c r="J13" s="8">
        <v>0.001422962962962963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301</v>
      </c>
      <c r="C14" s="6">
        <v>123.132</v>
      </c>
      <c r="D14" s="6">
        <v>34.639</v>
      </c>
      <c r="E14" s="6">
        <v>29.747</v>
      </c>
      <c r="F14" s="6">
        <v>34.103</v>
      </c>
      <c r="G14" s="6">
        <v>24.643</v>
      </c>
      <c r="H14" s="7">
        <v>340.2</v>
      </c>
      <c r="I14" s="6">
        <v>1114.596</v>
      </c>
      <c r="J14" s="8">
        <v>0.001425138888888889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302</v>
      </c>
      <c r="C15" s="6">
        <v>123.343</v>
      </c>
      <c r="D15" s="6">
        <v>34.642</v>
      </c>
      <c r="E15" s="6">
        <v>29.822</v>
      </c>
      <c r="F15" s="6">
        <v>34.177</v>
      </c>
      <c r="G15" s="6">
        <v>24.702</v>
      </c>
      <c r="H15" s="7">
        <v>338</v>
      </c>
      <c r="I15" s="6">
        <v>1237.939</v>
      </c>
      <c r="J15" s="8">
        <v>0.001427581018518519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303</v>
      </c>
      <c r="C16" s="6">
        <v>123.286</v>
      </c>
      <c r="D16" s="6">
        <v>34.8</v>
      </c>
      <c r="E16" s="6">
        <v>29.675</v>
      </c>
      <c r="F16" s="6">
        <v>34.223</v>
      </c>
      <c r="G16" s="6">
        <v>24.588</v>
      </c>
      <c r="H16" s="7">
        <v>339.1</v>
      </c>
      <c r="I16" s="6">
        <v>1361.225</v>
      </c>
      <c r="J16" s="8">
        <v>0.001426921296296296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304</v>
      </c>
      <c r="C17" s="6">
        <v>123.429</v>
      </c>
      <c r="D17" s="6">
        <v>34.78</v>
      </c>
      <c r="E17" s="6">
        <v>29.758</v>
      </c>
      <c r="F17" s="6">
        <v>34.227</v>
      </c>
      <c r="G17" s="6">
        <v>24.664</v>
      </c>
      <c r="H17" s="7">
        <v>336.9</v>
      </c>
      <c r="I17" s="6">
        <v>1484.654</v>
      </c>
      <c r="J17" s="8">
        <v>0.001428576388888889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305</v>
      </c>
      <c r="C18" s="6">
        <v>123.379</v>
      </c>
      <c r="D18" s="6">
        <v>34.72</v>
      </c>
      <c r="E18" s="6">
        <v>29.818</v>
      </c>
      <c r="F18" s="6">
        <v>34.214</v>
      </c>
      <c r="G18" s="6">
        <v>24.627</v>
      </c>
      <c r="H18" s="7">
        <v>338</v>
      </c>
      <c r="I18" s="6">
        <v>1608.033</v>
      </c>
      <c r="J18" s="8">
        <v>0.001427997685185185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306</v>
      </c>
      <c r="C19" s="6">
        <v>123.518</v>
      </c>
      <c r="D19" s="6">
        <v>34.736</v>
      </c>
      <c r="E19" s="6">
        <v>29.758</v>
      </c>
      <c r="F19" s="6">
        <v>34.291</v>
      </c>
      <c r="G19" s="6">
        <v>24.733</v>
      </c>
      <c r="H19" s="7">
        <v>334.8</v>
      </c>
      <c r="I19" s="6">
        <v>1731.551</v>
      </c>
      <c r="J19" s="8">
        <v>0.001429606481481482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307</v>
      </c>
      <c r="C20" s="6">
        <v>123.467</v>
      </c>
      <c r="D20" s="6">
        <v>34.731</v>
      </c>
      <c r="E20" s="6">
        <v>29.699</v>
      </c>
      <c r="F20" s="6">
        <v>34.452</v>
      </c>
      <c r="G20" s="6">
        <v>24.585</v>
      </c>
      <c r="H20" s="7">
        <v>334.8</v>
      </c>
      <c r="I20" s="6">
        <v>1855.018</v>
      </c>
      <c r="J20" s="8">
        <v>0.001429016203703704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308</v>
      </c>
      <c r="C21" s="6">
        <v>123.542</v>
      </c>
      <c r="D21" s="6">
        <v>34.78</v>
      </c>
      <c r="E21" s="6">
        <v>29.846</v>
      </c>
      <c r="F21" s="6">
        <v>34.297</v>
      </c>
      <c r="G21" s="6">
        <v>24.619</v>
      </c>
      <c r="H21" s="7">
        <v>333.7</v>
      </c>
      <c r="I21" s="6">
        <v>1978.56</v>
      </c>
      <c r="J21" s="8">
        <v>0.001429884259259259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309</v>
      </c>
      <c r="C22" s="6">
        <v>123.529</v>
      </c>
      <c r="D22" s="6">
        <v>34.778</v>
      </c>
      <c r="E22" s="6">
        <v>29.735</v>
      </c>
      <c r="F22" s="6">
        <v>34.39</v>
      </c>
      <c r="G22" s="6">
        <v>24.626</v>
      </c>
      <c r="H22" s="7">
        <v>332.7</v>
      </c>
      <c r="I22" s="6">
        <v>2102.089</v>
      </c>
      <c r="J22" s="8">
        <v>0.001429733796296296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310</v>
      </c>
      <c r="C23" s="6">
        <v>124.616</v>
      </c>
      <c r="D23" s="6">
        <v>35.064</v>
      </c>
      <c r="E23" s="6">
        <v>29.935</v>
      </c>
      <c r="F23" s="6">
        <v>34.737</v>
      </c>
      <c r="G23" s="6">
        <v>24.88</v>
      </c>
      <c r="H23" s="7">
        <v>332.7</v>
      </c>
      <c r="I23" s="6">
        <v>2226.705</v>
      </c>
      <c r="J23" s="8">
        <v>0.001442314814814815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311</v>
      </c>
      <c r="C24" s="6">
        <v>124.607</v>
      </c>
      <c r="D24" s="6">
        <v>35.37</v>
      </c>
      <c r="E24" s="6">
        <v>29.946</v>
      </c>
      <c r="F24" s="6">
        <v>34.345</v>
      </c>
      <c r="G24" s="6">
        <v>24.946</v>
      </c>
      <c r="H24" s="7">
        <v>332.7</v>
      </c>
      <c r="I24" s="6">
        <v>2351.312</v>
      </c>
      <c r="J24" s="8">
        <v>0.001442210648148148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312</v>
      </c>
      <c r="C25" s="6">
        <v>123.712</v>
      </c>
      <c r="D25" s="6">
        <v>35.087</v>
      </c>
      <c r="E25" s="6">
        <v>29.793</v>
      </c>
      <c r="F25" s="6">
        <v>34.149</v>
      </c>
      <c r="G25" s="6">
        <v>24.683</v>
      </c>
      <c r="H25" s="7">
        <v>332.7</v>
      </c>
      <c r="I25" s="6">
        <v>2475.024</v>
      </c>
      <c r="J25" s="8">
        <v>0.001431851851851852</v>
      </c>
      <c r="K25" s="9" t="b">
        <v>0</v>
      </c>
      <c r="L25" s="9" t="b">
        <v>0</v>
      </c>
      <c r="M25" s="9" t="b">
        <v>0</v>
      </c>
    </row>
  </sheetData>
  <autoFilter ref="A5:M25"/>
  <mergeCells count="1">
    <mergeCell ref="A1:M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N2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313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314</v>
      </c>
      <c r="C3" s="2" t="s">
        <v>3</v>
      </c>
      <c r="D3" s="2" t="s">
        <v>315</v>
      </c>
      <c r="E3" s="2" t="s">
        <v>5</v>
      </c>
      <c r="F3" s="2" t="s">
        <v>316</v>
      </c>
      <c r="G3" s="2" t="s">
        <v>7</v>
      </c>
      <c r="H3" s="2">
        <v>20</v>
      </c>
      <c r="I3" s="2" t="s">
        <v>8</v>
      </c>
      <c r="J3" s="2">
        <v>17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317</v>
      </c>
      <c r="C6" s="6">
        <v>127.725</v>
      </c>
      <c r="D6" s="6">
        <v>37.147</v>
      </c>
      <c r="E6" s="6">
        <v>30.455</v>
      </c>
      <c r="F6" s="6">
        <v>35.396</v>
      </c>
      <c r="G6" s="6">
        <v>24.727</v>
      </c>
      <c r="H6" s="7">
        <v>336.9</v>
      </c>
      <c r="I6" s="6">
        <v>127.725</v>
      </c>
      <c r="J6" s="8">
        <v>0.001478298611111111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318</v>
      </c>
      <c r="C7" s="6">
        <v>125.581</v>
      </c>
      <c r="D7" s="6">
        <v>35.047</v>
      </c>
      <c r="E7" s="6">
        <v>31.393</v>
      </c>
      <c r="F7" s="6">
        <v>34.477</v>
      </c>
      <c r="G7" s="6">
        <v>24.664</v>
      </c>
      <c r="H7" s="7">
        <v>331.6</v>
      </c>
      <c r="I7" s="6">
        <v>253.306</v>
      </c>
      <c r="J7" s="8">
        <v>0.001453483796296296</v>
      </c>
      <c r="K7" s="9" t="b">
        <v>1</v>
      </c>
      <c r="L7" s="9" t="b">
        <v>0</v>
      </c>
      <c r="M7" s="9" t="b">
        <v>0</v>
      </c>
    </row>
    <row r="8" spans="1:14">
      <c r="A8" s="4">
        <v>3</v>
      </c>
      <c r="B8" s="5" t="s">
        <v>207</v>
      </c>
      <c r="C8" s="6">
        <v>123.318</v>
      </c>
      <c r="D8" s="6">
        <v>34.599</v>
      </c>
      <c r="E8" s="6">
        <v>29.788</v>
      </c>
      <c r="F8" s="6">
        <v>34.372</v>
      </c>
      <c r="G8" s="6">
        <v>24.559</v>
      </c>
      <c r="H8" s="7">
        <v>334.8</v>
      </c>
      <c r="I8" s="6">
        <v>376.624</v>
      </c>
      <c r="J8" s="8">
        <v>0.001427291666666667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319</v>
      </c>
      <c r="C9" s="6">
        <v>123.366</v>
      </c>
      <c r="D9" s="6">
        <v>34.7</v>
      </c>
      <c r="E9" s="6">
        <v>29.788</v>
      </c>
      <c r="F9" s="6">
        <v>34.315</v>
      </c>
      <c r="G9" s="6">
        <v>24.563</v>
      </c>
      <c r="H9" s="7">
        <v>332.7</v>
      </c>
      <c r="I9" s="6">
        <v>499.99</v>
      </c>
      <c r="J9" s="8">
        <v>0.001427847222222222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320</v>
      </c>
      <c r="C10" s="6">
        <v>123.449</v>
      </c>
      <c r="D10" s="6">
        <v>34.868</v>
      </c>
      <c r="E10" s="6">
        <v>29.611</v>
      </c>
      <c r="F10" s="6">
        <v>34.385</v>
      </c>
      <c r="G10" s="6">
        <v>24.585</v>
      </c>
      <c r="H10" s="7">
        <v>334.8</v>
      </c>
      <c r="I10" s="6">
        <v>623.439</v>
      </c>
      <c r="J10" s="8">
        <v>0.00142880787037037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267</v>
      </c>
      <c r="C11" s="6">
        <v>123.488</v>
      </c>
      <c r="D11" s="6">
        <v>34.782</v>
      </c>
      <c r="E11" s="6">
        <v>29.893</v>
      </c>
      <c r="F11" s="6">
        <v>34.357</v>
      </c>
      <c r="G11" s="6">
        <v>24.456</v>
      </c>
      <c r="H11" s="7">
        <v>334.8</v>
      </c>
      <c r="I11" s="6">
        <v>746.927</v>
      </c>
      <c r="J11" s="8">
        <v>0.001429259259259259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321</v>
      </c>
      <c r="C12" s="6">
        <v>123.422</v>
      </c>
      <c r="D12" s="6">
        <v>34.688</v>
      </c>
      <c r="E12" s="6">
        <v>29.872</v>
      </c>
      <c r="F12" s="6">
        <v>34.31</v>
      </c>
      <c r="G12" s="6">
        <v>24.552</v>
      </c>
      <c r="H12" s="7">
        <v>334.8</v>
      </c>
      <c r="I12" s="6">
        <v>870.349</v>
      </c>
      <c r="J12" s="8">
        <v>0.00142849537037037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322</v>
      </c>
      <c r="C13" s="6">
        <v>123.848</v>
      </c>
      <c r="D13" s="6">
        <v>34.709</v>
      </c>
      <c r="E13" s="6">
        <v>29.7</v>
      </c>
      <c r="F13" s="6">
        <v>34.545</v>
      </c>
      <c r="G13" s="6">
        <v>24.894</v>
      </c>
      <c r="H13" s="7">
        <v>338</v>
      </c>
      <c r="I13" s="6">
        <v>994.197</v>
      </c>
      <c r="J13" s="8">
        <v>0.001433425925925926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323</v>
      </c>
      <c r="C14" s="6">
        <v>123.428</v>
      </c>
      <c r="D14" s="6">
        <v>34.766</v>
      </c>
      <c r="E14" s="6">
        <v>29.817</v>
      </c>
      <c r="F14" s="6">
        <v>34.258</v>
      </c>
      <c r="G14" s="6">
        <v>24.587</v>
      </c>
      <c r="H14" s="7">
        <v>334.8</v>
      </c>
      <c r="I14" s="6">
        <v>1117.625</v>
      </c>
      <c r="J14" s="8">
        <v>0.001428564814814815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324</v>
      </c>
      <c r="C15" s="6">
        <v>123.278</v>
      </c>
      <c r="D15" s="6">
        <v>34.665</v>
      </c>
      <c r="E15" s="6">
        <v>29.703</v>
      </c>
      <c r="F15" s="6">
        <v>34.233</v>
      </c>
      <c r="G15" s="6">
        <v>24.677</v>
      </c>
      <c r="H15" s="7">
        <v>333.7</v>
      </c>
      <c r="I15" s="6">
        <v>1240.903</v>
      </c>
      <c r="J15" s="8">
        <v>0.001426828703703704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325</v>
      </c>
      <c r="C16" s="6">
        <v>123.071</v>
      </c>
      <c r="D16" s="6">
        <v>34.636</v>
      </c>
      <c r="E16" s="6">
        <v>29.642</v>
      </c>
      <c r="F16" s="6">
        <v>34.23</v>
      </c>
      <c r="G16" s="6">
        <v>24.563</v>
      </c>
      <c r="H16" s="7">
        <v>336.9</v>
      </c>
      <c r="I16" s="6">
        <v>1363.974</v>
      </c>
      <c r="J16" s="8">
        <v>0.00142443287037037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326</v>
      </c>
      <c r="C17" s="6">
        <v>123.326</v>
      </c>
      <c r="D17" s="6">
        <v>34.628</v>
      </c>
      <c r="E17" s="6">
        <v>29.804</v>
      </c>
      <c r="F17" s="6">
        <v>34.287</v>
      </c>
      <c r="G17" s="6">
        <v>24.607</v>
      </c>
      <c r="H17" s="7">
        <v>335.9</v>
      </c>
      <c r="I17" s="6">
        <v>1487.3</v>
      </c>
      <c r="J17" s="8">
        <v>0.001427384259259259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268</v>
      </c>
      <c r="C18" s="6">
        <v>123.459</v>
      </c>
      <c r="D18" s="6">
        <v>34.739</v>
      </c>
      <c r="E18" s="6">
        <v>29.766</v>
      </c>
      <c r="F18" s="6">
        <v>34.326</v>
      </c>
      <c r="G18" s="6">
        <v>24.628</v>
      </c>
      <c r="H18" s="7">
        <v>333.7</v>
      </c>
      <c r="I18" s="6">
        <v>1610.759</v>
      </c>
      <c r="J18" s="8">
        <v>0.001428923611111111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327</v>
      </c>
      <c r="C19" s="6">
        <v>123.264</v>
      </c>
      <c r="D19" s="6">
        <v>34.691</v>
      </c>
      <c r="E19" s="6">
        <v>29.644</v>
      </c>
      <c r="F19" s="6">
        <v>34.403</v>
      </c>
      <c r="G19" s="6">
        <v>24.526</v>
      </c>
      <c r="H19" s="7">
        <v>335.9</v>
      </c>
      <c r="I19" s="6">
        <v>1734.023</v>
      </c>
      <c r="J19" s="8">
        <v>0.001426666666666667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328</v>
      </c>
      <c r="C20" s="6">
        <v>123.739</v>
      </c>
      <c r="D20" s="6">
        <v>34.807</v>
      </c>
      <c r="E20" s="6">
        <v>29.791</v>
      </c>
      <c r="F20" s="6">
        <v>34.518</v>
      </c>
      <c r="G20" s="6">
        <v>24.623</v>
      </c>
      <c r="H20" s="7">
        <v>330.6</v>
      </c>
      <c r="I20" s="6">
        <v>1857.762</v>
      </c>
      <c r="J20" s="8">
        <v>0.001432164351851852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329</v>
      </c>
      <c r="C21" s="6">
        <v>123.584</v>
      </c>
      <c r="D21" s="6">
        <v>34.756</v>
      </c>
      <c r="E21" s="6">
        <v>29.748</v>
      </c>
      <c r="F21" s="6">
        <v>34.418</v>
      </c>
      <c r="G21" s="6">
        <v>24.662</v>
      </c>
      <c r="H21" s="7">
        <v>335.9</v>
      </c>
      <c r="I21" s="6">
        <v>1981.346</v>
      </c>
      <c r="J21" s="8">
        <v>0.00143037037037037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330</v>
      </c>
      <c r="C22" s="6">
        <v>123.535</v>
      </c>
      <c r="D22" s="6">
        <v>34.618</v>
      </c>
      <c r="E22" s="6">
        <v>29.827</v>
      </c>
      <c r="F22" s="6">
        <v>34.483</v>
      </c>
      <c r="G22" s="6">
        <v>24.607</v>
      </c>
      <c r="H22" s="7">
        <v>335.9</v>
      </c>
      <c r="I22" s="6">
        <v>2104.881</v>
      </c>
      <c r="J22" s="8">
        <v>0.001429803240740741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269</v>
      </c>
      <c r="C23" s="6">
        <v>123.677</v>
      </c>
      <c r="D23" s="6">
        <v>34.581</v>
      </c>
      <c r="E23" s="6">
        <v>29.949</v>
      </c>
      <c r="F23" s="6">
        <v>34.38</v>
      </c>
      <c r="G23" s="6">
        <v>24.767</v>
      </c>
      <c r="H23" s="7">
        <v>328.5</v>
      </c>
      <c r="I23" s="6">
        <v>2228.558</v>
      </c>
      <c r="J23" s="8">
        <v>0.001431446759259259</v>
      </c>
      <c r="K23" s="9" t="b">
        <v>1</v>
      </c>
      <c r="L23" s="9" t="b">
        <v>0</v>
      </c>
      <c r="M23" s="9" t="b">
        <v>0</v>
      </c>
    </row>
    <row r="24" spans="1:13">
      <c r="A24" s="4">
        <v>19</v>
      </c>
      <c r="B24" s="5" t="s">
        <v>331</v>
      </c>
      <c r="C24" s="6">
        <v>123.746</v>
      </c>
      <c r="D24" s="6">
        <v>34.834</v>
      </c>
      <c r="E24" s="6">
        <v>29.746</v>
      </c>
      <c r="F24" s="6">
        <v>34.514</v>
      </c>
      <c r="G24" s="6">
        <v>24.652</v>
      </c>
      <c r="H24" s="7">
        <v>330.6</v>
      </c>
      <c r="I24" s="6">
        <v>2352.304</v>
      </c>
      <c r="J24" s="8">
        <v>0.00143224537037037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332</v>
      </c>
      <c r="C25" s="6">
        <v>123.898</v>
      </c>
      <c r="D25" s="6">
        <v>34.739</v>
      </c>
      <c r="E25" s="6">
        <v>29.767</v>
      </c>
      <c r="F25" s="6">
        <v>34.595</v>
      </c>
      <c r="G25" s="6">
        <v>24.797</v>
      </c>
      <c r="H25" s="7">
        <v>332.7</v>
      </c>
      <c r="I25" s="6">
        <v>2476.202</v>
      </c>
      <c r="J25" s="8">
        <v>0.00143400462962963</v>
      </c>
      <c r="K25" s="9" t="b">
        <v>0</v>
      </c>
      <c r="L25" s="9" t="b">
        <v>0</v>
      </c>
      <c r="M25" s="9" t="b">
        <v>0</v>
      </c>
    </row>
  </sheetData>
  <autoFilter ref="A5:M25"/>
  <mergeCells count="1">
    <mergeCell ref="A1:M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N2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333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314</v>
      </c>
      <c r="C3" s="2" t="s">
        <v>3</v>
      </c>
      <c r="D3" s="2" t="s">
        <v>315</v>
      </c>
      <c r="E3" s="2" t="s">
        <v>5</v>
      </c>
      <c r="F3" s="2" t="s">
        <v>334</v>
      </c>
      <c r="G3" s="2" t="s">
        <v>7</v>
      </c>
      <c r="H3" s="2">
        <v>20</v>
      </c>
      <c r="I3" s="2" t="s">
        <v>8</v>
      </c>
      <c r="J3" s="2">
        <v>19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335</v>
      </c>
      <c r="C6" s="6">
        <v>127.538</v>
      </c>
      <c r="D6" s="6">
        <v>37.338</v>
      </c>
      <c r="E6" s="6">
        <v>30.461</v>
      </c>
      <c r="F6" s="6">
        <v>35.12</v>
      </c>
      <c r="G6" s="6">
        <v>24.619</v>
      </c>
      <c r="H6" s="7">
        <v>339.1</v>
      </c>
      <c r="I6" s="6">
        <v>127.538</v>
      </c>
      <c r="J6" s="8">
        <v>0.001476134259259259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336</v>
      </c>
      <c r="C7" s="6">
        <v>125.893</v>
      </c>
      <c r="D7" s="6">
        <v>35.114</v>
      </c>
      <c r="E7" s="6">
        <v>31.516</v>
      </c>
      <c r="F7" s="6">
        <v>34.672</v>
      </c>
      <c r="G7" s="6">
        <v>24.591</v>
      </c>
      <c r="H7" s="7">
        <v>330.6</v>
      </c>
      <c r="I7" s="6">
        <v>253.431</v>
      </c>
      <c r="J7" s="8">
        <v>0.001457094907407407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209</v>
      </c>
      <c r="C8" s="6">
        <v>123.649</v>
      </c>
      <c r="D8" s="6">
        <v>34.884</v>
      </c>
      <c r="E8" s="6">
        <v>29.884</v>
      </c>
      <c r="F8" s="6">
        <v>34.372</v>
      </c>
      <c r="G8" s="6">
        <v>24.509</v>
      </c>
      <c r="H8" s="7">
        <v>331.6</v>
      </c>
      <c r="I8" s="6">
        <v>377.08</v>
      </c>
      <c r="J8" s="8">
        <v>0.001431122685185185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337</v>
      </c>
      <c r="C9" s="6">
        <v>123.335</v>
      </c>
      <c r="D9" s="6">
        <v>34.709</v>
      </c>
      <c r="E9" s="6">
        <v>29.695</v>
      </c>
      <c r="F9" s="6">
        <v>34.333</v>
      </c>
      <c r="G9" s="6">
        <v>24.598</v>
      </c>
      <c r="H9" s="7">
        <v>333.7</v>
      </c>
      <c r="I9" s="6">
        <v>500.415</v>
      </c>
      <c r="J9" s="8">
        <v>0.001427488425925926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338</v>
      </c>
      <c r="C10" s="6">
        <v>123.58</v>
      </c>
      <c r="D10" s="6">
        <v>34.809</v>
      </c>
      <c r="E10" s="6">
        <v>29.983</v>
      </c>
      <c r="F10" s="6">
        <v>34.281</v>
      </c>
      <c r="G10" s="6">
        <v>24.507</v>
      </c>
      <c r="H10" s="7">
        <v>336.9</v>
      </c>
      <c r="I10" s="6">
        <v>623.995</v>
      </c>
      <c r="J10" s="8">
        <v>0.001430324074074074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127</v>
      </c>
      <c r="C11" s="6">
        <v>123.64</v>
      </c>
      <c r="D11" s="6">
        <v>34.745</v>
      </c>
      <c r="E11" s="6">
        <v>29.948</v>
      </c>
      <c r="F11" s="6">
        <v>34.428</v>
      </c>
      <c r="G11" s="6">
        <v>24.519</v>
      </c>
      <c r="H11" s="7">
        <v>335.9</v>
      </c>
      <c r="I11" s="6">
        <v>747.635</v>
      </c>
      <c r="J11" s="8">
        <v>0.001431018518518519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278</v>
      </c>
      <c r="C12" s="6">
        <v>123.339</v>
      </c>
      <c r="D12" s="6">
        <v>34.683</v>
      </c>
      <c r="E12" s="6">
        <v>29.665</v>
      </c>
      <c r="F12" s="6">
        <v>34.435</v>
      </c>
      <c r="G12" s="6">
        <v>24.556</v>
      </c>
      <c r="H12" s="7">
        <v>338</v>
      </c>
      <c r="I12" s="6">
        <v>870.974</v>
      </c>
      <c r="J12" s="8">
        <v>0.001427534722222222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339</v>
      </c>
      <c r="C13" s="6">
        <v>123.654</v>
      </c>
      <c r="D13" s="6">
        <v>34.831</v>
      </c>
      <c r="E13" s="6">
        <v>29.737</v>
      </c>
      <c r="F13" s="6">
        <v>34.318</v>
      </c>
      <c r="G13" s="6">
        <v>24.768</v>
      </c>
      <c r="H13" s="7">
        <v>339.1</v>
      </c>
      <c r="I13" s="6">
        <v>994.628</v>
      </c>
      <c r="J13" s="8">
        <v>0.001431180555555556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340</v>
      </c>
      <c r="C14" s="6">
        <v>123.696</v>
      </c>
      <c r="D14" s="6">
        <v>34.848</v>
      </c>
      <c r="E14" s="6">
        <v>29.782</v>
      </c>
      <c r="F14" s="6">
        <v>34.308</v>
      </c>
      <c r="G14" s="6">
        <v>24.758</v>
      </c>
      <c r="H14" s="7">
        <v>334.8</v>
      </c>
      <c r="I14" s="6">
        <v>1118.324</v>
      </c>
      <c r="J14" s="8">
        <v>0.001431666666666667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341</v>
      </c>
      <c r="C15" s="6">
        <v>123.344</v>
      </c>
      <c r="D15" s="6">
        <v>34.645</v>
      </c>
      <c r="E15" s="6">
        <v>29.822</v>
      </c>
      <c r="F15" s="6">
        <v>34.266</v>
      </c>
      <c r="G15" s="6">
        <v>24.611</v>
      </c>
      <c r="H15" s="7">
        <v>332.7</v>
      </c>
      <c r="I15" s="6">
        <v>1241.668</v>
      </c>
      <c r="J15" s="8">
        <v>0.001427592592592592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266</v>
      </c>
      <c r="C16" s="6">
        <v>123.828</v>
      </c>
      <c r="D16" s="6">
        <v>34.681</v>
      </c>
      <c r="E16" s="6">
        <v>30.032</v>
      </c>
      <c r="F16" s="6">
        <v>34.458</v>
      </c>
      <c r="G16" s="6">
        <v>24.657</v>
      </c>
      <c r="H16" s="7">
        <v>332.7</v>
      </c>
      <c r="I16" s="6">
        <v>1365.496</v>
      </c>
      <c r="J16" s="8">
        <v>0.001433194444444444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342</v>
      </c>
      <c r="C17" s="6">
        <v>123.415</v>
      </c>
      <c r="D17" s="6">
        <v>34.769</v>
      </c>
      <c r="E17" s="6">
        <v>29.757</v>
      </c>
      <c r="F17" s="6">
        <v>34.264</v>
      </c>
      <c r="G17" s="6">
        <v>24.625</v>
      </c>
      <c r="H17" s="7">
        <v>333.7</v>
      </c>
      <c r="I17" s="6">
        <v>1488.911</v>
      </c>
      <c r="J17" s="8">
        <v>0.001428414351851852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343</v>
      </c>
      <c r="C18" s="6">
        <v>123.547</v>
      </c>
      <c r="D18" s="6">
        <v>34.776</v>
      </c>
      <c r="E18" s="6">
        <v>29.876</v>
      </c>
      <c r="F18" s="6">
        <v>34.267</v>
      </c>
      <c r="G18" s="6">
        <v>24.628</v>
      </c>
      <c r="H18" s="7">
        <v>330.6</v>
      </c>
      <c r="I18" s="6">
        <v>1612.458</v>
      </c>
      <c r="J18" s="8">
        <v>0.00142994212962963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344</v>
      </c>
      <c r="C19" s="6">
        <v>123.578</v>
      </c>
      <c r="D19" s="6">
        <v>34.864</v>
      </c>
      <c r="E19" s="6">
        <v>29.691</v>
      </c>
      <c r="F19" s="6">
        <v>34.435</v>
      </c>
      <c r="G19" s="6">
        <v>24.588</v>
      </c>
      <c r="H19" s="7">
        <v>330.6</v>
      </c>
      <c r="I19" s="6">
        <v>1736.036</v>
      </c>
      <c r="J19" s="8">
        <v>0.001430300925925926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47</v>
      </c>
      <c r="C20" s="6">
        <v>123.611</v>
      </c>
      <c r="D20" s="6">
        <v>34.663</v>
      </c>
      <c r="E20" s="6">
        <v>29.946</v>
      </c>
      <c r="F20" s="6">
        <v>34.355</v>
      </c>
      <c r="G20" s="6">
        <v>24.647</v>
      </c>
      <c r="H20" s="7">
        <v>329.6</v>
      </c>
      <c r="I20" s="6">
        <v>1859.647</v>
      </c>
      <c r="J20" s="8">
        <v>0.00143068287037037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345</v>
      </c>
      <c r="C21" s="6">
        <v>123.516</v>
      </c>
      <c r="D21" s="6">
        <v>34.793</v>
      </c>
      <c r="E21" s="6">
        <v>29.777</v>
      </c>
      <c r="F21" s="6">
        <v>34.26</v>
      </c>
      <c r="G21" s="6">
        <v>24.686</v>
      </c>
      <c r="H21" s="7">
        <v>330.6</v>
      </c>
      <c r="I21" s="6">
        <v>1983.163</v>
      </c>
      <c r="J21" s="8">
        <v>0.001429583333333333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346</v>
      </c>
      <c r="C22" s="6">
        <v>123.356</v>
      </c>
      <c r="D22" s="6">
        <v>34.84</v>
      </c>
      <c r="E22" s="6">
        <v>29.634</v>
      </c>
      <c r="F22" s="6">
        <v>34.292</v>
      </c>
      <c r="G22" s="6">
        <v>24.59</v>
      </c>
      <c r="H22" s="7">
        <v>330.6</v>
      </c>
      <c r="I22" s="6">
        <v>2106.519</v>
      </c>
      <c r="J22" s="8">
        <v>0.001427731481481481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347</v>
      </c>
      <c r="C23" s="6">
        <v>123.402</v>
      </c>
      <c r="D23" s="6">
        <v>34.862</v>
      </c>
      <c r="E23" s="6">
        <v>29.712</v>
      </c>
      <c r="F23" s="6">
        <v>34.282</v>
      </c>
      <c r="G23" s="6">
        <v>24.546</v>
      </c>
      <c r="H23" s="7">
        <v>333.7</v>
      </c>
      <c r="I23" s="6">
        <v>2229.921</v>
      </c>
      <c r="J23" s="8">
        <v>0.001428263888888889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348</v>
      </c>
      <c r="C24" s="6">
        <v>123.484</v>
      </c>
      <c r="D24" s="6">
        <v>34.633</v>
      </c>
      <c r="E24" s="6">
        <v>29.673</v>
      </c>
      <c r="F24" s="6">
        <v>34.505</v>
      </c>
      <c r="G24" s="6">
        <v>24.673</v>
      </c>
      <c r="H24" s="7">
        <v>340.2</v>
      </c>
      <c r="I24" s="6">
        <v>2353.405</v>
      </c>
      <c r="J24" s="8">
        <v>0.001429212962962963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349</v>
      </c>
      <c r="C25" s="6">
        <v>123.557</v>
      </c>
      <c r="D25" s="6">
        <v>34.879</v>
      </c>
      <c r="E25" s="6">
        <v>29.767</v>
      </c>
      <c r="F25" s="6">
        <v>34.298</v>
      </c>
      <c r="G25" s="6">
        <v>24.613</v>
      </c>
      <c r="H25" s="7">
        <v>329.6</v>
      </c>
      <c r="I25" s="6">
        <v>2476.962</v>
      </c>
      <c r="J25" s="8">
        <v>0.00143005787037037</v>
      </c>
      <c r="K25" s="9" t="b">
        <v>0</v>
      </c>
      <c r="L25" s="9" t="b">
        <v>0</v>
      </c>
      <c r="M25" s="9" t="b">
        <v>0</v>
      </c>
    </row>
  </sheetData>
  <autoFilter ref="A5:M25"/>
  <mergeCells count="1">
    <mergeCell ref="A1:M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N2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350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351</v>
      </c>
      <c r="C3" s="2" t="s">
        <v>3</v>
      </c>
      <c r="D3" s="2" t="s">
        <v>315</v>
      </c>
      <c r="E3" s="2" t="s">
        <v>5</v>
      </c>
      <c r="F3" s="2" t="s">
        <v>352</v>
      </c>
      <c r="G3" s="2" t="s">
        <v>7</v>
      </c>
      <c r="H3" s="2">
        <v>20</v>
      </c>
      <c r="I3" s="2" t="s">
        <v>8</v>
      </c>
      <c r="J3" s="2">
        <v>19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353</v>
      </c>
      <c r="C6" s="6">
        <v>126.977</v>
      </c>
      <c r="D6" s="6">
        <v>36.919</v>
      </c>
      <c r="E6" s="6">
        <v>30.594</v>
      </c>
      <c r="F6" s="6">
        <v>34.771</v>
      </c>
      <c r="G6" s="6">
        <v>24.693</v>
      </c>
      <c r="H6" s="7">
        <v>333.7</v>
      </c>
      <c r="I6" s="6">
        <v>126.977</v>
      </c>
      <c r="J6" s="8">
        <v>0.001469641203703704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354</v>
      </c>
      <c r="C7" s="6">
        <v>125.881</v>
      </c>
      <c r="D7" s="6">
        <v>35.487</v>
      </c>
      <c r="E7" s="6">
        <v>31.481</v>
      </c>
      <c r="F7" s="6">
        <v>34.333</v>
      </c>
      <c r="G7" s="6">
        <v>24.58</v>
      </c>
      <c r="H7" s="7">
        <v>330.6</v>
      </c>
      <c r="I7" s="6">
        <v>252.858</v>
      </c>
      <c r="J7" s="8">
        <v>0.001456956018518518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284</v>
      </c>
      <c r="C8" s="6">
        <v>123.49</v>
      </c>
      <c r="D8" s="6">
        <v>34.839</v>
      </c>
      <c r="E8" s="6">
        <v>29.89</v>
      </c>
      <c r="F8" s="6">
        <v>34.246</v>
      </c>
      <c r="G8" s="6">
        <v>24.515</v>
      </c>
      <c r="H8" s="7">
        <v>328.5</v>
      </c>
      <c r="I8" s="6">
        <v>376.348</v>
      </c>
      <c r="J8" s="8">
        <v>0.001429282407407407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355</v>
      </c>
      <c r="C9" s="6">
        <v>123.419</v>
      </c>
      <c r="D9" s="6">
        <v>34.807</v>
      </c>
      <c r="E9" s="6">
        <v>29.787</v>
      </c>
      <c r="F9" s="6">
        <v>34.226</v>
      </c>
      <c r="G9" s="6">
        <v>24.599</v>
      </c>
      <c r="H9" s="7">
        <v>329.6</v>
      </c>
      <c r="I9" s="6">
        <v>499.767</v>
      </c>
      <c r="J9" s="8">
        <v>0.001428460648148148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356</v>
      </c>
      <c r="C10" s="6">
        <v>123.468</v>
      </c>
      <c r="D10" s="6">
        <v>34.757</v>
      </c>
      <c r="E10" s="6">
        <v>29.704</v>
      </c>
      <c r="F10" s="6">
        <v>34.441</v>
      </c>
      <c r="G10" s="6">
        <v>24.566</v>
      </c>
      <c r="H10" s="7">
        <v>330.6</v>
      </c>
      <c r="I10" s="6">
        <v>623.235</v>
      </c>
      <c r="J10" s="8">
        <v>0.001429027777777778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357</v>
      </c>
      <c r="C11" s="6">
        <v>123.441</v>
      </c>
      <c r="D11" s="6">
        <v>34.813</v>
      </c>
      <c r="E11" s="6">
        <v>29.894</v>
      </c>
      <c r="F11" s="6">
        <v>34.203</v>
      </c>
      <c r="G11" s="6">
        <v>24.531</v>
      </c>
      <c r="H11" s="7">
        <v>329.6</v>
      </c>
      <c r="I11" s="6">
        <v>746.676</v>
      </c>
      <c r="J11" s="8">
        <v>0.001428715277777778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357</v>
      </c>
      <c r="C12" s="6">
        <v>123.441</v>
      </c>
      <c r="D12" s="6">
        <v>34.816</v>
      </c>
      <c r="E12" s="6">
        <v>29.916</v>
      </c>
      <c r="F12" s="6">
        <v>34.177</v>
      </c>
      <c r="G12" s="6">
        <v>24.532</v>
      </c>
      <c r="H12" s="7">
        <v>335.9</v>
      </c>
      <c r="I12" s="6">
        <v>870.117</v>
      </c>
      <c r="J12" s="8">
        <v>0.001428715277777778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358</v>
      </c>
      <c r="C13" s="6">
        <v>123.624</v>
      </c>
      <c r="D13" s="6">
        <v>34.75</v>
      </c>
      <c r="E13" s="6">
        <v>29.767</v>
      </c>
      <c r="F13" s="6">
        <v>34.454</v>
      </c>
      <c r="G13" s="6">
        <v>24.653</v>
      </c>
      <c r="H13" s="7">
        <v>335.9</v>
      </c>
      <c r="I13" s="6">
        <v>993.741</v>
      </c>
      <c r="J13" s="8">
        <v>0.001430833333333333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223</v>
      </c>
      <c r="C14" s="6">
        <v>123.341</v>
      </c>
      <c r="D14" s="6">
        <v>34.768</v>
      </c>
      <c r="E14" s="6">
        <v>29.815</v>
      </c>
      <c r="F14" s="6">
        <v>34.18</v>
      </c>
      <c r="G14" s="6">
        <v>24.578</v>
      </c>
      <c r="H14" s="7">
        <v>334.8</v>
      </c>
      <c r="I14" s="6">
        <v>1117.082</v>
      </c>
      <c r="J14" s="8">
        <v>0.00142755787037037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107</v>
      </c>
      <c r="C15" s="6">
        <v>123.275</v>
      </c>
      <c r="D15" s="6">
        <v>34.733</v>
      </c>
      <c r="E15" s="6">
        <v>29.782</v>
      </c>
      <c r="F15" s="6">
        <v>34.231</v>
      </c>
      <c r="G15" s="6">
        <v>24.529</v>
      </c>
      <c r="H15" s="7">
        <v>329.6</v>
      </c>
      <c r="I15" s="6">
        <v>1240.357</v>
      </c>
      <c r="J15" s="8">
        <v>0.001426793981481482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359</v>
      </c>
      <c r="C16" s="6">
        <v>123.237</v>
      </c>
      <c r="D16" s="6">
        <v>34.738</v>
      </c>
      <c r="E16" s="6">
        <v>29.761</v>
      </c>
      <c r="F16" s="6">
        <v>34.159</v>
      </c>
      <c r="G16" s="6">
        <v>24.579</v>
      </c>
      <c r="H16" s="7">
        <v>334.8</v>
      </c>
      <c r="I16" s="6">
        <v>1363.594</v>
      </c>
      <c r="J16" s="8">
        <v>0.001426354166666667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360</v>
      </c>
      <c r="C17" s="6">
        <v>123.481</v>
      </c>
      <c r="D17" s="6">
        <v>34.853</v>
      </c>
      <c r="E17" s="6">
        <v>29.792</v>
      </c>
      <c r="F17" s="6">
        <v>34.183</v>
      </c>
      <c r="G17" s="6">
        <v>24.653</v>
      </c>
      <c r="H17" s="7">
        <v>332.7</v>
      </c>
      <c r="I17" s="6">
        <v>1487.075</v>
      </c>
      <c r="J17" s="8">
        <v>0.001429178240740741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361</v>
      </c>
      <c r="C18" s="6">
        <v>123.384</v>
      </c>
      <c r="D18" s="6">
        <v>34.765</v>
      </c>
      <c r="E18" s="6">
        <v>29.795</v>
      </c>
      <c r="F18" s="6">
        <v>34.233</v>
      </c>
      <c r="G18" s="6">
        <v>24.591</v>
      </c>
      <c r="H18" s="7">
        <v>331.6</v>
      </c>
      <c r="I18" s="6">
        <v>1610.459</v>
      </c>
      <c r="J18" s="8">
        <v>0.001428055555555555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362</v>
      </c>
      <c r="C19" s="6">
        <v>123.369</v>
      </c>
      <c r="D19" s="6">
        <v>34.804</v>
      </c>
      <c r="E19" s="6">
        <v>29.717</v>
      </c>
      <c r="F19" s="6">
        <v>34.265</v>
      </c>
      <c r="G19" s="6">
        <v>24.583</v>
      </c>
      <c r="H19" s="7">
        <v>332.7</v>
      </c>
      <c r="I19" s="6">
        <v>1733.828</v>
      </c>
      <c r="J19" s="8">
        <v>0.001427881944444445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363</v>
      </c>
      <c r="C20" s="6">
        <v>123.789</v>
      </c>
      <c r="D20" s="6">
        <v>34.888</v>
      </c>
      <c r="E20" s="6">
        <v>29.83</v>
      </c>
      <c r="F20" s="6">
        <v>34.373</v>
      </c>
      <c r="G20" s="6">
        <v>24.698</v>
      </c>
      <c r="H20" s="7">
        <v>330.6</v>
      </c>
      <c r="I20" s="6">
        <v>1857.617</v>
      </c>
      <c r="J20" s="8">
        <v>0.001432743055555556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364</v>
      </c>
      <c r="C21" s="6">
        <v>123.44</v>
      </c>
      <c r="D21" s="6">
        <v>34.79</v>
      </c>
      <c r="E21" s="6">
        <v>29.724</v>
      </c>
      <c r="F21" s="6">
        <v>34.262</v>
      </c>
      <c r="G21" s="6">
        <v>24.664</v>
      </c>
      <c r="H21" s="7">
        <v>331.6</v>
      </c>
      <c r="I21" s="6">
        <v>1981.057</v>
      </c>
      <c r="J21" s="8">
        <v>0.001428703703703704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365</v>
      </c>
      <c r="C22" s="6">
        <v>123.556</v>
      </c>
      <c r="D22" s="6">
        <v>34.815</v>
      </c>
      <c r="E22" s="6">
        <v>29.8</v>
      </c>
      <c r="F22" s="6">
        <v>34.311</v>
      </c>
      <c r="G22" s="6">
        <v>24.63</v>
      </c>
      <c r="H22" s="7">
        <v>332.7</v>
      </c>
      <c r="I22" s="6">
        <v>2104.613</v>
      </c>
      <c r="J22" s="8">
        <v>0.001430046296296296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366</v>
      </c>
      <c r="C23" s="6">
        <v>124.364</v>
      </c>
      <c r="D23" s="6">
        <v>34.832</v>
      </c>
      <c r="E23" s="6">
        <v>30.243</v>
      </c>
      <c r="F23" s="6">
        <v>34.478</v>
      </c>
      <c r="G23" s="6">
        <v>24.811</v>
      </c>
      <c r="H23" s="7">
        <v>332.7</v>
      </c>
      <c r="I23" s="6">
        <v>2228.977</v>
      </c>
      <c r="J23" s="8">
        <v>0.001439398148148148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367</v>
      </c>
      <c r="C24" s="6">
        <v>124.222</v>
      </c>
      <c r="D24" s="6">
        <v>35.07</v>
      </c>
      <c r="E24" s="6">
        <v>29.927</v>
      </c>
      <c r="F24" s="6">
        <v>34.506</v>
      </c>
      <c r="G24" s="6">
        <v>24.719</v>
      </c>
      <c r="H24" s="7">
        <v>333.7</v>
      </c>
      <c r="I24" s="6">
        <v>2353.199</v>
      </c>
      <c r="J24" s="8">
        <v>0.00143775462962963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368</v>
      </c>
      <c r="C25" s="6">
        <v>124.59</v>
      </c>
      <c r="D25" s="6">
        <v>34.914</v>
      </c>
      <c r="E25" s="6">
        <v>30.155</v>
      </c>
      <c r="F25" s="6">
        <v>34.579</v>
      </c>
      <c r="G25" s="6">
        <v>24.942</v>
      </c>
      <c r="H25" s="7">
        <v>333.7</v>
      </c>
      <c r="I25" s="6">
        <v>2477.789</v>
      </c>
      <c r="J25" s="8">
        <v>0.001442013888888889</v>
      </c>
      <c r="K25" s="9" t="b">
        <v>0</v>
      </c>
      <c r="L25" s="9" t="b">
        <v>0</v>
      </c>
      <c r="M25" s="9" t="b">
        <v>0</v>
      </c>
    </row>
  </sheetData>
  <autoFilter ref="A5:M25"/>
  <mergeCells count="1">
    <mergeCell ref="A1:M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N2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369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351</v>
      </c>
      <c r="C3" s="2" t="s">
        <v>3</v>
      </c>
      <c r="D3" s="2" t="s">
        <v>315</v>
      </c>
      <c r="E3" s="2" t="s">
        <v>5</v>
      </c>
      <c r="F3" s="2" t="s">
        <v>46</v>
      </c>
      <c r="G3" s="2" t="s">
        <v>7</v>
      </c>
      <c r="H3" s="2">
        <v>20</v>
      </c>
      <c r="I3" s="2" t="s">
        <v>8</v>
      </c>
      <c r="J3" s="2">
        <v>19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370</v>
      </c>
      <c r="C6" s="6">
        <v>127.887</v>
      </c>
      <c r="D6" s="6">
        <v>37.593</v>
      </c>
      <c r="E6" s="6">
        <v>30.579</v>
      </c>
      <c r="F6" s="6">
        <v>34.919</v>
      </c>
      <c r="G6" s="6">
        <v>24.796</v>
      </c>
      <c r="H6" s="7">
        <v>340.2</v>
      </c>
      <c r="I6" s="6">
        <v>127.887</v>
      </c>
      <c r="J6" s="8">
        <v>0.001480173611111111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371</v>
      </c>
      <c r="C7" s="6">
        <v>125.773</v>
      </c>
      <c r="D7" s="6">
        <v>34.898</v>
      </c>
      <c r="E7" s="6">
        <v>31.712</v>
      </c>
      <c r="F7" s="6">
        <v>34.554</v>
      </c>
      <c r="G7" s="6">
        <v>24.609</v>
      </c>
      <c r="H7" s="7">
        <v>342.4</v>
      </c>
      <c r="I7" s="6">
        <v>253.66</v>
      </c>
      <c r="J7" s="8">
        <v>0.001455706018518519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372</v>
      </c>
      <c r="C8" s="6">
        <v>123.734</v>
      </c>
      <c r="D8" s="6">
        <v>34.896</v>
      </c>
      <c r="E8" s="6">
        <v>29.929</v>
      </c>
      <c r="F8" s="6">
        <v>34.351</v>
      </c>
      <c r="G8" s="6">
        <v>24.558</v>
      </c>
      <c r="H8" s="7">
        <v>336.9</v>
      </c>
      <c r="I8" s="6">
        <v>377.394</v>
      </c>
      <c r="J8" s="8">
        <v>0.001432106481481481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373</v>
      </c>
      <c r="C9" s="6">
        <v>123.188</v>
      </c>
      <c r="D9" s="6">
        <v>34.777</v>
      </c>
      <c r="E9" s="6">
        <v>29.661</v>
      </c>
      <c r="F9" s="6">
        <v>34.188</v>
      </c>
      <c r="G9" s="6">
        <v>24.562</v>
      </c>
      <c r="H9" s="7">
        <v>338</v>
      </c>
      <c r="I9" s="6">
        <v>500.582</v>
      </c>
      <c r="J9" s="8">
        <v>0.001425787037037037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374</v>
      </c>
      <c r="C10" s="6">
        <v>123.084</v>
      </c>
      <c r="D10" s="6">
        <v>34.642</v>
      </c>
      <c r="E10" s="6">
        <v>29.76</v>
      </c>
      <c r="F10" s="6">
        <v>34.107</v>
      </c>
      <c r="G10" s="6">
        <v>24.575</v>
      </c>
      <c r="H10" s="7">
        <v>335.9</v>
      </c>
      <c r="I10" s="6">
        <v>623.6660000000001</v>
      </c>
      <c r="J10" s="8">
        <v>0.001424583333333333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375</v>
      </c>
      <c r="C11" s="6">
        <v>123.508</v>
      </c>
      <c r="D11" s="6">
        <v>34.732</v>
      </c>
      <c r="E11" s="6">
        <v>29.879</v>
      </c>
      <c r="F11" s="6">
        <v>34.334</v>
      </c>
      <c r="G11" s="6">
        <v>24.563</v>
      </c>
      <c r="H11" s="7">
        <v>340.2</v>
      </c>
      <c r="I11" s="6">
        <v>747.174</v>
      </c>
      <c r="J11" s="8">
        <v>0.001429490740740741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376</v>
      </c>
      <c r="C12" s="6">
        <v>123.532</v>
      </c>
      <c r="D12" s="6">
        <v>34.669</v>
      </c>
      <c r="E12" s="6">
        <v>29.93</v>
      </c>
      <c r="F12" s="6">
        <v>34.268</v>
      </c>
      <c r="G12" s="6">
        <v>24.665</v>
      </c>
      <c r="H12" s="7">
        <v>340.2</v>
      </c>
      <c r="I12" s="6">
        <v>870.706</v>
      </c>
      <c r="J12" s="8">
        <v>0.001429768518518519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377</v>
      </c>
      <c r="C13" s="6">
        <v>124.806</v>
      </c>
      <c r="D13" s="6">
        <v>34.78</v>
      </c>
      <c r="E13" s="6">
        <v>29.835</v>
      </c>
      <c r="F13" s="6">
        <v>35.389</v>
      </c>
      <c r="G13" s="6">
        <v>24.802</v>
      </c>
      <c r="H13" s="7">
        <v>338</v>
      </c>
      <c r="I13" s="6">
        <v>995.5119999999999</v>
      </c>
      <c r="J13" s="8">
        <v>0.001444513888888889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378</v>
      </c>
      <c r="C14" s="6">
        <v>124.27</v>
      </c>
      <c r="D14" s="6">
        <v>35.262</v>
      </c>
      <c r="E14" s="6">
        <v>29.882</v>
      </c>
      <c r="F14" s="6">
        <v>34.437</v>
      </c>
      <c r="G14" s="6">
        <v>24.689</v>
      </c>
      <c r="H14" s="7">
        <v>333.7</v>
      </c>
      <c r="I14" s="6">
        <v>1119.782</v>
      </c>
      <c r="J14" s="8">
        <v>0.001438310185185185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379</v>
      </c>
      <c r="C15" s="6">
        <v>124.209</v>
      </c>
      <c r="D15" s="6">
        <v>34.903</v>
      </c>
      <c r="E15" s="6">
        <v>30.026</v>
      </c>
      <c r="F15" s="6">
        <v>34.622</v>
      </c>
      <c r="G15" s="6">
        <v>24.658</v>
      </c>
      <c r="H15" s="7">
        <v>332.7</v>
      </c>
      <c r="I15" s="6">
        <v>1243.991</v>
      </c>
      <c r="J15" s="8">
        <v>0.001437604166666667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380</v>
      </c>
      <c r="C16" s="6">
        <v>123.629</v>
      </c>
      <c r="D16" s="6">
        <v>34.823</v>
      </c>
      <c r="E16" s="6">
        <v>29.757</v>
      </c>
      <c r="F16" s="6">
        <v>34.379</v>
      </c>
      <c r="G16" s="6">
        <v>24.67</v>
      </c>
      <c r="H16" s="7">
        <v>332.7</v>
      </c>
      <c r="I16" s="6">
        <v>1367.62</v>
      </c>
      <c r="J16" s="8">
        <v>0.001430891203703704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381</v>
      </c>
      <c r="C17" s="6">
        <v>123.805</v>
      </c>
      <c r="D17" s="6">
        <v>34.85</v>
      </c>
      <c r="E17" s="6">
        <v>29.908</v>
      </c>
      <c r="F17" s="6">
        <v>34.374</v>
      </c>
      <c r="G17" s="6">
        <v>24.673</v>
      </c>
      <c r="H17" s="7">
        <v>333.7</v>
      </c>
      <c r="I17" s="6">
        <v>1491.425</v>
      </c>
      <c r="J17" s="8">
        <v>0.001432928240740741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382</v>
      </c>
      <c r="C18" s="6">
        <v>124.026</v>
      </c>
      <c r="D18" s="6">
        <v>34.993</v>
      </c>
      <c r="E18" s="6">
        <v>30.051</v>
      </c>
      <c r="F18" s="6">
        <v>34.313</v>
      </c>
      <c r="G18" s="6">
        <v>24.669</v>
      </c>
      <c r="H18" s="7">
        <v>329.6</v>
      </c>
      <c r="I18" s="6">
        <v>1615.451</v>
      </c>
      <c r="J18" s="8">
        <v>0.001435486111111111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383</v>
      </c>
      <c r="C19" s="6">
        <v>124.098</v>
      </c>
      <c r="D19" s="6">
        <v>35.043</v>
      </c>
      <c r="E19" s="6">
        <v>29.973</v>
      </c>
      <c r="F19" s="6">
        <v>34.261</v>
      </c>
      <c r="G19" s="6">
        <v>24.821</v>
      </c>
      <c r="H19" s="7">
        <v>329.6</v>
      </c>
      <c r="I19" s="6">
        <v>1739.549</v>
      </c>
      <c r="J19" s="8">
        <v>0.001436319444444444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384</v>
      </c>
      <c r="C20" s="6">
        <v>124.111</v>
      </c>
      <c r="D20" s="6">
        <v>34.96</v>
      </c>
      <c r="E20" s="6">
        <v>29.948</v>
      </c>
      <c r="F20" s="6">
        <v>34.476</v>
      </c>
      <c r="G20" s="6">
        <v>24.727</v>
      </c>
      <c r="H20" s="7">
        <v>329.6</v>
      </c>
      <c r="I20" s="6">
        <v>1863.66</v>
      </c>
      <c r="J20" s="8">
        <v>0.001436469907407407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385</v>
      </c>
      <c r="C21" s="6">
        <v>124.701</v>
      </c>
      <c r="D21" s="6">
        <v>35.21</v>
      </c>
      <c r="E21" s="6">
        <v>30.176</v>
      </c>
      <c r="F21" s="6">
        <v>34.463</v>
      </c>
      <c r="G21" s="6">
        <v>24.852</v>
      </c>
      <c r="H21" s="7">
        <v>329.6</v>
      </c>
      <c r="I21" s="6">
        <v>1988.361</v>
      </c>
      <c r="J21" s="8">
        <v>0.001443298611111111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386</v>
      </c>
      <c r="C22" s="6">
        <v>124.574</v>
      </c>
      <c r="D22" s="6">
        <v>34.994</v>
      </c>
      <c r="E22" s="6">
        <v>30.038</v>
      </c>
      <c r="F22" s="6">
        <v>34.57</v>
      </c>
      <c r="G22" s="6">
        <v>24.972</v>
      </c>
      <c r="H22" s="7">
        <v>328.5</v>
      </c>
      <c r="I22" s="6">
        <v>2112.935</v>
      </c>
      <c r="J22" s="8">
        <v>0.001441828703703704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387</v>
      </c>
      <c r="C23" s="6">
        <v>125.181</v>
      </c>
      <c r="D23" s="6">
        <v>35.475</v>
      </c>
      <c r="E23" s="6">
        <v>30.137</v>
      </c>
      <c r="F23" s="6">
        <v>34.571</v>
      </c>
      <c r="G23" s="6">
        <v>24.998</v>
      </c>
      <c r="H23" s="7">
        <v>330.6</v>
      </c>
      <c r="I23" s="6">
        <v>2238.116</v>
      </c>
      <c r="J23" s="8">
        <v>0.001448854166666667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388</v>
      </c>
      <c r="C24" s="6">
        <v>125.265</v>
      </c>
      <c r="D24" s="6">
        <v>35.403</v>
      </c>
      <c r="E24" s="6">
        <v>30.151</v>
      </c>
      <c r="F24" s="6">
        <v>34.732</v>
      </c>
      <c r="G24" s="6">
        <v>24.979</v>
      </c>
      <c r="H24" s="7">
        <v>329.6</v>
      </c>
      <c r="I24" s="6">
        <v>2363.381</v>
      </c>
      <c r="J24" s="8">
        <v>0.001449826388888889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389</v>
      </c>
      <c r="C25" s="6">
        <v>125.973</v>
      </c>
      <c r="D25" s="6">
        <v>35.619</v>
      </c>
      <c r="E25" s="6">
        <v>30.258</v>
      </c>
      <c r="F25" s="6">
        <v>34.963</v>
      </c>
      <c r="G25" s="6">
        <v>25.133</v>
      </c>
      <c r="H25" s="7">
        <v>329.6</v>
      </c>
      <c r="I25" s="6">
        <v>2489.354</v>
      </c>
      <c r="J25" s="8">
        <v>0.001458020833333333</v>
      </c>
      <c r="K25" s="9" t="b">
        <v>0</v>
      </c>
      <c r="L25" s="9" t="b">
        <v>0</v>
      </c>
      <c r="M25" s="9" t="b">
        <v>0</v>
      </c>
    </row>
  </sheetData>
  <autoFilter ref="A5:M25"/>
  <mergeCells count="1">
    <mergeCell ref="A1:M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N23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390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391</v>
      </c>
      <c r="C3" s="2" t="s">
        <v>3</v>
      </c>
      <c r="D3" s="2" t="s">
        <v>193</v>
      </c>
      <c r="E3" s="2" t="s">
        <v>5</v>
      </c>
      <c r="F3" s="2" t="s">
        <v>352</v>
      </c>
      <c r="G3" s="2" t="s">
        <v>7</v>
      </c>
      <c r="H3" s="2">
        <v>18</v>
      </c>
      <c r="I3" s="2" t="s">
        <v>8</v>
      </c>
      <c r="J3" s="2">
        <v>16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392</v>
      </c>
      <c r="C6" s="6">
        <v>126.434</v>
      </c>
      <c r="D6" s="6">
        <v>36.719</v>
      </c>
      <c r="E6" s="6">
        <v>30.203</v>
      </c>
      <c r="F6" s="6">
        <v>35.049</v>
      </c>
      <c r="G6" s="6">
        <v>24.463</v>
      </c>
      <c r="H6" s="7">
        <v>336.9</v>
      </c>
      <c r="I6" s="6">
        <v>126.434</v>
      </c>
      <c r="J6" s="8">
        <v>0.001463356481481481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393</v>
      </c>
      <c r="C7" s="6">
        <v>226.246</v>
      </c>
      <c r="D7" s="6">
        <v>34.52</v>
      </c>
      <c r="E7" s="6">
        <v>10.825</v>
      </c>
      <c r="F7" s="6">
        <v>35.902</v>
      </c>
      <c r="G7" s="6">
        <v>24.999</v>
      </c>
      <c r="H7" s="7">
        <v>322.5</v>
      </c>
      <c r="I7" s="6">
        <v>352.68</v>
      </c>
      <c r="J7" s="8">
        <v>0.002618587962962963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394</v>
      </c>
      <c r="C8" s="6">
        <v>125.063</v>
      </c>
      <c r="D8" s="6">
        <v>35.703</v>
      </c>
      <c r="E8" s="6">
        <v>30.127</v>
      </c>
      <c r="F8" s="6">
        <v>34.585</v>
      </c>
      <c r="G8" s="6">
        <v>24.648</v>
      </c>
      <c r="H8" s="7">
        <v>334.8</v>
      </c>
      <c r="I8" s="6">
        <v>477.743</v>
      </c>
      <c r="J8" s="8">
        <v>0.001447488425925926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395</v>
      </c>
      <c r="C9" s="6">
        <v>123.92</v>
      </c>
      <c r="D9" s="6">
        <v>35.158</v>
      </c>
      <c r="E9" s="6">
        <v>29.864</v>
      </c>
      <c r="F9" s="6">
        <v>34.183</v>
      </c>
      <c r="G9" s="6">
        <v>24.715</v>
      </c>
      <c r="H9" s="7">
        <v>334.8</v>
      </c>
      <c r="I9" s="6">
        <v>601.663</v>
      </c>
      <c r="J9" s="8">
        <v>0.001434259259259259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396</v>
      </c>
      <c r="C10" s="6">
        <v>122.753</v>
      </c>
      <c r="D10" s="6">
        <v>34.704</v>
      </c>
      <c r="E10" s="6">
        <v>29.61</v>
      </c>
      <c r="F10" s="6">
        <v>34.024</v>
      </c>
      <c r="G10" s="6">
        <v>24.415</v>
      </c>
      <c r="H10" s="7">
        <v>336.9</v>
      </c>
      <c r="I10" s="6">
        <v>724.4160000000001</v>
      </c>
      <c r="J10" s="8">
        <v>0.001420752314814815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155</v>
      </c>
      <c r="C11" s="6">
        <v>122.856</v>
      </c>
      <c r="D11" s="6">
        <v>34.385</v>
      </c>
      <c r="E11" s="6">
        <v>29.752</v>
      </c>
      <c r="F11" s="6">
        <v>34.196</v>
      </c>
      <c r="G11" s="6">
        <v>24.523</v>
      </c>
      <c r="H11" s="7">
        <v>336.9</v>
      </c>
      <c r="I11" s="6">
        <v>847.272</v>
      </c>
      <c r="J11" s="8">
        <v>0.001421944444444444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397</v>
      </c>
      <c r="C12" s="6">
        <v>122.705</v>
      </c>
      <c r="D12" s="6">
        <v>34.598</v>
      </c>
      <c r="E12" s="6">
        <v>29.68</v>
      </c>
      <c r="F12" s="6">
        <v>33.919</v>
      </c>
      <c r="G12" s="6">
        <v>24.508</v>
      </c>
      <c r="H12" s="7">
        <v>336.9</v>
      </c>
      <c r="I12" s="6">
        <v>969.977</v>
      </c>
      <c r="J12" s="8">
        <v>0.001420196759259259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398</v>
      </c>
      <c r="C13" s="6">
        <v>123.315</v>
      </c>
      <c r="D13" s="6">
        <v>34.757</v>
      </c>
      <c r="E13" s="6">
        <v>29.962</v>
      </c>
      <c r="F13" s="6">
        <v>34.042</v>
      </c>
      <c r="G13" s="6">
        <v>24.554</v>
      </c>
      <c r="H13" s="7">
        <v>338</v>
      </c>
      <c r="I13" s="6">
        <v>1093.292</v>
      </c>
      <c r="J13" s="8">
        <v>0.001427256944444444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399</v>
      </c>
      <c r="C14" s="6">
        <v>122.664</v>
      </c>
      <c r="D14" s="6">
        <v>34.622</v>
      </c>
      <c r="E14" s="6">
        <v>29.546</v>
      </c>
      <c r="F14" s="6">
        <v>34.005</v>
      </c>
      <c r="G14" s="6">
        <v>24.491</v>
      </c>
      <c r="H14" s="7">
        <v>336.9</v>
      </c>
      <c r="I14" s="6">
        <v>1215.956</v>
      </c>
      <c r="J14" s="8">
        <v>0.001419722222222222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400</v>
      </c>
      <c r="C15" s="6">
        <v>122.073</v>
      </c>
      <c r="D15" s="6">
        <v>34.439</v>
      </c>
      <c r="E15" s="6">
        <v>29.484</v>
      </c>
      <c r="F15" s="6">
        <v>33.835</v>
      </c>
      <c r="G15" s="6">
        <v>24.315</v>
      </c>
      <c r="H15" s="7">
        <v>338</v>
      </c>
      <c r="I15" s="6">
        <v>1338.029</v>
      </c>
      <c r="J15" s="8">
        <v>0.001412881944444444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401</v>
      </c>
      <c r="C16" s="6">
        <v>123.932</v>
      </c>
      <c r="D16" s="6">
        <v>35.101</v>
      </c>
      <c r="E16" s="6">
        <v>29.894</v>
      </c>
      <c r="F16" s="6">
        <v>34.231</v>
      </c>
      <c r="G16" s="6">
        <v>24.706</v>
      </c>
      <c r="H16" s="7">
        <v>338</v>
      </c>
      <c r="I16" s="6">
        <v>1461.961</v>
      </c>
      <c r="J16" s="8">
        <v>0.001434398148148148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276</v>
      </c>
      <c r="C17" s="6">
        <v>123.097</v>
      </c>
      <c r="D17" s="6">
        <v>34.46</v>
      </c>
      <c r="E17" s="6">
        <v>29.732</v>
      </c>
      <c r="F17" s="6">
        <v>34.281</v>
      </c>
      <c r="G17" s="6">
        <v>24.624</v>
      </c>
      <c r="H17" s="7">
        <v>336.9</v>
      </c>
      <c r="I17" s="6">
        <v>1585.058</v>
      </c>
      <c r="J17" s="8">
        <v>0.001424733796296296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402</v>
      </c>
      <c r="C18" s="6">
        <v>123.083</v>
      </c>
      <c r="D18" s="6">
        <v>34.539</v>
      </c>
      <c r="E18" s="6">
        <v>29.693</v>
      </c>
      <c r="F18" s="6">
        <v>34.147</v>
      </c>
      <c r="G18" s="6">
        <v>24.704</v>
      </c>
      <c r="H18" s="7">
        <v>335.9</v>
      </c>
      <c r="I18" s="6">
        <v>1708.141</v>
      </c>
      <c r="J18" s="8">
        <v>0.001424571759259259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403</v>
      </c>
      <c r="C19" s="6">
        <v>123.212</v>
      </c>
      <c r="D19" s="6">
        <v>34.557</v>
      </c>
      <c r="E19" s="6">
        <v>29.707</v>
      </c>
      <c r="F19" s="6">
        <v>34.323</v>
      </c>
      <c r="G19" s="6">
        <v>24.625</v>
      </c>
      <c r="H19" s="7">
        <v>333.7</v>
      </c>
      <c r="I19" s="6">
        <v>1831.353</v>
      </c>
      <c r="J19" s="8">
        <v>0.001426064814814815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404</v>
      </c>
      <c r="C20" s="6">
        <v>123.117</v>
      </c>
      <c r="D20" s="6">
        <v>34.575</v>
      </c>
      <c r="E20" s="6">
        <v>29.741</v>
      </c>
      <c r="F20" s="6">
        <v>34.195</v>
      </c>
      <c r="G20" s="6">
        <v>24.606</v>
      </c>
      <c r="H20" s="7">
        <v>334.8</v>
      </c>
      <c r="I20" s="6">
        <v>1954.47</v>
      </c>
      <c r="J20" s="8">
        <v>0.001424965277777778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405</v>
      </c>
      <c r="C21" s="6">
        <v>122.82</v>
      </c>
      <c r="D21" s="6">
        <v>34.486</v>
      </c>
      <c r="E21" s="6">
        <v>29.773</v>
      </c>
      <c r="F21" s="6">
        <v>34.032</v>
      </c>
      <c r="G21" s="6">
        <v>24.529</v>
      </c>
      <c r="H21" s="7">
        <v>334.8</v>
      </c>
      <c r="I21" s="6">
        <v>2077.29</v>
      </c>
      <c r="J21" s="8">
        <v>0.001421527777777778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238</v>
      </c>
      <c r="C22" s="6">
        <v>122.918</v>
      </c>
      <c r="D22" s="6">
        <v>34.521</v>
      </c>
      <c r="E22" s="6">
        <v>29.748</v>
      </c>
      <c r="F22" s="6">
        <v>34.13</v>
      </c>
      <c r="G22" s="6">
        <v>24.519</v>
      </c>
      <c r="H22" s="7">
        <v>336.9</v>
      </c>
      <c r="I22" s="6">
        <v>2200.208</v>
      </c>
      <c r="J22" s="8">
        <v>0.001422662037037037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406</v>
      </c>
      <c r="C23" s="6">
        <v>131.759</v>
      </c>
      <c r="D23" s="6">
        <v>34.615</v>
      </c>
      <c r="E23" s="6">
        <v>29.687</v>
      </c>
      <c r="F23" s="6">
        <v>34.165</v>
      </c>
      <c r="G23" s="6">
        <v>33.292</v>
      </c>
      <c r="H23" s="7">
        <v>338</v>
      </c>
      <c r="I23" s="6">
        <v>2331.967</v>
      </c>
      <c r="J23" s="8">
        <v>0.001524988425925926</v>
      </c>
      <c r="K23" s="9" t="b">
        <v>0</v>
      </c>
      <c r="L23" s="9" t="b">
        <v>1</v>
      </c>
      <c r="M23" s="9" t="b">
        <v>0</v>
      </c>
    </row>
  </sheetData>
  <autoFilter ref="A5:M23"/>
  <mergeCells count="1">
    <mergeCell ref="A1:M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N20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407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171</v>
      </c>
      <c r="C3" s="2" t="s">
        <v>3</v>
      </c>
      <c r="D3" s="2" t="s">
        <v>4</v>
      </c>
      <c r="E3" s="2" t="s">
        <v>5</v>
      </c>
      <c r="F3" s="2" t="s">
        <v>408</v>
      </c>
      <c r="G3" s="2" t="s">
        <v>7</v>
      </c>
      <c r="H3" s="2">
        <v>15</v>
      </c>
      <c r="I3" s="2" t="s">
        <v>8</v>
      </c>
      <c r="J3" s="2">
        <v>13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409</v>
      </c>
      <c r="C6" s="6">
        <v>125.733</v>
      </c>
      <c r="D6" s="6">
        <v>35.986</v>
      </c>
      <c r="E6" s="6">
        <v>30.383</v>
      </c>
      <c r="F6" s="6">
        <v>34.85</v>
      </c>
      <c r="G6" s="6">
        <v>24.514</v>
      </c>
      <c r="H6" s="7">
        <v>341.3</v>
      </c>
      <c r="I6" s="6">
        <v>125.733</v>
      </c>
      <c r="J6" s="8">
        <v>0.001455243055555556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304</v>
      </c>
      <c r="C7" s="6">
        <v>123.429</v>
      </c>
      <c r="D7" s="6">
        <v>34.892</v>
      </c>
      <c r="E7" s="6">
        <v>29.731</v>
      </c>
      <c r="F7" s="6">
        <v>34.303</v>
      </c>
      <c r="G7" s="6">
        <v>24.503</v>
      </c>
      <c r="H7" s="7">
        <v>344.7</v>
      </c>
      <c r="I7" s="6">
        <v>249.162</v>
      </c>
      <c r="J7" s="8">
        <v>0.001428576388888889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160</v>
      </c>
      <c r="C8" s="6">
        <v>122.89</v>
      </c>
      <c r="D8" s="6">
        <v>34.751</v>
      </c>
      <c r="E8" s="6">
        <v>29.618</v>
      </c>
      <c r="F8" s="6">
        <v>34.127</v>
      </c>
      <c r="G8" s="6">
        <v>24.394</v>
      </c>
      <c r="H8" s="7">
        <v>339.1</v>
      </c>
      <c r="I8" s="6">
        <v>372.052</v>
      </c>
      <c r="J8" s="8">
        <v>0.001422337962962963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410</v>
      </c>
      <c r="C9" s="6">
        <v>122.771</v>
      </c>
      <c r="D9" s="6">
        <v>34.527</v>
      </c>
      <c r="E9" s="6">
        <v>29.543</v>
      </c>
      <c r="F9" s="6">
        <v>34.124</v>
      </c>
      <c r="G9" s="6">
        <v>24.577</v>
      </c>
      <c r="H9" s="7">
        <v>340.2</v>
      </c>
      <c r="I9" s="6">
        <v>494.823</v>
      </c>
      <c r="J9" s="8">
        <v>0.001420960648148148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411</v>
      </c>
      <c r="C10" s="6">
        <v>122.332</v>
      </c>
      <c r="D10" s="6">
        <v>34.365</v>
      </c>
      <c r="E10" s="6">
        <v>29.511</v>
      </c>
      <c r="F10" s="6">
        <v>34.078</v>
      </c>
      <c r="G10" s="6">
        <v>24.378</v>
      </c>
      <c r="H10" s="7">
        <v>340.2</v>
      </c>
      <c r="I10" s="6">
        <v>617.155</v>
      </c>
      <c r="J10" s="8">
        <v>0.00141587962962963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412</v>
      </c>
      <c r="C11" s="6">
        <v>122.415</v>
      </c>
      <c r="D11" s="6">
        <v>34.436</v>
      </c>
      <c r="E11" s="6">
        <v>29.779</v>
      </c>
      <c r="F11" s="6">
        <v>33.826</v>
      </c>
      <c r="G11" s="6">
        <v>24.374</v>
      </c>
      <c r="H11" s="7">
        <v>346.9</v>
      </c>
      <c r="I11" s="6">
        <v>739.5700000000001</v>
      </c>
      <c r="J11" s="8">
        <v>0.001416840277777778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413</v>
      </c>
      <c r="C12" s="6">
        <v>122.258</v>
      </c>
      <c r="D12" s="6">
        <v>34.417</v>
      </c>
      <c r="E12" s="6">
        <v>29.523</v>
      </c>
      <c r="F12" s="6">
        <v>33.944</v>
      </c>
      <c r="G12" s="6">
        <v>24.374</v>
      </c>
      <c r="H12" s="7">
        <v>342.4</v>
      </c>
      <c r="I12" s="6">
        <v>861.828</v>
      </c>
      <c r="J12" s="8">
        <v>0.001415023148148148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414</v>
      </c>
      <c r="C13" s="6">
        <v>122.158</v>
      </c>
      <c r="D13" s="6">
        <v>34.331</v>
      </c>
      <c r="E13" s="6">
        <v>29.518</v>
      </c>
      <c r="F13" s="6">
        <v>33.844</v>
      </c>
      <c r="G13" s="6">
        <v>24.465</v>
      </c>
      <c r="H13" s="7">
        <v>342.4</v>
      </c>
      <c r="I13" s="6">
        <v>983.986</v>
      </c>
      <c r="J13" s="8">
        <v>0.001413865740740741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415</v>
      </c>
      <c r="C14" s="6">
        <v>122.037</v>
      </c>
      <c r="D14" s="6">
        <v>34.383</v>
      </c>
      <c r="E14" s="6">
        <v>29.532</v>
      </c>
      <c r="F14" s="6">
        <v>33.835</v>
      </c>
      <c r="G14" s="6">
        <v>24.287</v>
      </c>
      <c r="H14" s="7">
        <v>343.5</v>
      </c>
      <c r="I14" s="6">
        <v>1106.023</v>
      </c>
      <c r="J14" s="8">
        <v>0.001412465277777778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416</v>
      </c>
      <c r="C15" s="6">
        <v>122.328</v>
      </c>
      <c r="D15" s="6">
        <v>34.445</v>
      </c>
      <c r="E15" s="6">
        <v>29.481</v>
      </c>
      <c r="F15" s="6">
        <v>33.987</v>
      </c>
      <c r="G15" s="6">
        <v>24.415</v>
      </c>
      <c r="H15" s="7">
        <v>343.5</v>
      </c>
      <c r="I15" s="6">
        <v>1228.351</v>
      </c>
      <c r="J15" s="8">
        <v>0.001415833333333333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417</v>
      </c>
      <c r="C16" s="6">
        <v>122.058</v>
      </c>
      <c r="D16" s="6">
        <v>34.264</v>
      </c>
      <c r="E16" s="6">
        <v>29.438</v>
      </c>
      <c r="F16" s="6">
        <v>33.924</v>
      </c>
      <c r="G16" s="6">
        <v>24.432</v>
      </c>
      <c r="H16" s="7">
        <v>343.5</v>
      </c>
      <c r="I16" s="6">
        <v>1350.409</v>
      </c>
      <c r="J16" s="8">
        <v>0.001412708333333333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124</v>
      </c>
      <c r="C17" s="6">
        <v>122.294</v>
      </c>
      <c r="D17" s="6">
        <v>34.292</v>
      </c>
      <c r="E17" s="6">
        <v>29.448</v>
      </c>
      <c r="F17" s="6">
        <v>34.009</v>
      </c>
      <c r="G17" s="6">
        <v>24.545</v>
      </c>
      <c r="H17" s="7">
        <v>345.8</v>
      </c>
      <c r="I17" s="6">
        <v>1472.703</v>
      </c>
      <c r="J17" s="8">
        <v>0.001415439814814815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418</v>
      </c>
      <c r="C18" s="6">
        <v>122.306</v>
      </c>
      <c r="D18" s="6">
        <v>34.47</v>
      </c>
      <c r="E18" s="6">
        <v>29.505</v>
      </c>
      <c r="F18" s="6">
        <v>34.019</v>
      </c>
      <c r="G18" s="6">
        <v>24.312</v>
      </c>
      <c r="H18" s="7">
        <v>344.7</v>
      </c>
      <c r="I18" s="6">
        <v>1595.009</v>
      </c>
      <c r="J18" s="8">
        <v>0.001415578703703704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419</v>
      </c>
      <c r="C19" s="6">
        <v>122.326</v>
      </c>
      <c r="D19" s="6">
        <v>34.447</v>
      </c>
      <c r="E19" s="6">
        <v>29.522</v>
      </c>
      <c r="F19" s="6">
        <v>33.932</v>
      </c>
      <c r="G19" s="6">
        <v>24.425</v>
      </c>
      <c r="H19" s="7">
        <v>341.3</v>
      </c>
      <c r="I19" s="6">
        <v>1717.335</v>
      </c>
      <c r="J19" s="8">
        <v>0.001415810185185185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420</v>
      </c>
      <c r="C20" s="6">
        <v>165.885</v>
      </c>
      <c r="D20" s="6">
        <v>34.442</v>
      </c>
      <c r="E20" s="6">
        <v>31.115</v>
      </c>
      <c r="F20" s="6">
        <v>44.509</v>
      </c>
      <c r="G20" s="6">
        <v>55.819</v>
      </c>
      <c r="H20" s="7">
        <v>249.3</v>
      </c>
      <c r="I20" s="6">
        <v>1883.22</v>
      </c>
      <c r="J20" s="8">
        <v>0.001919965277777778</v>
      </c>
      <c r="K20" s="9" t="b">
        <v>0</v>
      </c>
      <c r="L20" s="9" t="b">
        <v>1</v>
      </c>
      <c r="M20" s="9" t="b">
        <v>0</v>
      </c>
    </row>
  </sheetData>
  <autoFilter ref="A5:M20"/>
  <mergeCells count="1">
    <mergeCell ref="A1:M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N10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421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192</v>
      </c>
      <c r="C3" s="2" t="s">
        <v>3</v>
      </c>
      <c r="D3" s="2" t="s">
        <v>193</v>
      </c>
      <c r="E3" s="2" t="s">
        <v>5</v>
      </c>
      <c r="F3" s="2" t="s">
        <v>46</v>
      </c>
      <c r="G3" s="2" t="s">
        <v>7</v>
      </c>
      <c r="H3" s="2">
        <v>5</v>
      </c>
      <c r="I3" s="2" t="s">
        <v>8</v>
      </c>
      <c r="J3" s="2">
        <v>3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422</v>
      </c>
      <c r="C6" s="6">
        <v>124.609</v>
      </c>
      <c r="D6" s="6">
        <v>35.514</v>
      </c>
      <c r="E6" s="6">
        <v>29.955</v>
      </c>
      <c r="F6" s="6">
        <v>34.643</v>
      </c>
      <c r="G6" s="6">
        <v>24.497</v>
      </c>
      <c r="H6" s="7">
        <v>330.6</v>
      </c>
      <c r="I6" s="6">
        <v>124.609</v>
      </c>
      <c r="J6" s="8">
        <v>0.001442233796296296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423</v>
      </c>
      <c r="C7" s="6">
        <v>123.323</v>
      </c>
      <c r="D7" s="6">
        <v>34.955</v>
      </c>
      <c r="E7" s="6">
        <v>29.93</v>
      </c>
      <c r="F7" s="6">
        <v>34.077</v>
      </c>
      <c r="G7" s="6">
        <v>24.361</v>
      </c>
      <c r="H7" s="7">
        <v>339.1</v>
      </c>
      <c r="I7" s="6">
        <v>247.932</v>
      </c>
      <c r="J7" s="8">
        <v>0.001427349537037037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424</v>
      </c>
      <c r="C8" s="6">
        <v>122.647</v>
      </c>
      <c r="D8" s="6">
        <v>34.5</v>
      </c>
      <c r="E8" s="6">
        <v>29.769</v>
      </c>
      <c r="F8" s="6">
        <v>33.969</v>
      </c>
      <c r="G8" s="6">
        <v>24.409</v>
      </c>
      <c r="H8" s="7">
        <v>339.1</v>
      </c>
      <c r="I8" s="6">
        <v>370.579</v>
      </c>
      <c r="J8" s="8">
        <v>0.001419525462962963</v>
      </c>
      <c r="K8" s="9" t="b">
        <v>1</v>
      </c>
      <c r="L8" s="9" t="b">
        <v>0</v>
      </c>
      <c r="M8" s="9" t="b">
        <v>0</v>
      </c>
    </row>
    <row r="9" spans="1:14">
      <c r="A9" s="4">
        <v>4</v>
      </c>
      <c r="B9" s="5" t="s">
        <v>425</v>
      </c>
      <c r="C9" s="6">
        <v>122.985</v>
      </c>
      <c r="D9" s="6">
        <v>34.627</v>
      </c>
      <c r="E9" s="6">
        <v>29.794</v>
      </c>
      <c r="F9" s="6">
        <v>33.973</v>
      </c>
      <c r="G9" s="6">
        <v>24.591</v>
      </c>
      <c r="H9" s="7">
        <v>338</v>
      </c>
      <c r="I9" s="6">
        <v>493.564</v>
      </c>
      <c r="J9" s="8">
        <v>0.0014234375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426</v>
      </c>
      <c r="C10" s="6">
        <v>122.709</v>
      </c>
      <c r="D10" s="6">
        <v>34.538</v>
      </c>
      <c r="E10" s="6">
        <v>29.708</v>
      </c>
      <c r="F10" s="6">
        <v>33.916</v>
      </c>
      <c r="G10" s="6">
        <v>24.547</v>
      </c>
      <c r="H10" s="7">
        <v>336.9</v>
      </c>
      <c r="I10" s="6">
        <v>616.273</v>
      </c>
      <c r="J10" s="8">
        <v>0.001420243055555556</v>
      </c>
      <c r="K10" s="9" t="b">
        <v>0</v>
      </c>
      <c r="L10" s="9" t="b">
        <v>0</v>
      </c>
      <c r="M10" s="9" t="b">
        <v>0</v>
      </c>
    </row>
  </sheetData>
  <autoFilter ref="A5:M10"/>
  <mergeCells count="1">
    <mergeCell ref="A1:M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T39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3" width="11.7109375" customWidth="1"/>
    <col min="4" max="4" width="34.7109375" customWidth="1"/>
    <col min="5" max="20" width="16.7109375" customWidth="1"/>
  </cols>
  <sheetData>
    <row r="1" spans="1:20">
      <c r="A1" t="s">
        <v>427</v>
      </c>
      <c r="B1" t="s">
        <v>428</v>
      </c>
      <c r="C1" t="s">
        <v>429</v>
      </c>
      <c r="D1" t="s">
        <v>1</v>
      </c>
      <c r="E1" t="s">
        <v>3</v>
      </c>
      <c r="F1" t="s">
        <v>5</v>
      </c>
      <c r="G1" t="s">
        <v>7</v>
      </c>
      <c r="H1" t="s">
        <v>8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22</v>
      </c>
      <c r="S1" t="s">
        <v>23</v>
      </c>
      <c r="T1" t="s">
        <v>24</v>
      </c>
    </row>
    <row r="2" spans="1:20">
      <c r="A2" t="s">
        <v>430</v>
      </c>
      <c r="B2">
        <v>72</v>
      </c>
      <c r="C2">
        <v>1</v>
      </c>
      <c r="D2" t="s">
        <v>2</v>
      </c>
      <c r="E2" t="s">
        <v>4</v>
      </c>
      <c r="F2" t="s">
        <v>6</v>
      </c>
      <c r="G2">
        <v>20</v>
      </c>
      <c r="H2">
        <v>19</v>
      </c>
      <c r="I2">
        <v>1</v>
      </c>
      <c r="J2" t="s">
        <v>25</v>
      </c>
      <c r="K2">
        <v>123.203</v>
      </c>
      <c r="L2">
        <v>34.609</v>
      </c>
      <c r="M2">
        <v>30.024</v>
      </c>
      <c r="N2">
        <v>34.247</v>
      </c>
      <c r="O2">
        <v>24.323</v>
      </c>
      <c r="P2">
        <v>332.7</v>
      </c>
      <c r="Q2">
        <v>123.203</v>
      </c>
      <c r="R2" t="b">
        <v>0</v>
      </c>
      <c r="S2" t="b">
        <v>0</v>
      </c>
      <c r="T2" t="b">
        <v>0</v>
      </c>
    </row>
    <row r="3" spans="1:20">
      <c r="A3" t="s">
        <v>430</v>
      </c>
      <c r="B3">
        <v>72</v>
      </c>
      <c r="C3">
        <v>1</v>
      </c>
      <c r="D3" t="s">
        <v>2</v>
      </c>
      <c r="E3" t="s">
        <v>4</v>
      </c>
      <c r="F3" t="s">
        <v>6</v>
      </c>
      <c r="G3">
        <v>20</v>
      </c>
      <c r="H3">
        <v>19</v>
      </c>
      <c r="I3">
        <v>2</v>
      </c>
      <c r="J3" t="s">
        <v>26</v>
      </c>
      <c r="K3">
        <v>122.426</v>
      </c>
      <c r="L3">
        <v>34.401</v>
      </c>
      <c r="M3">
        <v>29.604</v>
      </c>
      <c r="N3">
        <v>34.103</v>
      </c>
      <c r="O3">
        <v>24.318</v>
      </c>
      <c r="P3">
        <v>335.9</v>
      </c>
      <c r="Q3">
        <v>245.629</v>
      </c>
      <c r="R3" t="b">
        <v>0</v>
      </c>
      <c r="S3" t="b">
        <v>0</v>
      </c>
      <c r="T3" t="b">
        <v>0</v>
      </c>
    </row>
    <row r="4" spans="1:20">
      <c r="A4" t="s">
        <v>430</v>
      </c>
      <c r="B4">
        <v>72</v>
      </c>
      <c r="C4">
        <v>1</v>
      </c>
      <c r="D4" t="s">
        <v>2</v>
      </c>
      <c r="E4" t="s">
        <v>4</v>
      </c>
      <c r="F4" t="s">
        <v>6</v>
      </c>
      <c r="G4">
        <v>20</v>
      </c>
      <c r="H4">
        <v>19</v>
      </c>
      <c r="I4">
        <v>3</v>
      </c>
      <c r="J4" t="s">
        <v>27</v>
      </c>
      <c r="K4">
        <v>122.324</v>
      </c>
      <c r="L4">
        <v>34.472</v>
      </c>
      <c r="M4">
        <v>29.577</v>
      </c>
      <c r="N4">
        <v>33.992</v>
      </c>
      <c r="O4">
        <v>24.283</v>
      </c>
      <c r="P4">
        <v>335.9</v>
      </c>
      <c r="Q4">
        <v>367.953</v>
      </c>
      <c r="R4" t="b">
        <v>0</v>
      </c>
      <c r="S4" t="b">
        <v>0</v>
      </c>
      <c r="T4" t="b">
        <v>0</v>
      </c>
    </row>
    <row r="5" spans="1:20">
      <c r="A5" t="s">
        <v>430</v>
      </c>
      <c r="B5">
        <v>72</v>
      </c>
      <c r="C5">
        <v>1</v>
      </c>
      <c r="D5" t="s">
        <v>2</v>
      </c>
      <c r="E5" t="s">
        <v>4</v>
      </c>
      <c r="F5" t="s">
        <v>6</v>
      </c>
      <c r="G5">
        <v>20</v>
      </c>
      <c r="H5">
        <v>19</v>
      </c>
      <c r="I5">
        <v>4</v>
      </c>
      <c r="J5" t="s">
        <v>28</v>
      </c>
      <c r="K5">
        <v>122.36</v>
      </c>
      <c r="L5">
        <v>34.488</v>
      </c>
      <c r="M5">
        <v>29.473</v>
      </c>
      <c r="N5">
        <v>34.067</v>
      </c>
      <c r="O5">
        <v>24.332</v>
      </c>
      <c r="P5">
        <v>336.9</v>
      </c>
      <c r="Q5">
        <v>490.313</v>
      </c>
      <c r="R5" t="b">
        <v>0</v>
      </c>
      <c r="S5" t="b">
        <v>0</v>
      </c>
      <c r="T5" t="b">
        <v>0</v>
      </c>
    </row>
    <row r="6" spans="1:20">
      <c r="A6" t="s">
        <v>430</v>
      </c>
      <c r="B6">
        <v>72</v>
      </c>
      <c r="C6">
        <v>1</v>
      </c>
      <c r="D6" t="s">
        <v>2</v>
      </c>
      <c r="E6" t="s">
        <v>4</v>
      </c>
      <c r="F6" t="s">
        <v>6</v>
      </c>
      <c r="G6">
        <v>20</v>
      </c>
      <c r="H6">
        <v>19</v>
      </c>
      <c r="I6">
        <v>5</v>
      </c>
      <c r="J6" t="s">
        <v>29</v>
      </c>
      <c r="K6">
        <v>122.157</v>
      </c>
      <c r="L6">
        <v>34.303</v>
      </c>
      <c r="M6">
        <v>29.467</v>
      </c>
      <c r="N6">
        <v>33.973</v>
      </c>
      <c r="O6">
        <v>24.414</v>
      </c>
      <c r="P6">
        <v>338</v>
      </c>
      <c r="Q6">
        <v>612.47</v>
      </c>
      <c r="R6" t="b">
        <v>0</v>
      </c>
      <c r="S6" t="b">
        <v>0</v>
      </c>
      <c r="T6" t="b">
        <v>0</v>
      </c>
    </row>
    <row r="7" spans="1:20">
      <c r="A7" t="s">
        <v>430</v>
      </c>
      <c r="B7">
        <v>72</v>
      </c>
      <c r="C7">
        <v>1</v>
      </c>
      <c r="D7" t="s">
        <v>2</v>
      </c>
      <c r="E7" t="s">
        <v>4</v>
      </c>
      <c r="F7" t="s">
        <v>6</v>
      </c>
      <c r="G7">
        <v>20</v>
      </c>
      <c r="H7">
        <v>19</v>
      </c>
      <c r="I7">
        <v>6</v>
      </c>
      <c r="J7" t="s">
        <v>30</v>
      </c>
      <c r="K7">
        <v>122.114</v>
      </c>
      <c r="L7">
        <v>34.407</v>
      </c>
      <c r="M7">
        <v>29.468</v>
      </c>
      <c r="N7">
        <v>33.909</v>
      </c>
      <c r="O7">
        <v>24.33</v>
      </c>
      <c r="P7">
        <v>339.1</v>
      </c>
      <c r="Q7">
        <v>734.5839999999999</v>
      </c>
      <c r="R7" t="b">
        <v>0</v>
      </c>
      <c r="S7" t="b">
        <v>0</v>
      </c>
      <c r="T7" t="b">
        <v>0</v>
      </c>
    </row>
    <row r="8" spans="1:20">
      <c r="A8" t="s">
        <v>430</v>
      </c>
      <c r="B8">
        <v>72</v>
      </c>
      <c r="C8">
        <v>1</v>
      </c>
      <c r="D8" t="s">
        <v>2</v>
      </c>
      <c r="E8" t="s">
        <v>4</v>
      </c>
      <c r="F8" t="s">
        <v>6</v>
      </c>
      <c r="G8">
        <v>20</v>
      </c>
      <c r="H8">
        <v>19</v>
      </c>
      <c r="I8">
        <v>7</v>
      </c>
      <c r="J8" t="s">
        <v>31</v>
      </c>
      <c r="K8">
        <v>122.295</v>
      </c>
      <c r="L8">
        <v>34.371</v>
      </c>
      <c r="M8">
        <v>29.549</v>
      </c>
      <c r="N8">
        <v>33.88</v>
      </c>
      <c r="O8">
        <v>24.495</v>
      </c>
      <c r="P8">
        <v>340.2</v>
      </c>
      <c r="Q8">
        <v>856.879</v>
      </c>
      <c r="R8" t="b">
        <v>0</v>
      </c>
      <c r="S8" t="b">
        <v>0</v>
      </c>
      <c r="T8" t="b">
        <v>0</v>
      </c>
    </row>
    <row r="9" spans="1:20">
      <c r="A9" t="s">
        <v>430</v>
      </c>
      <c r="B9">
        <v>72</v>
      </c>
      <c r="C9">
        <v>1</v>
      </c>
      <c r="D9" t="s">
        <v>2</v>
      </c>
      <c r="E9" t="s">
        <v>4</v>
      </c>
      <c r="F9" t="s">
        <v>6</v>
      </c>
      <c r="G9">
        <v>20</v>
      </c>
      <c r="H9">
        <v>19</v>
      </c>
      <c r="I9">
        <v>8</v>
      </c>
      <c r="J9" t="s">
        <v>32</v>
      </c>
      <c r="K9">
        <v>122.633</v>
      </c>
      <c r="L9">
        <v>34.572</v>
      </c>
      <c r="M9">
        <v>29.61</v>
      </c>
      <c r="N9">
        <v>33.92</v>
      </c>
      <c r="O9">
        <v>24.531</v>
      </c>
      <c r="P9">
        <v>340.2</v>
      </c>
      <c r="Q9">
        <v>979.5119999999999</v>
      </c>
      <c r="R9" t="b">
        <v>0</v>
      </c>
      <c r="S9" t="b">
        <v>0</v>
      </c>
      <c r="T9" t="b">
        <v>0</v>
      </c>
    </row>
    <row r="10" spans="1:20">
      <c r="A10" t="s">
        <v>430</v>
      </c>
      <c r="B10">
        <v>72</v>
      </c>
      <c r="C10">
        <v>1</v>
      </c>
      <c r="D10" t="s">
        <v>2</v>
      </c>
      <c r="E10" t="s">
        <v>4</v>
      </c>
      <c r="F10" t="s">
        <v>6</v>
      </c>
      <c r="G10">
        <v>20</v>
      </c>
      <c r="H10">
        <v>19</v>
      </c>
      <c r="I10">
        <v>9</v>
      </c>
      <c r="J10" t="s">
        <v>33</v>
      </c>
      <c r="K10">
        <v>122.718</v>
      </c>
      <c r="L10">
        <v>34.62</v>
      </c>
      <c r="M10">
        <v>29.732</v>
      </c>
      <c r="N10">
        <v>33.936</v>
      </c>
      <c r="O10">
        <v>24.43</v>
      </c>
      <c r="P10">
        <v>340.2</v>
      </c>
      <c r="Q10">
        <v>1102.23</v>
      </c>
      <c r="R10" t="b">
        <v>0</v>
      </c>
      <c r="S10" t="b">
        <v>0</v>
      </c>
      <c r="T10" t="b">
        <v>0</v>
      </c>
    </row>
    <row r="11" spans="1:20">
      <c r="A11" t="s">
        <v>430</v>
      </c>
      <c r="B11">
        <v>72</v>
      </c>
      <c r="C11">
        <v>1</v>
      </c>
      <c r="D11" t="s">
        <v>2</v>
      </c>
      <c r="E11" t="s">
        <v>4</v>
      </c>
      <c r="F11" t="s">
        <v>6</v>
      </c>
      <c r="G11">
        <v>20</v>
      </c>
      <c r="H11">
        <v>19</v>
      </c>
      <c r="I11">
        <v>10</v>
      </c>
      <c r="J11" t="s">
        <v>34</v>
      </c>
      <c r="K11">
        <v>122.115</v>
      </c>
      <c r="L11">
        <v>34.272</v>
      </c>
      <c r="M11">
        <v>29.582</v>
      </c>
      <c r="N11">
        <v>33.888</v>
      </c>
      <c r="O11">
        <v>24.373</v>
      </c>
      <c r="P11">
        <v>340.2</v>
      </c>
      <c r="Q11">
        <v>1224.345</v>
      </c>
      <c r="R11" t="b">
        <v>0</v>
      </c>
      <c r="S11" t="b">
        <v>0</v>
      </c>
      <c r="T11" t="b">
        <v>0</v>
      </c>
    </row>
    <row r="12" spans="1:20">
      <c r="A12" t="s">
        <v>430</v>
      </c>
      <c r="B12">
        <v>72</v>
      </c>
      <c r="C12">
        <v>1</v>
      </c>
      <c r="D12" t="s">
        <v>2</v>
      </c>
      <c r="E12" t="s">
        <v>4</v>
      </c>
      <c r="F12" t="s">
        <v>6</v>
      </c>
      <c r="G12">
        <v>20</v>
      </c>
      <c r="H12">
        <v>19</v>
      </c>
      <c r="I12">
        <v>11</v>
      </c>
      <c r="J12" t="s">
        <v>35</v>
      </c>
      <c r="K12">
        <v>122.47</v>
      </c>
      <c r="L12">
        <v>34.481</v>
      </c>
      <c r="M12">
        <v>29.53</v>
      </c>
      <c r="N12">
        <v>34.053</v>
      </c>
      <c r="O12">
        <v>24.406</v>
      </c>
      <c r="P12">
        <v>339.1</v>
      </c>
      <c r="Q12">
        <v>1346.815</v>
      </c>
      <c r="R12" t="b">
        <v>0</v>
      </c>
      <c r="S12" t="b">
        <v>0</v>
      </c>
      <c r="T12" t="b">
        <v>0</v>
      </c>
    </row>
    <row r="13" spans="1:20">
      <c r="A13" t="s">
        <v>430</v>
      </c>
      <c r="B13">
        <v>72</v>
      </c>
      <c r="C13">
        <v>1</v>
      </c>
      <c r="D13" t="s">
        <v>2</v>
      </c>
      <c r="E13" t="s">
        <v>4</v>
      </c>
      <c r="F13" t="s">
        <v>6</v>
      </c>
      <c r="G13">
        <v>20</v>
      </c>
      <c r="H13">
        <v>19</v>
      </c>
      <c r="I13">
        <v>12</v>
      </c>
      <c r="J13" t="s">
        <v>36</v>
      </c>
      <c r="K13">
        <v>122.44</v>
      </c>
      <c r="L13">
        <v>34.414</v>
      </c>
      <c r="M13">
        <v>29.652</v>
      </c>
      <c r="N13">
        <v>33.951</v>
      </c>
      <c r="O13">
        <v>24.423</v>
      </c>
      <c r="P13">
        <v>340.2</v>
      </c>
      <c r="Q13">
        <v>1469.255</v>
      </c>
      <c r="R13" t="b">
        <v>0</v>
      </c>
      <c r="S13" t="b">
        <v>0</v>
      </c>
      <c r="T13" t="b">
        <v>0</v>
      </c>
    </row>
    <row r="14" spans="1:20">
      <c r="A14" t="s">
        <v>430</v>
      </c>
      <c r="B14">
        <v>72</v>
      </c>
      <c r="C14">
        <v>1</v>
      </c>
      <c r="D14" t="s">
        <v>2</v>
      </c>
      <c r="E14" t="s">
        <v>4</v>
      </c>
      <c r="F14" t="s">
        <v>6</v>
      </c>
      <c r="G14">
        <v>20</v>
      </c>
      <c r="H14">
        <v>19</v>
      </c>
      <c r="I14">
        <v>13</v>
      </c>
      <c r="J14" t="s">
        <v>37</v>
      </c>
      <c r="K14">
        <v>122.777</v>
      </c>
      <c r="L14">
        <v>34.547</v>
      </c>
      <c r="M14">
        <v>29.647</v>
      </c>
      <c r="N14">
        <v>34.057</v>
      </c>
      <c r="O14">
        <v>24.526</v>
      </c>
      <c r="P14">
        <v>339.1</v>
      </c>
      <c r="Q14">
        <v>1592.032</v>
      </c>
      <c r="R14" t="b">
        <v>0</v>
      </c>
      <c r="S14" t="b">
        <v>0</v>
      </c>
      <c r="T14" t="b">
        <v>0</v>
      </c>
    </row>
    <row r="15" spans="1:20">
      <c r="A15" t="s">
        <v>430</v>
      </c>
      <c r="B15">
        <v>72</v>
      </c>
      <c r="C15">
        <v>1</v>
      </c>
      <c r="D15" t="s">
        <v>2</v>
      </c>
      <c r="E15" t="s">
        <v>4</v>
      </c>
      <c r="F15" t="s">
        <v>6</v>
      </c>
      <c r="G15">
        <v>20</v>
      </c>
      <c r="H15">
        <v>19</v>
      </c>
      <c r="I15">
        <v>14</v>
      </c>
      <c r="J15" t="s">
        <v>38</v>
      </c>
      <c r="K15">
        <v>122.669</v>
      </c>
      <c r="L15">
        <v>34.447</v>
      </c>
      <c r="M15">
        <v>29.703</v>
      </c>
      <c r="N15">
        <v>34.068</v>
      </c>
      <c r="O15">
        <v>24.451</v>
      </c>
      <c r="P15">
        <v>338</v>
      </c>
      <c r="Q15">
        <v>1714.701</v>
      </c>
      <c r="R15" t="b">
        <v>0</v>
      </c>
      <c r="S15" t="b">
        <v>0</v>
      </c>
      <c r="T15" t="b">
        <v>0</v>
      </c>
    </row>
    <row r="16" spans="1:20">
      <c r="A16" t="s">
        <v>430</v>
      </c>
      <c r="B16">
        <v>72</v>
      </c>
      <c r="C16">
        <v>1</v>
      </c>
      <c r="D16" t="s">
        <v>2</v>
      </c>
      <c r="E16" t="s">
        <v>4</v>
      </c>
      <c r="F16" t="s">
        <v>6</v>
      </c>
      <c r="G16">
        <v>20</v>
      </c>
      <c r="H16">
        <v>19</v>
      </c>
      <c r="I16">
        <v>15</v>
      </c>
      <c r="J16" t="s">
        <v>39</v>
      </c>
      <c r="K16">
        <v>122.826</v>
      </c>
      <c r="L16">
        <v>34.516</v>
      </c>
      <c r="M16">
        <v>29.764</v>
      </c>
      <c r="N16">
        <v>34.157</v>
      </c>
      <c r="O16">
        <v>24.389</v>
      </c>
      <c r="P16">
        <v>336.9</v>
      </c>
      <c r="Q16">
        <v>1837.527</v>
      </c>
      <c r="R16" t="b">
        <v>0</v>
      </c>
      <c r="S16" t="b">
        <v>0</v>
      </c>
      <c r="T16" t="b">
        <v>0</v>
      </c>
    </row>
    <row r="17" spans="1:20">
      <c r="A17" t="s">
        <v>430</v>
      </c>
      <c r="B17">
        <v>72</v>
      </c>
      <c r="C17">
        <v>1</v>
      </c>
      <c r="D17" t="s">
        <v>2</v>
      </c>
      <c r="E17" t="s">
        <v>4</v>
      </c>
      <c r="F17" t="s">
        <v>6</v>
      </c>
      <c r="G17">
        <v>20</v>
      </c>
      <c r="H17">
        <v>19</v>
      </c>
      <c r="I17">
        <v>16</v>
      </c>
      <c r="J17" t="s">
        <v>40</v>
      </c>
      <c r="K17">
        <v>122.414</v>
      </c>
      <c r="L17">
        <v>34.414</v>
      </c>
      <c r="M17">
        <v>29.642</v>
      </c>
      <c r="N17">
        <v>33.99</v>
      </c>
      <c r="O17">
        <v>24.368</v>
      </c>
      <c r="P17">
        <v>336.9</v>
      </c>
      <c r="Q17">
        <v>1959.941</v>
      </c>
      <c r="R17" t="b">
        <v>0</v>
      </c>
      <c r="S17" t="b">
        <v>0</v>
      </c>
      <c r="T17" t="b">
        <v>0</v>
      </c>
    </row>
    <row r="18" spans="1:20">
      <c r="A18" t="s">
        <v>430</v>
      </c>
      <c r="B18">
        <v>72</v>
      </c>
      <c r="C18">
        <v>1</v>
      </c>
      <c r="D18" t="s">
        <v>2</v>
      </c>
      <c r="E18" t="s">
        <v>4</v>
      </c>
      <c r="F18" t="s">
        <v>6</v>
      </c>
      <c r="G18">
        <v>20</v>
      </c>
      <c r="H18">
        <v>19</v>
      </c>
      <c r="I18">
        <v>17</v>
      </c>
      <c r="J18" t="s">
        <v>41</v>
      </c>
      <c r="K18">
        <v>122.582</v>
      </c>
      <c r="L18">
        <v>34.622</v>
      </c>
      <c r="M18">
        <v>29.646</v>
      </c>
      <c r="N18">
        <v>33.919</v>
      </c>
      <c r="O18">
        <v>24.395</v>
      </c>
      <c r="P18">
        <v>338</v>
      </c>
      <c r="Q18">
        <v>2082.523</v>
      </c>
      <c r="R18" t="b">
        <v>0</v>
      </c>
      <c r="S18" t="b">
        <v>0</v>
      </c>
      <c r="T18" t="b">
        <v>0</v>
      </c>
    </row>
    <row r="19" spans="1:20">
      <c r="A19" t="s">
        <v>430</v>
      </c>
      <c r="B19">
        <v>72</v>
      </c>
      <c r="C19">
        <v>1</v>
      </c>
      <c r="D19" t="s">
        <v>2</v>
      </c>
      <c r="E19" t="s">
        <v>4</v>
      </c>
      <c r="F19" t="s">
        <v>6</v>
      </c>
      <c r="G19">
        <v>20</v>
      </c>
      <c r="H19">
        <v>19</v>
      </c>
      <c r="I19">
        <v>18</v>
      </c>
      <c r="J19" t="s">
        <v>42</v>
      </c>
      <c r="K19">
        <v>122.786</v>
      </c>
      <c r="L19">
        <v>34.481</v>
      </c>
      <c r="M19">
        <v>29.706</v>
      </c>
      <c r="N19">
        <v>34.098</v>
      </c>
      <c r="O19">
        <v>24.501</v>
      </c>
      <c r="P19">
        <v>339.1</v>
      </c>
      <c r="Q19">
        <v>2205.309</v>
      </c>
      <c r="R19" t="b">
        <v>0</v>
      </c>
      <c r="S19" t="b">
        <v>0</v>
      </c>
      <c r="T19" t="b">
        <v>0</v>
      </c>
    </row>
    <row r="20" spans="1:20">
      <c r="A20" t="s">
        <v>430</v>
      </c>
      <c r="B20">
        <v>72</v>
      </c>
      <c r="C20">
        <v>1</v>
      </c>
      <c r="D20" t="s">
        <v>2</v>
      </c>
      <c r="E20" t="s">
        <v>4</v>
      </c>
      <c r="F20" t="s">
        <v>6</v>
      </c>
      <c r="G20">
        <v>20</v>
      </c>
      <c r="H20">
        <v>19</v>
      </c>
      <c r="I20">
        <v>19</v>
      </c>
      <c r="J20" t="s">
        <v>43</v>
      </c>
      <c r="K20">
        <v>122.445</v>
      </c>
      <c r="L20">
        <v>34.347</v>
      </c>
      <c r="M20">
        <v>29.615</v>
      </c>
      <c r="N20">
        <v>33.972</v>
      </c>
      <c r="O20">
        <v>24.511</v>
      </c>
      <c r="P20">
        <v>340.2</v>
      </c>
      <c r="Q20">
        <v>2327.754</v>
      </c>
      <c r="R20" t="b">
        <v>0</v>
      </c>
      <c r="S20" t="b">
        <v>0</v>
      </c>
      <c r="T20" t="b">
        <v>0</v>
      </c>
    </row>
    <row r="21" spans="1:20">
      <c r="A21" t="s">
        <v>430</v>
      </c>
      <c r="B21">
        <v>72</v>
      </c>
      <c r="C21">
        <v>1</v>
      </c>
      <c r="D21" t="s">
        <v>2</v>
      </c>
      <c r="E21" t="s">
        <v>4</v>
      </c>
      <c r="F21" t="s">
        <v>6</v>
      </c>
      <c r="G21">
        <v>20</v>
      </c>
      <c r="H21">
        <v>19</v>
      </c>
      <c r="I21">
        <v>20</v>
      </c>
      <c r="J21" t="s">
        <v>44</v>
      </c>
      <c r="K21">
        <v>122.899</v>
      </c>
      <c r="L21">
        <v>34.578</v>
      </c>
      <c r="M21">
        <v>29.626</v>
      </c>
      <c r="N21">
        <v>34.106</v>
      </c>
      <c r="O21">
        <v>24.589</v>
      </c>
      <c r="P21">
        <v>340.2</v>
      </c>
      <c r="Q21">
        <v>2450.653</v>
      </c>
      <c r="R21" t="b">
        <v>0</v>
      </c>
      <c r="S21" t="b">
        <v>0</v>
      </c>
      <c r="T21" t="b">
        <v>0</v>
      </c>
    </row>
    <row r="22" spans="1:20">
      <c r="A22" t="s">
        <v>431</v>
      </c>
      <c r="B22">
        <v>89</v>
      </c>
      <c r="C22">
        <v>2</v>
      </c>
      <c r="D22" t="s">
        <v>2</v>
      </c>
      <c r="E22" t="s">
        <v>4</v>
      </c>
      <c r="F22" t="s">
        <v>46</v>
      </c>
      <c r="G22">
        <v>20</v>
      </c>
      <c r="H22">
        <v>19</v>
      </c>
      <c r="I22">
        <v>1</v>
      </c>
      <c r="J22" t="s">
        <v>47</v>
      </c>
      <c r="K22">
        <v>123.611</v>
      </c>
      <c r="L22">
        <v>35.001</v>
      </c>
      <c r="M22">
        <v>30.014</v>
      </c>
      <c r="N22">
        <v>34.265</v>
      </c>
      <c r="O22">
        <v>24.331</v>
      </c>
      <c r="P22">
        <v>339.1</v>
      </c>
      <c r="Q22">
        <v>123.611</v>
      </c>
      <c r="R22" t="b">
        <v>0</v>
      </c>
      <c r="S22" t="b">
        <v>0</v>
      </c>
      <c r="T22" t="b">
        <v>0</v>
      </c>
    </row>
    <row r="23" spans="1:20">
      <c r="A23" t="s">
        <v>431</v>
      </c>
      <c r="B23">
        <v>89</v>
      </c>
      <c r="C23">
        <v>2</v>
      </c>
      <c r="D23" t="s">
        <v>2</v>
      </c>
      <c r="E23" t="s">
        <v>4</v>
      </c>
      <c r="F23" t="s">
        <v>46</v>
      </c>
      <c r="G23">
        <v>20</v>
      </c>
      <c r="H23">
        <v>19</v>
      </c>
      <c r="I23">
        <v>2</v>
      </c>
      <c r="J23" t="s">
        <v>48</v>
      </c>
      <c r="K23">
        <v>122.459</v>
      </c>
      <c r="L23">
        <v>34.449</v>
      </c>
      <c r="M23">
        <v>29.441</v>
      </c>
      <c r="N23">
        <v>34.18</v>
      </c>
      <c r="O23">
        <v>24.389</v>
      </c>
      <c r="P23">
        <v>340.2</v>
      </c>
      <c r="Q23">
        <v>246.07</v>
      </c>
      <c r="R23" t="b">
        <v>0</v>
      </c>
      <c r="S23" t="b">
        <v>0</v>
      </c>
      <c r="T23" t="b">
        <v>0</v>
      </c>
    </row>
    <row r="24" spans="1:20">
      <c r="A24" t="s">
        <v>431</v>
      </c>
      <c r="B24">
        <v>89</v>
      </c>
      <c r="C24">
        <v>2</v>
      </c>
      <c r="D24" t="s">
        <v>2</v>
      </c>
      <c r="E24" t="s">
        <v>4</v>
      </c>
      <c r="F24" t="s">
        <v>46</v>
      </c>
      <c r="G24">
        <v>20</v>
      </c>
      <c r="H24">
        <v>19</v>
      </c>
      <c r="I24">
        <v>3</v>
      </c>
      <c r="J24" t="s">
        <v>49</v>
      </c>
      <c r="K24">
        <v>122.408</v>
      </c>
      <c r="L24">
        <v>34.579</v>
      </c>
      <c r="M24">
        <v>29.465</v>
      </c>
      <c r="N24">
        <v>34.027</v>
      </c>
      <c r="O24">
        <v>24.337</v>
      </c>
      <c r="P24">
        <v>339.1</v>
      </c>
      <c r="Q24">
        <v>368.478</v>
      </c>
      <c r="R24" t="b">
        <v>0</v>
      </c>
      <c r="S24" t="b">
        <v>0</v>
      </c>
      <c r="T24" t="b">
        <v>0</v>
      </c>
    </row>
    <row r="25" spans="1:20">
      <c r="A25" t="s">
        <v>431</v>
      </c>
      <c r="B25">
        <v>89</v>
      </c>
      <c r="C25">
        <v>2</v>
      </c>
      <c r="D25" t="s">
        <v>2</v>
      </c>
      <c r="E25" t="s">
        <v>4</v>
      </c>
      <c r="F25" t="s">
        <v>46</v>
      </c>
      <c r="G25">
        <v>20</v>
      </c>
      <c r="H25">
        <v>19</v>
      </c>
      <c r="I25">
        <v>4</v>
      </c>
      <c r="J25" t="s">
        <v>50</v>
      </c>
      <c r="K25">
        <v>122.256</v>
      </c>
      <c r="L25">
        <v>34.427</v>
      </c>
      <c r="M25">
        <v>29.4</v>
      </c>
      <c r="N25">
        <v>34.032</v>
      </c>
      <c r="O25">
        <v>24.397</v>
      </c>
      <c r="P25">
        <v>340.2</v>
      </c>
      <c r="Q25">
        <v>490.734</v>
      </c>
      <c r="R25" t="b">
        <v>0</v>
      </c>
      <c r="S25" t="b">
        <v>0</v>
      </c>
      <c r="T25" t="b">
        <v>0</v>
      </c>
    </row>
    <row r="26" spans="1:20">
      <c r="A26" t="s">
        <v>431</v>
      </c>
      <c r="B26">
        <v>89</v>
      </c>
      <c r="C26">
        <v>2</v>
      </c>
      <c r="D26" t="s">
        <v>2</v>
      </c>
      <c r="E26" t="s">
        <v>4</v>
      </c>
      <c r="F26" t="s">
        <v>46</v>
      </c>
      <c r="G26">
        <v>20</v>
      </c>
      <c r="H26">
        <v>19</v>
      </c>
      <c r="I26">
        <v>5</v>
      </c>
      <c r="J26" t="s">
        <v>51</v>
      </c>
      <c r="K26">
        <v>122.564</v>
      </c>
      <c r="L26">
        <v>34.58</v>
      </c>
      <c r="M26">
        <v>29.416</v>
      </c>
      <c r="N26">
        <v>34.16</v>
      </c>
      <c r="O26">
        <v>24.408</v>
      </c>
      <c r="P26">
        <v>339.1</v>
      </c>
      <c r="Q26">
        <v>613.298</v>
      </c>
      <c r="R26" t="b">
        <v>0</v>
      </c>
      <c r="S26" t="b">
        <v>0</v>
      </c>
      <c r="T26" t="b">
        <v>0</v>
      </c>
    </row>
    <row r="27" spans="1:20">
      <c r="A27" t="s">
        <v>431</v>
      </c>
      <c r="B27">
        <v>89</v>
      </c>
      <c r="C27">
        <v>2</v>
      </c>
      <c r="D27" t="s">
        <v>2</v>
      </c>
      <c r="E27" t="s">
        <v>4</v>
      </c>
      <c r="F27" t="s">
        <v>46</v>
      </c>
      <c r="G27">
        <v>20</v>
      </c>
      <c r="H27">
        <v>19</v>
      </c>
      <c r="I27">
        <v>6</v>
      </c>
      <c r="J27" t="s">
        <v>52</v>
      </c>
      <c r="K27">
        <v>122.433</v>
      </c>
      <c r="L27">
        <v>34.518</v>
      </c>
      <c r="M27">
        <v>29.664</v>
      </c>
      <c r="N27">
        <v>33.961</v>
      </c>
      <c r="O27">
        <v>24.29</v>
      </c>
      <c r="P27">
        <v>340.2</v>
      </c>
      <c r="Q27">
        <v>735.731</v>
      </c>
      <c r="R27" t="b">
        <v>0</v>
      </c>
      <c r="S27" t="b">
        <v>0</v>
      </c>
      <c r="T27" t="b">
        <v>0</v>
      </c>
    </row>
    <row r="28" spans="1:20">
      <c r="A28" t="s">
        <v>431</v>
      </c>
      <c r="B28">
        <v>89</v>
      </c>
      <c r="C28">
        <v>2</v>
      </c>
      <c r="D28" t="s">
        <v>2</v>
      </c>
      <c r="E28" t="s">
        <v>4</v>
      </c>
      <c r="F28" t="s">
        <v>46</v>
      </c>
      <c r="G28">
        <v>20</v>
      </c>
      <c r="H28">
        <v>19</v>
      </c>
      <c r="I28">
        <v>7</v>
      </c>
      <c r="J28" t="s">
        <v>53</v>
      </c>
      <c r="K28">
        <v>123.313</v>
      </c>
      <c r="L28">
        <v>35.316</v>
      </c>
      <c r="M28">
        <v>29.582</v>
      </c>
      <c r="N28">
        <v>33.95</v>
      </c>
      <c r="O28">
        <v>24.465</v>
      </c>
      <c r="P28">
        <v>339.1</v>
      </c>
      <c r="Q28">
        <v>859.044</v>
      </c>
      <c r="R28" t="b">
        <v>0</v>
      </c>
      <c r="S28" t="b">
        <v>0</v>
      </c>
      <c r="T28" t="b">
        <v>0</v>
      </c>
    </row>
    <row r="29" spans="1:20">
      <c r="A29" t="s">
        <v>431</v>
      </c>
      <c r="B29">
        <v>89</v>
      </c>
      <c r="C29">
        <v>2</v>
      </c>
      <c r="D29" t="s">
        <v>2</v>
      </c>
      <c r="E29" t="s">
        <v>4</v>
      </c>
      <c r="F29" t="s">
        <v>46</v>
      </c>
      <c r="G29">
        <v>20</v>
      </c>
      <c r="H29">
        <v>19</v>
      </c>
      <c r="I29">
        <v>8</v>
      </c>
      <c r="J29" t="s">
        <v>54</v>
      </c>
      <c r="K29">
        <v>122.335</v>
      </c>
      <c r="L29">
        <v>34.425</v>
      </c>
      <c r="M29">
        <v>29.505</v>
      </c>
      <c r="N29">
        <v>33.948</v>
      </c>
      <c r="O29">
        <v>24.457</v>
      </c>
      <c r="P29">
        <v>339.1</v>
      </c>
      <c r="Q29">
        <v>981.379</v>
      </c>
      <c r="R29" t="b">
        <v>0</v>
      </c>
      <c r="S29" t="b">
        <v>0</v>
      </c>
      <c r="T29" t="b">
        <v>0</v>
      </c>
    </row>
    <row r="30" spans="1:20">
      <c r="A30" t="s">
        <v>431</v>
      </c>
      <c r="B30">
        <v>89</v>
      </c>
      <c r="C30">
        <v>2</v>
      </c>
      <c r="D30" t="s">
        <v>2</v>
      </c>
      <c r="E30" t="s">
        <v>4</v>
      </c>
      <c r="F30" t="s">
        <v>46</v>
      </c>
      <c r="G30">
        <v>20</v>
      </c>
      <c r="H30">
        <v>19</v>
      </c>
      <c r="I30">
        <v>9</v>
      </c>
      <c r="J30" t="s">
        <v>55</v>
      </c>
      <c r="K30">
        <v>122.386</v>
      </c>
      <c r="L30">
        <v>34.575</v>
      </c>
      <c r="M30">
        <v>29.401</v>
      </c>
      <c r="N30">
        <v>34.021</v>
      </c>
      <c r="O30">
        <v>24.389</v>
      </c>
      <c r="P30">
        <v>339.1</v>
      </c>
      <c r="Q30">
        <v>1103.765</v>
      </c>
      <c r="R30" t="b">
        <v>0</v>
      </c>
      <c r="S30" t="b">
        <v>0</v>
      </c>
      <c r="T30" t="b">
        <v>0</v>
      </c>
    </row>
    <row r="31" spans="1:20">
      <c r="A31" t="s">
        <v>431</v>
      </c>
      <c r="B31">
        <v>89</v>
      </c>
      <c r="C31">
        <v>2</v>
      </c>
      <c r="D31" t="s">
        <v>2</v>
      </c>
      <c r="E31" t="s">
        <v>4</v>
      </c>
      <c r="F31" t="s">
        <v>46</v>
      </c>
      <c r="G31">
        <v>20</v>
      </c>
      <c r="H31">
        <v>19</v>
      </c>
      <c r="I31">
        <v>10</v>
      </c>
      <c r="J31" t="s">
        <v>56</v>
      </c>
      <c r="K31">
        <v>122.754</v>
      </c>
      <c r="L31">
        <v>34.606</v>
      </c>
      <c r="M31">
        <v>29.639</v>
      </c>
      <c r="N31">
        <v>34.013</v>
      </c>
      <c r="O31">
        <v>24.496</v>
      </c>
      <c r="P31">
        <v>341.3</v>
      </c>
      <c r="Q31">
        <v>1226.519</v>
      </c>
      <c r="R31" t="b">
        <v>0</v>
      </c>
      <c r="S31" t="b">
        <v>0</v>
      </c>
      <c r="T31" t="b">
        <v>0</v>
      </c>
    </row>
    <row r="32" spans="1:20">
      <c r="A32" t="s">
        <v>431</v>
      </c>
      <c r="B32">
        <v>89</v>
      </c>
      <c r="C32">
        <v>2</v>
      </c>
      <c r="D32" t="s">
        <v>2</v>
      </c>
      <c r="E32" t="s">
        <v>4</v>
      </c>
      <c r="F32" t="s">
        <v>46</v>
      </c>
      <c r="G32">
        <v>20</v>
      </c>
      <c r="H32">
        <v>19</v>
      </c>
      <c r="I32">
        <v>11</v>
      </c>
      <c r="J32" t="s">
        <v>57</v>
      </c>
      <c r="K32">
        <v>122.358</v>
      </c>
      <c r="L32">
        <v>34.552</v>
      </c>
      <c r="M32">
        <v>29.457</v>
      </c>
      <c r="N32">
        <v>33.929</v>
      </c>
      <c r="O32">
        <v>24.42</v>
      </c>
      <c r="P32">
        <v>341.3</v>
      </c>
      <c r="Q32">
        <v>1348.877</v>
      </c>
      <c r="R32" t="b">
        <v>0</v>
      </c>
      <c r="S32" t="b">
        <v>0</v>
      </c>
      <c r="T32" t="b">
        <v>0</v>
      </c>
    </row>
    <row r="33" spans="1:20">
      <c r="A33" t="s">
        <v>431</v>
      </c>
      <c r="B33">
        <v>89</v>
      </c>
      <c r="C33">
        <v>2</v>
      </c>
      <c r="D33" t="s">
        <v>2</v>
      </c>
      <c r="E33" t="s">
        <v>4</v>
      </c>
      <c r="F33" t="s">
        <v>46</v>
      </c>
      <c r="G33">
        <v>20</v>
      </c>
      <c r="H33">
        <v>19</v>
      </c>
      <c r="I33">
        <v>12</v>
      </c>
      <c r="J33" t="s">
        <v>58</v>
      </c>
      <c r="K33">
        <v>122.417</v>
      </c>
      <c r="L33">
        <v>34.625</v>
      </c>
      <c r="M33">
        <v>29.463</v>
      </c>
      <c r="N33">
        <v>33.975</v>
      </c>
      <c r="O33">
        <v>24.354</v>
      </c>
      <c r="P33">
        <v>340.2</v>
      </c>
      <c r="Q33">
        <v>1471.294</v>
      </c>
      <c r="R33" t="b">
        <v>0</v>
      </c>
      <c r="S33" t="b">
        <v>0</v>
      </c>
      <c r="T33" t="b">
        <v>0</v>
      </c>
    </row>
    <row r="34" spans="1:20">
      <c r="A34" t="s">
        <v>431</v>
      </c>
      <c r="B34">
        <v>89</v>
      </c>
      <c r="C34">
        <v>2</v>
      </c>
      <c r="D34" t="s">
        <v>2</v>
      </c>
      <c r="E34" t="s">
        <v>4</v>
      </c>
      <c r="F34" t="s">
        <v>46</v>
      </c>
      <c r="G34">
        <v>20</v>
      </c>
      <c r="H34">
        <v>19</v>
      </c>
      <c r="I34">
        <v>13</v>
      </c>
      <c r="J34" t="s">
        <v>59</v>
      </c>
      <c r="K34">
        <v>122.534</v>
      </c>
      <c r="L34">
        <v>34.492</v>
      </c>
      <c r="M34">
        <v>29.673</v>
      </c>
      <c r="N34">
        <v>33.988</v>
      </c>
      <c r="O34">
        <v>24.381</v>
      </c>
      <c r="P34">
        <v>339.1</v>
      </c>
      <c r="Q34">
        <v>1593.828</v>
      </c>
      <c r="R34" t="b">
        <v>0</v>
      </c>
      <c r="S34" t="b">
        <v>0</v>
      </c>
      <c r="T34" t="b">
        <v>0</v>
      </c>
    </row>
    <row r="35" spans="1:20">
      <c r="A35" t="s">
        <v>431</v>
      </c>
      <c r="B35">
        <v>89</v>
      </c>
      <c r="C35">
        <v>2</v>
      </c>
      <c r="D35" t="s">
        <v>2</v>
      </c>
      <c r="E35" t="s">
        <v>4</v>
      </c>
      <c r="F35" t="s">
        <v>46</v>
      </c>
      <c r="G35">
        <v>20</v>
      </c>
      <c r="H35">
        <v>19</v>
      </c>
      <c r="I35">
        <v>14</v>
      </c>
      <c r="J35" t="s">
        <v>60</v>
      </c>
      <c r="K35">
        <v>122.424</v>
      </c>
      <c r="L35">
        <v>34.539</v>
      </c>
      <c r="M35">
        <v>29.462</v>
      </c>
      <c r="N35">
        <v>34.033</v>
      </c>
      <c r="O35">
        <v>24.39</v>
      </c>
      <c r="P35">
        <v>336.9</v>
      </c>
      <c r="Q35">
        <v>1716.252</v>
      </c>
      <c r="R35" t="b">
        <v>0</v>
      </c>
      <c r="S35" t="b">
        <v>0</v>
      </c>
      <c r="T35" t="b">
        <v>0</v>
      </c>
    </row>
    <row r="36" spans="1:20">
      <c r="A36" t="s">
        <v>431</v>
      </c>
      <c r="B36">
        <v>89</v>
      </c>
      <c r="C36">
        <v>2</v>
      </c>
      <c r="D36" t="s">
        <v>2</v>
      </c>
      <c r="E36" t="s">
        <v>4</v>
      </c>
      <c r="F36" t="s">
        <v>46</v>
      </c>
      <c r="G36">
        <v>20</v>
      </c>
      <c r="H36">
        <v>19</v>
      </c>
      <c r="I36">
        <v>15</v>
      </c>
      <c r="J36" t="s">
        <v>61</v>
      </c>
      <c r="K36">
        <v>122.509</v>
      </c>
      <c r="L36">
        <v>34.537</v>
      </c>
      <c r="M36">
        <v>29.515</v>
      </c>
      <c r="N36">
        <v>34.12</v>
      </c>
      <c r="O36">
        <v>24.337</v>
      </c>
      <c r="P36">
        <v>336.9</v>
      </c>
      <c r="Q36">
        <v>1838.761</v>
      </c>
      <c r="R36" t="b">
        <v>0</v>
      </c>
      <c r="S36" t="b">
        <v>0</v>
      </c>
      <c r="T36" t="b">
        <v>0</v>
      </c>
    </row>
    <row r="37" spans="1:20">
      <c r="A37" t="s">
        <v>431</v>
      </c>
      <c r="B37">
        <v>89</v>
      </c>
      <c r="C37">
        <v>2</v>
      </c>
      <c r="D37" t="s">
        <v>2</v>
      </c>
      <c r="E37" t="s">
        <v>4</v>
      </c>
      <c r="F37" t="s">
        <v>46</v>
      </c>
      <c r="G37">
        <v>20</v>
      </c>
      <c r="H37">
        <v>19</v>
      </c>
      <c r="I37">
        <v>16</v>
      </c>
      <c r="J37" t="s">
        <v>62</v>
      </c>
      <c r="K37">
        <v>122.483</v>
      </c>
      <c r="L37">
        <v>34.436</v>
      </c>
      <c r="M37">
        <v>29.649</v>
      </c>
      <c r="N37">
        <v>34.017</v>
      </c>
      <c r="O37">
        <v>24.381</v>
      </c>
      <c r="P37">
        <v>336.9</v>
      </c>
      <c r="Q37">
        <v>1961.244</v>
      </c>
      <c r="R37" t="b">
        <v>0</v>
      </c>
      <c r="S37" t="b">
        <v>0</v>
      </c>
      <c r="T37" t="b">
        <v>0</v>
      </c>
    </row>
    <row r="38" spans="1:20">
      <c r="A38" t="s">
        <v>431</v>
      </c>
      <c r="B38">
        <v>89</v>
      </c>
      <c r="C38">
        <v>2</v>
      </c>
      <c r="D38" t="s">
        <v>2</v>
      </c>
      <c r="E38" t="s">
        <v>4</v>
      </c>
      <c r="F38" t="s">
        <v>46</v>
      </c>
      <c r="G38">
        <v>20</v>
      </c>
      <c r="H38">
        <v>19</v>
      </c>
      <c r="I38">
        <v>17</v>
      </c>
      <c r="J38" t="s">
        <v>63</v>
      </c>
      <c r="K38">
        <v>122.385</v>
      </c>
      <c r="L38">
        <v>34.5</v>
      </c>
      <c r="M38">
        <v>29.477</v>
      </c>
      <c r="N38">
        <v>34.02</v>
      </c>
      <c r="O38">
        <v>24.388</v>
      </c>
      <c r="P38">
        <v>335.9</v>
      </c>
      <c r="Q38">
        <v>2083.629</v>
      </c>
      <c r="R38" t="b">
        <v>0</v>
      </c>
      <c r="S38" t="b">
        <v>0</v>
      </c>
      <c r="T38" t="b">
        <v>0</v>
      </c>
    </row>
    <row r="39" spans="1:20">
      <c r="A39" t="s">
        <v>431</v>
      </c>
      <c r="B39">
        <v>89</v>
      </c>
      <c r="C39">
        <v>2</v>
      </c>
      <c r="D39" t="s">
        <v>2</v>
      </c>
      <c r="E39" t="s">
        <v>4</v>
      </c>
      <c r="F39" t="s">
        <v>46</v>
      </c>
      <c r="G39">
        <v>20</v>
      </c>
      <c r="H39">
        <v>19</v>
      </c>
      <c r="I39">
        <v>18</v>
      </c>
      <c r="J39" t="s">
        <v>64</v>
      </c>
      <c r="K39">
        <v>122.535</v>
      </c>
      <c r="L39">
        <v>34.528</v>
      </c>
      <c r="M39">
        <v>29.561</v>
      </c>
      <c r="N39">
        <v>34.026</v>
      </c>
      <c r="O39">
        <v>24.42</v>
      </c>
      <c r="P39">
        <v>338</v>
      </c>
      <c r="Q39">
        <v>2206.164</v>
      </c>
      <c r="R39" t="b">
        <v>0</v>
      </c>
      <c r="S39" t="b">
        <v>0</v>
      </c>
      <c r="T39" t="b">
        <v>0</v>
      </c>
    </row>
    <row r="40" spans="1:20">
      <c r="A40" t="s">
        <v>431</v>
      </c>
      <c r="B40">
        <v>89</v>
      </c>
      <c r="C40">
        <v>2</v>
      </c>
      <c r="D40" t="s">
        <v>2</v>
      </c>
      <c r="E40" t="s">
        <v>4</v>
      </c>
      <c r="F40" t="s">
        <v>46</v>
      </c>
      <c r="G40">
        <v>20</v>
      </c>
      <c r="H40">
        <v>19</v>
      </c>
      <c r="I40">
        <v>19</v>
      </c>
      <c r="J40" t="s">
        <v>65</v>
      </c>
      <c r="K40">
        <v>122.789</v>
      </c>
      <c r="L40">
        <v>34.625</v>
      </c>
      <c r="M40">
        <v>29.654</v>
      </c>
      <c r="N40">
        <v>34.088</v>
      </c>
      <c r="O40">
        <v>24.422</v>
      </c>
      <c r="P40">
        <v>339.1</v>
      </c>
      <c r="Q40">
        <v>2328.953</v>
      </c>
      <c r="R40" t="b">
        <v>0</v>
      </c>
      <c r="S40" t="b">
        <v>0</v>
      </c>
      <c r="T40" t="b">
        <v>0</v>
      </c>
    </row>
    <row r="41" spans="1:20">
      <c r="A41" t="s">
        <v>431</v>
      </c>
      <c r="B41">
        <v>89</v>
      </c>
      <c r="C41">
        <v>2</v>
      </c>
      <c r="D41" t="s">
        <v>2</v>
      </c>
      <c r="E41" t="s">
        <v>4</v>
      </c>
      <c r="F41" t="s">
        <v>46</v>
      </c>
      <c r="G41">
        <v>20</v>
      </c>
      <c r="H41">
        <v>19</v>
      </c>
      <c r="I41">
        <v>20</v>
      </c>
      <c r="J41" t="s">
        <v>66</v>
      </c>
      <c r="K41">
        <v>123.736</v>
      </c>
      <c r="L41">
        <v>34.798</v>
      </c>
      <c r="M41">
        <v>29.699</v>
      </c>
      <c r="N41">
        <v>34.347</v>
      </c>
      <c r="O41">
        <v>24.892</v>
      </c>
      <c r="P41">
        <v>340.2</v>
      </c>
      <c r="Q41">
        <v>2452.689</v>
      </c>
      <c r="R41" t="b">
        <v>0</v>
      </c>
      <c r="S41" t="b">
        <v>0</v>
      </c>
      <c r="T41" t="b">
        <v>0</v>
      </c>
    </row>
    <row r="42" spans="1:20">
      <c r="A42" t="s">
        <v>432</v>
      </c>
      <c r="B42">
        <v>37</v>
      </c>
      <c r="C42">
        <v>3</v>
      </c>
      <c r="D42" t="s">
        <v>68</v>
      </c>
      <c r="E42" t="s">
        <v>69</v>
      </c>
      <c r="F42" t="s">
        <v>46</v>
      </c>
      <c r="G42">
        <v>20</v>
      </c>
      <c r="H42">
        <v>18</v>
      </c>
      <c r="I42">
        <v>1</v>
      </c>
      <c r="J42" t="s">
        <v>70</v>
      </c>
      <c r="K42">
        <v>123.423</v>
      </c>
      <c r="L42">
        <v>34.459</v>
      </c>
      <c r="M42">
        <v>30.366</v>
      </c>
      <c r="N42">
        <v>34.238</v>
      </c>
      <c r="O42">
        <v>24.36</v>
      </c>
      <c r="P42">
        <v>332.7</v>
      </c>
      <c r="Q42">
        <v>123.423</v>
      </c>
      <c r="R42" t="b">
        <v>0</v>
      </c>
      <c r="S42" t="b">
        <v>0</v>
      </c>
      <c r="T42" t="b">
        <v>0</v>
      </c>
    </row>
    <row r="43" spans="1:20">
      <c r="A43" t="s">
        <v>432</v>
      </c>
      <c r="B43">
        <v>37</v>
      </c>
      <c r="C43">
        <v>3</v>
      </c>
      <c r="D43" t="s">
        <v>68</v>
      </c>
      <c r="E43" t="s">
        <v>69</v>
      </c>
      <c r="F43" t="s">
        <v>46</v>
      </c>
      <c r="G43">
        <v>20</v>
      </c>
      <c r="H43">
        <v>18</v>
      </c>
      <c r="I43">
        <v>2</v>
      </c>
      <c r="J43" t="s">
        <v>71</v>
      </c>
      <c r="K43">
        <v>122.41</v>
      </c>
      <c r="L43">
        <v>34.395</v>
      </c>
      <c r="M43">
        <v>29.55</v>
      </c>
      <c r="N43">
        <v>34.128</v>
      </c>
      <c r="O43">
        <v>24.337</v>
      </c>
      <c r="P43">
        <v>335.9</v>
      </c>
      <c r="Q43">
        <v>245.833</v>
      </c>
      <c r="R43" t="b">
        <v>0</v>
      </c>
      <c r="S43" t="b">
        <v>0</v>
      </c>
      <c r="T43" t="b">
        <v>0</v>
      </c>
    </row>
    <row r="44" spans="1:20">
      <c r="A44" t="s">
        <v>432</v>
      </c>
      <c r="B44">
        <v>37</v>
      </c>
      <c r="C44">
        <v>3</v>
      </c>
      <c r="D44" t="s">
        <v>68</v>
      </c>
      <c r="E44" t="s">
        <v>69</v>
      </c>
      <c r="F44" t="s">
        <v>46</v>
      </c>
      <c r="G44">
        <v>20</v>
      </c>
      <c r="H44">
        <v>18</v>
      </c>
      <c r="I44">
        <v>3</v>
      </c>
      <c r="J44" t="s">
        <v>72</v>
      </c>
      <c r="K44">
        <v>122.393</v>
      </c>
      <c r="L44">
        <v>34.601</v>
      </c>
      <c r="M44">
        <v>29.405</v>
      </c>
      <c r="N44">
        <v>34.108</v>
      </c>
      <c r="O44">
        <v>24.279</v>
      </c>
      <c r="P44">
        <v>334.8</v>
      </c>
      <c r="Q44">
        <v>368.226</v>
      </c>
      <c r="R44" t="b">
        <v>0</v>
      </c>
      <c r="S44" t="b">
        <v>0</v>
      </c>
      <c r="T44" t="b">
        <v>0</v>
      </c>
    </row>
    <row r="45" spans="1:20">
      <c r="A45" t="s">
        <v>432</v>
      </c>
      <c r="B45">
        <v>37</v>
      </c>
      <c r="C45">
        <v>3</v>
      </c>
      <c r="D45" t="s">
        <v>68</v>
      </c>
      <c r="E45" t="s">
        <v>69</v>
      </c>
      <c r="F45" t="s">
        <v>46</v>
      </c>
      <c r="G45">
        <v>20</v>
      </c>
      <c r="H45">
        <v>18</v>
      </c>
      <c r="I45">
        <v>4</v>
      </c>
      <c r="J45" t="s">
        <v>73</v>
      </c>
      <c r="K45">
        <v>122.359</v>
      </c>
      <c r="L45">
        <v>34.483</v>
      </c>
      <c r="M45">
        <v>29.446</v>
      </c>
      <c r="N45">
        <v>34.031</v>
      </c>
      <c r="O45">
        <v>24.399</v>
      </c>
      <c r="P45">
        <v>336.9</v>
      </c>
      <c r="Q45">
        <v>490.585</v>
      </c>
      <c r="R45" t="b">
        <v>0</v>
      </c>
      <c r="S45" t="b">
        <v>0</v>
      </c>
      <c r="T45" t="b">
        <v>0</v>
      </c>
    </row>
    <row r="46" spans="1:20">
      <c r="A46" t="s">
        <v>432</v>
      </c>
      <c r="B46">
        <v>37</v>
      </c>
      <c r="C46">
        <v>3</v>
      </c>
      <c r="D46" t="s">
        <v>68</v>
      </c>
      <c r="E46" t="s">
        <v>69</v>
      </c>
      <c r="F46" t="s">
        <v>46</v>
      </c>
      <c r="G46">
        <v>20</v>
      </c>
      <c r="H46">
        <v>18</v>
      </c>
      <c r="I46">
        <v>5</v>
      </c>
      <c r="J46" t="s">
        <v>74</v>
      </c>
      <c r="K46">
        <v>122.299</v>
      </c>
      <c r="L46">
        <v>34.383</v>
      </c>
      <c r="M46">
        <v>29.468</v>
      </c>
      <c r="N46">
        <v>34.045</v>
      </c>
      <c r="O46">
        <v>24.403</v>
      </c>
      <c r="P46">
        <v>335.9</v>
      </c>
      <c r="Q46">
        <v>612.884</v>
      </c>
      <c r="R46" t="b">
        <v>0</v>
      </c>
      <c r="S46" t="b">
        <v>0</v>
      </c>
      <c r="T46" t="b">
        <v>0</v>
      </c>
    </row>
    <row r="47" spans="1:20">
      <c r="A47" t="s">
        <v>432</v>
      </c>
      <c r="B47">
        <v>37</v>
      </c>
      <c r="C47">
        <v>3</v>
      </c>
      <c r="D47" t="s">
        <v>68</v>
      </c>
      <c r="E47" t="s">
        <v>69</v>
      </c>
      <c r="F47" t="s">
        <v>46</v>
      </c>
      <c r="G47">
        <v>20</v>
      </c>
      <c r="H47">
        <v>18</v>
      </c>
      <c r="I47">
        <v>6</v>
      </c>
      <c r="J47" t="s">
        <v>75</v>
      </c>
      <c r="K47">
        <v>122.663</v>
      </c>
      <c r="L47">
        <v>34.598</v>
      </c>
      <c r="M47">
        <v>29.666</v>
      </c>
      <c r="N47">
        <v>34.031</v>
      </c>
      <c r="O47">
        <v>24.368</v>
      </c>
      <c r="P47">
        <v>333.7</v>
      </c>
      <c r="Q47">
        <v>735.547</v>
      </c>
      <c r="R47" t="b">
        <v>0</v>
      </c>
      <c r="S47" t="b">
        <v>0</v>
      </c>
      <c r="T47" t="b">
        <v>0</v>
      </c>
    </row>
    <row r="48" spans="1:20">
      <c r="A48" t="s">
        <v>432</v>
      </c>
      <c r="B48">
        <v>37</v>
      </c>
      <c r="C48">
        <v>3</v>
      </c>
      <c r="D48" t="s">
        <v>68</v>
      </c>
      <c r="E48" t="s">
        <v>69</v>
      </c>
      <c r="F48" t="s">
        <v>46</v>
      </c>
      <c r="G48">
        <v>20</v>
      </c>
      <c r="H48">
        <v>18</v>
      </c>
      <c r="I48">
        <v>7</v>
      </c>
      <c r="J48" t="s">
        <v>76</v>
      </c>
      <c r="K48">
        <v>122.524</v>
      </c>
      <c r="L48">
        <v>34.486</v>
      </c>
      <c r="M48">
        <v>29.549</v>
      </c>
      <c r="N48">
        <v>33.968</v>
      </c>
      <c r="O48">
        <v>24.521</v>
      </c>
      <c r="P48">
        <v>335.9</v>
      </c>
      <c r="Q48">
        <v>858.071</v>
      </c>
      <c r="R48" t="b">
        <v>0</v>
      </c>
      <c r="S48" t="b">
        <v>0</v>
      </c>
      <c r="T48" t="b">
        <v>0</v>
      </c>
    </row>
    <row r="49" spans="1:20">
      <c r="A49" t="s">
        <v>432</v>
      </c>
      <c r="B49">
        <v>37</v>
      </c>
      <c r="C49">
        <v>3</v>
      </c>
      <c r="D49" t="s">
        <v>68</v>
      </c>
      <c r="E49" t="s">
        <v>69</v>
      </c>
      <c r="F49" t="s">
        <v>46</v>
      </c>
      <c r="G49">
        <v>20</v>
      </c>
      <c r="H49">
        <v>18</v>
      </c>
      <c r="I49">
        <v>8</v>
      </c>
      <c r="J49" t="s">
        <v>59</v>
      </c>
      <c r="K49">
        <v>122.534</v>
      </c>
      <c r="L49">
        <v>34.616</v>
      </c>
      <c r="M49">
        <v>29.478</v>
      </c>
      <c r="N49">
        <v>33.931</v>
      </c>
      <c r="O49">
        <v>24.509</v>
      </c>
      <c r="P49">
        <v>335.9</v>
      </c>
      <c r="Q49">
        <v>980.605</v>
      </c>
      <c r="R49" t="b">
        <v>0</v>
      </c>
      <c r="S49" t="b">
        <v>0</v>
      </c>
      <c r="T49" t="b">
        <v>0</v>
      </c>
    </row>
    <row r="50" spans="1:20">
      <c r="A50" t="s">
        <v>432</v>
      </c>
      <c r="B50">
        <v>37</v>
      </c>
      <c r="C50">
        <v>3</v>
      </c>
      <c r="D50" t="s">
        <v>68</v>
      </c>
      <c r="E50" t="s">
        <v>69</v>
      </c>
      <c r="F50" t="s">
        <v>46</v>
      </c>
      <c r="G50">
        <v>20</v>
      </c>
      <c r="H50">
        <v>18</v>
      </c>
      <c r="I50">
        <v>9</v>
      </c>
      <c r="J50" t="s">
        <v>77</v>
      </c>
      <c r="K50">
        <v>122.446</v>
      </c>
      <c r="L50">
        <v>34.531</v>
      </c>
      <c r="M50">
        <v>29.554</v>
      </c>
      <c r="N50">
        <v>33.968</v>
      </c>
      <c r="O50">
        <v>24.393</v>
      </c>
      <c r="P50">
        <v>336.9</v>
      </c>
      <c r="Q50">
        <v>1103.051</v>
      </c>
      <c r="R50" t="b">
        <v>0</v>
      </c>
      <c r="S50" t="b">
        <v>0</v>
      </c>
      <c r="T50" t="b">
        <v>0</v>
      </c>
    </row>
    <row r="51" spans="1:20">
      <c r="A51" t="s">
        <v>432</v>
      </c>
      <c r="B51">
        <v>37</v>
      </c>
      <c r="C51">
        <v>3</v>
      </c>
      <c r="D51" t="s">
        <v>68</v>
      </c>
      <c r="E51" t="s">
        <v>69</v>
      </c>
      <c r="F51" t="s">
        <v>46</v>
      </c>
      <c r="G51">
        <v>20</v>
      </c>
      <c r="H51">
        <v>18</v>
      </c>
      <c r="I51">
        <v>10</v>
      </c>
      <c r="J51" t="s">
        <v>78</v>
      </c>
      <c r="K51">
        <v>122.451</v>
      </c>
      <c r="L51">
        <v>34.598</v>
      </c>
      <c r="M51">
        <v>29.5</v>
      </c>
      <c r="N51">
        <v>33.972</v>
      </c>
      <c r="O51">
        <v>24.381</v>
      </c>
      <c r="P51">
        <v>335.9</v>
      </c>
      <c r="Q51">
        <v>1225.502</v>
      </c>
      <c r="R51" t="b">
        <v>0</v>
      </c>
      <c r="S51" t="b">
        <v>0</v>
      </c>
      <c r="T51" t="b">
        <v>0</v>
      </c>
    </row>
    <row r="52" spans="1:20">
      <c r="A52" t="s">
        <v>432</v>
      </c>
      <c r="B52">
        <v>37</v>
      </c>
      <c r="C52">
        <v>3</v>
      </c>
      <c r="D52" t="s">
        <v>68</v>
      </c>
      <c r="E52" t="s">
        <v>69</v>
      </c>
      <c r="F52" t="s">
        <v>46</v>
      </c>
      <c r="G52">
        <v>20</v>
      </c>
      <c r="H52">
        <v>18</v>
      </c>
      <c r="I52">
        <v>11</v>
      </c>
      <c r="J52" t="s">
        <v>79</v>
      </c>
      <c r="K52">
        <v>122.645</v>
      </c>
      <c r="L52">
        <v>34.666</v>
      </c>
      <c r="M52">
        <v>29.465</v>
      </c>
      <c r="N52">
        <v>34.033</v>
      </c>
      <c r="O52">
        <v>24.481</v>
      </c>
      <c r="P52">
        <v>336.9</v>
      </c>
      <c r="Q52">
        <v>1348.147</v>
      </c>
      <c r="R52" t="b">
        <v>0</v>
      </c>
      <c r="S52" t="b">
        <v>0</v>
      </c>
      <c r="T52" t="b">
        <v>0</v>
      </c>
    </row>
    <row r="53" spans="1:20">
      <c r="A53" t="s">
        <v>432</v>
      </c>
      <c r="B53">
        <v>37</v>
      </c>
      <c r="C53">
        <v>3</v>
      </c>
      <c r="D53" t="s">
        <v>68</v>
      </c>
      <c r="E53" t="s">
        <v>69</v>
      </c>
      <c r="F53" t="s">
        <v>46</v>
      </c>
      <c r="G53">
        <v>20</v>
      </c>
      <c r="H53">
        <v>18</v>
      </c>
      <c r="I53">
        <v>12</v>
      </c>
      <c r="J53" t="s">
        <v>80</v>
      </c>
      <c r="K53">
        <v>122.283</v>
      </c>
      <c r="L53">
        <v>34.434</v>
      </c>
      <c r="M53">
        <v>29.521</v>
      </c>
      <c r="N53">
        <v>33.969</v>
      </c>
      <c r="O53">
        <v>24.359</v>
      </c>
      <c r="P53">
        <v>338</v>
      </c>
      <c r="Q53">
        <v>1470.43</v>
      </c>
      <c r="R53" t="b">
        <v>0</v>
      </c>
      <c r="S53" t="b">
        <v>0</v>
      </c>
      <c r="T53" t="b">
        <v>0</v>
      </c>
    </row>
    <row r="54" spans="1:20">
      <c r="A54" t="s">
        <v>432</v>
      </c>
      <c r="B54">
        <v>37</v>
      </c>
      <c r="C54">
        <v>3</v>
      </c>
      <c r="D54" t="s">
        <v>68</v>
      </c>
      <c r="E54" t="s">
        <v>69</v>
      </c>
      <c r="F54" t="s">
        <v>46</v>
      </c>
      <c r="G54">
        <v>20</v>
      </c>
      <c r="H54">
        <v>18</v>
      </c>
      <c r="I54">
        <v>13</v>
      </c>
      <c r="J54" t="s">
        <v>81</v>
      </c>
      <c r="K54">
        <v>122.743</v>
      </c>
      <c r="L54">
        <v>34.511</v>
      </c>
      <c r="M54">
        <v>29.596</v>
      </c>
      <c r="N54">
        <v>34.159</v>
      </c>
      <c r="O54">
        <v>24.477</v>
      </c>
      <c r="P54">
        <v>334.8</v>
      </c>
      <c r="Q54">
        <v>1593.173</v>
      </c>
      <c r="R54" t="b">
        <v>0</v>
      </c>
      <c r="S54" t="b">
        <v>0</v>
      </c>
      <c r="T54" t="b">
        <v>0</v>
      </c>
    </row>
    <row r="55" spans="1:20">
      <c r="A55" t="s">
        <v>432</v>
      </c>
      <c r="B55">
        <v>37</v>
      </c>
      <c r="C55">
        <v>3</v>
      </c>
      <c r="D55" t="s">
        <v>68</v>
      </c>
      <c r="E55" t="s">
        <v>69</v>
      </c>
      <c r="F55" t="s">
        <v>46</v>
      </c>
      <c r="G55">
        <v>20</v>
      </c>
      <c r="H55">
        <v>18</v>
      </c>
      <c r="I55">
        <v>14</v>
      </c>
      <c r="J55" t="s">
        <v>82</v>
      </c>
      <c r="K55">
        <v>123.331</v>
      </c>
      <c r="L55">
        <v>35.341</v>
      </c>
      <c r="M55">
        <v>29.503</v>
      </c>
      <c r="N55">
        <v>34.125</v>
      </c>
      <c r="O55">
        <v>24.362</v>
      </c>
      <c r="P55">
        <v>339.1</v>
      </c>
      <c r="Q55">
        <v>1716.504</v>
      </c>
      <c r="R55" t="b">
        <v>0</v>
      </c>
      <c r="S55" t="b">
        <v>0</v>
      </c>
      <c r="T55" t="b">
        <v>0</v>
      </c>
    </row>
    <row r="56" spans="1:20">
      <c r="A56" t="s">
        <v>432</v>
      </c>
      <c r="B56">
        <v>37</v>
      </c>
      <c r="C56">
        <v>3</v>
      </c>
      <c r="D56" t="s">
        <v>68</v>
      </c>
      <c r="E56" t="s">
        <v>69</v>
      </c>
      <c r="F56" t="s">
        <v>46</v>
      </c>
      <c r="G56">
        <v>20</v>
      </c>
      <c r="H56">
        <v>18</v>
      </c>
      <c r="I56">
        <v>15</v>
      </c>
      <c r="J56" t="s">
        <v>83</v>
      </c>
      <c r="K56">
        <v>122.766</v>
      </c>
      <c r="L56">
        <v>34.62</v>
      </c>
      <c r="M56">
        <v>29.545</v>
      </c>
      <c r="N56">
        <v>34.171</v>
      </c>
      <c r="O56">
        <v>24.43</v>
      </c>
      <c r="P56">
        <v>338</v>
      </c>
      <c r="Q56">
        <v>1839.27</v>
      </c>
      <c r="R56" t="b">
        <v>1</v>
      </c>
      <c r="S56" t="b">
        <v>0</v>
      </c>
      <c r="T56" t="b">
        <v>0</v>
      </c>
    </row>
    <row r="57" spans="1:20">
      <c r="A57" t="s">
        <v>432</v>
      </c>
      <c r="B57">
        <v>37</v>
      </c>
      <c r="C57">
        <v>3</v>
      </c>
      <c r="D57" t="s">
        <v>68</v>
      </c>
      <c r="E57" t="s">
        <v>69</v>
      </c>
      <c r="F57" t="s">
        <v>46</v>
      </c>
      <c r="G57">
        <v>20</v>
      </c>
      <c r="H57">
        <v>18</v>
      </c>
      <c r="I57">
        <v>16</v>
      </c>
      <c r="J57" t="s">
        <v>84</v>
      </c>
      <c r="K57">
        <v>122.939</v>
      </c>
      <c r="L57">
        <v>34.565</v>
      </c>
      <c r="M57">
        <v>29.726</v>
      </c>
      <c r="N57">
        <v>34.092</v>
      </c>
      <c r="O57">
        <v>24.556</v>
      </c>
      <c r="P57">
        <v>335.9</v>
      </c>
      <c r="Q57">
        <v>1962.209</v>
      </c>
      <c r="R57" t="b">
        <v>0</v>
      </c>
      <c r="S57" t="b">
        <v>0</v>
      </c>
      <c r="T57" t="b">
        <v>0</v>
      </c>
    </row>
    <row r="58" spans="1:20">
      <c r="A58" t="s">
        <v>432</v>
      </c>
      <c r="B58">
        <v>37</v>
      </c>
      <c r="C58">
        <v>3</v>
      </c>
      <c r="D58" t="s">
        <v>68</v>
      </c>
      <c r="E58" t="s">
        <v>69</v>
      </c>
      <c r="F58" t="s">
        <v>46</v>
      </c>
      <c r="G58">
        <v>20</v>
      </c>
      <c r="H58">
        <v>18</v>
      </c>
      <c r="I58">
        <v>17</v>
      </c>
      <c r="J58" t="s">
        <v>85</v>
      </c>
      <c r="K58">
        <v>123.143</v>
      </c>
      <c r="L58">
        <v>34.821</v>
      </c>
      <c r="M58">
        <v>29.665</v>
      </c>
      <c r="N58">
        <v>34.136</v>
      </c>
      <c r="O58">
        <v>24.521</v>
      </c>
      <c r="P58">
        <v>333.7</v>
      </c>
      <c r="Q58">
        <v>2085.352</v>
      </c>
      <c r="R58" t="b">
        <v>0</v>
      </c>
      <c r="S58" t="b">
        <v>0</v>
      </c>
      <c r="T58" t="b">
        <v>0</v>
      </c>
    </row>
    <row r="59" spans="1:20">
      <c r="A59" t="s">
        <v>432</v>
      </c>
      <c r="B59">
        <v>37</v>
      </c>
      <c r="C59">
        <v>3</v>
      </c>
      <c r="D59" t="s">
        <v>68</v>
      </c>
      <c r="E59" t="s">
        <v>69</v>
      </c>
      <c r="F59" t="s">
        <v>46</v>
      </c>
      <c r="G59">
        <v>20</v>
      </c>
      <c r="H59">
        <v>18</v>
      </c>
      <c r="I59">
        <v>18</v>
      </c>
      <c r="J59" t="s">
        <v>86</v>
      </c>
      <c r="K59">
        <v>123.051</v>
      </c>
      <c r="L59">
        <v>34.731</v>
      </c>
      <c r="M59">
        <v>29.719</v>
      </c>
      <c r="N59">
        <v>34.116</v>
      </c>
      <c r="O59">
        <v>24.485</v>
      </c>
      <c r="P59">
        <v>333.7</v>
      </c>
      <c r="Q59">
        <v>2208.403</v>
      </c>
      <c r="R59" t="b">
        <v>0</v>
      </c>
      <c r="S59" t="b">
        <v>0</v>
      </c>
      <c r="T59" t="b">
        <v>0</v>
      </c>
    </row>
    <row r="60" spans="1:20">
      <c r="A60" t="s">
        <v>432</v>
      </c>
      <c r="B60">
        <v>37</v>
      </c>
      <c r="C60">
        <v>3</v>
      </c>
      <c r="D60" t="s">
        <v>68</v>
      </c>
      <c r="E60" t="s">
        <v>69</v>
      </c>
      <c r="F60" t="s">
        <v>46</v>
      </c>
      <c r="G60">
        <v>20</v>
      </c>
      <c r="H60">
        <v>18</v>
      </c>
      <c r="I60">
        <v>19</v>
      </c>
      <c r="J60" t="s">
        <v>87</v>
      </c>
      <c r="K60">
        <v>123.009</v>
      </c>
      <c r="L60">
        <v>34.626</v>
      </c>
      <c r="M60">
        <v>29.706</v>
      </c>
      <c r="N60">
        <v>34.153</v>
      </c>
      <c r="O60">
        <v>24.524</v>
      </c>
      <c r="P60">
        <v>335.9</v>
      </c>
      <c r="Q60">
        <v>2331.412</v>
      </c>
      <c r="R60" t="b">
        <v>0</v>
      </c>
      <c r="S60" t="b">
        <v>0</v>
      </c>
      <c r="T60" t="b">
        <v>0</v>
      </c>
    </row>
    <row r="61" spans="1:20">
      <c r="A61" t="s">
        <v>432</v>
      </c>
      <c r="B61">
        <v>37</v>
      </c>
      <c r="C61">
        <v>3</v>
      </c>
      <c r="D61" t="s">
        <v>68</v>
      </c>
      <c r="E61" t="s">
        <v>69</v>
      </c>
      <c r="F61" t="s">
        <v>46</v>
      </c>
      <c r="G61">
        <v>20</v>
      </c>
      <c r="H61">
        <v>18</v>
      </c>
      <c r="I61">
        <v>20</v>
      </c>
      <c r="J61" t="s">
        <v>88</v>
      </c>
      <c r="K61">
        <v>123.738</v>
      </c>
      <c r="L61">
        <v>34.996</v>
      </c>
      <c r="M61">
        <v>29.776</v>
      </c>
      <c r="N61">
        <v>34.243</v>
      </c>
      <c r="O61">
        <v>24.723</v>
      </c>
      <c r="P61">
        <v>335.9</v>
      </c>
      <c r="Q61">
        <v>2455.15</v>
      </c>
      <c r="R61" t="b">
        <v>0</v>
      </c>
      <c r="S61" t="b">
        <v>0</v>
      </c>
      <c r="T61" t="b">
        <v>0</v>
      </c>
    </row>
    <row r="62" spans="1:20">
      <c r="A62" t="s">
        <v>433</v>
      </c>
      <c r="B62">
        <v>49</v>
      </c>
      <c r="C62">
        <v>4</v>
      </c>
      <c r="D62" t="s">
        <v>90</v>
      </c>
      <c r="E62" t="s">
        <v>91</v>
      </c>
      <c r="F62" t="s">
        <v>6</v>
      </c>
      <c r="G62">
        <v>20</v>
      </c>
      <c r="H62">
        <v>18</v>
      </c>
      <c r="I62">
        <v>1</v>
      </c>
      <c r="J62" t="s">
        <v>92</v>
      </c>
      <c r="K62">
        <v>124.148</v>
      </c>
      <c r="L62">
        <v>35.272</v>
      </c>
      <c r="M62">
        <v>29.98</v>
      </c>
      <c r="N62">
        <v>34.463</v>
      </c>
      <c r="O62">
        <v>24.433</v>
      </c>
      <c r="P62">
        <v>339.1</v>
      </c>
      <c r="Q62">
        <v>124.148</v>
      </c>
      <c r="R62" t="b">
        <v>0</v>
      </c>
      <c r="S62" t="b">
        <v>0</v>
      </c>
      <c r="T62" t="b">
        <v>0</v>
      </c>
    </row>
    <row r="63" spans="1:20">
      <c r="A63" t="s">
        <v>433</v>
      </c>
      <c r="B63">
        <v>49</v>
      </c>
      <c r="C63">
        <v>4</v>
      </c>
      <c r="D63" t="s">
        <v>90</v>
      </c>
      <c r="E63" t="s">
        <v>91</v>
      </c>
      <c r="F63" t="s">
        <v>6</v>
      </c>
      <c r="G63">
        <v>20</v>
      </c>
      <c r="H63">
        <v>18</v>
      </c>
      <c r="I63">
        <v>2</v>
      </c>
      <c r="J63" t="s">
        <v>93</v>
      </c>
      <c r="K63">
        <v>123.184</v>
      </c>
      <c r="L63">
        <v>34.922</v>
      </c>
      <c r="M63">
        <v>29.905</v>
      </c>
      <c r="N63">
        <v>34.056</v>
      </c>
      <c r="O63">
        <v>24.301</v>
      </c>
      <c r="P63">
        <v>332.7</v>
      </c>
      <c r="Q63">
        <v>247.332</v>
      </c>
      <c r="R63" t="b">
        <v>0</v>
      </c>
      <c r="S63" t="b">
        <v>0</v>
      </c>
      <c r="T63" t="b">
        <v>0</v>
      </c>
    </row>
    <row r="64" spans="1:20">
      <c r="A64" t="s">
        <v>433</v>
      </c>
      <c r="B64">
        <v>49</v>
      </c>
      <c r="C64">
        <v>4</v>
      </c>
      <c r="D64" t="s">
        <v>90</v>
      </c>
      <c r="E64" t="s">
        <v>91</v>
      </c>
      <c r="F64" t="s">
        <v>6</v>
      </c>
      <c r="G64">
        <v>20</v>
      </c>
      <c r="H64">
        <v>18</v>
      </c>
      <c r="I64">
        <v>3</v>
      </c>
      <c r="J64" t="s">
        <v>94</v>
      </c>
      <c r="K64">
        <v>122.222</v>
      </c>
      <c r="L64">
        <v>34.328</v>
      </c>
      <c r="M64">
        <v>29.565</v>
      </c>
      <c r="N64">
        <v>33.999</v>
      </c>
      <c r="O64">
        <v>24.33</v>
      </c>
      <c r="P64">
        <v>335.9</v>
      </c>
      <c r="Q64">
        <v>369.554</v>
      </c>
      <c r="R64" t="b">
        <v>0</v>
      </c>
      <c r="S64" t="b">
        <v>0</v>
      </c>
      <c r="T64" t="b">
        <v>0</v>
      </c>
    </row>
    <row r="65" spans="1:20">
      <c r="A65" t="s">
        <v>433</v>
      </c>
      <c r="B65">
        <v>49</v>
      </c>
      <c r="C65">
        <v>4</v>
      </c>
      <c r="D65" t="s">
        <v>90</v>
      </c>
      <c r="E65" t="s">
        <v>91</v>
      </c>
      <c r="F65" t="s">
        <v>6</v>
      </c>
      <c r="G65">
        <v>20</v>
      </c>
      <c r="H65">
        <v>18</v>
      </c>
      <c r="I65">
        <v>4</v>
      </c>
      <c r="J65" t="s">
        <v>95</v>
      </c>
      <c r="K65">
        <v>122.179</v>
      </c>
      <c r="L65">
        <v>34.351</v>
      </c>
      <c r="M65">
        <v>29.56</v>
      </c>
      <c r="N65">
        <v>33.881</v>
      </c>
      <c r="O65">
        <v>24.387</v>
      </c>
      <c r="P65">
        <v>336.9</v>
      </c>
      <c r="Q65">
        <v>491.733</v>
      </c>
      <c r="R65" t="b">
        <v>0</v>
      </c>
      <c r="S65" t="b">
        <v>0</v>
      </c>
      <c r="T65" t="b">
        <v>0</v>
      </c>
    </row>
    <row r="66" spans="1:20">
      <c r="A66" t="s">
        <v>433</v>
      </c>
      <c r="B66">
        <v>49</v>
      </c>
      <c r="C66">
        <v>4</v>
      </c>
      <c r="D66" t="s">
        <v>90</v>
      </c>
      <c r="E66" t="s">
        <v>91</v>
      </c>
      <c r="F66" t="s">
        <v>6</v>
      </c>
      <c r="G66">
        <v>20</v>
      </c>
      <c r="H66">
        <v>18</v>
      </c>
      <c r="I66">
        <v>5</v>
      </c>
      <c r="J66" t="s">
        <v>96</v>
      </c>
      <c r="K66">
        <v>122.436</v>
      </c>
      <c r="L66">
        <v>34.413</v>
      </c>
      <c r="M66">
        <v>29.609</v>
      </c>
      <c r="N66">
        <v>34.014</v>
      </c>
      <c r="O66">
        <v>24.4</v>
      </c>
      <c r="P66">
        <v>336.9</v>
      </c>
      <c r="Q66">
        <v>614.169</v>
      </c>
      <c r="R66" t="b">
        <v>0</v>
      </c>
      <c r="S66" t="b">
        <v>0</v>
      </c>
      <c r="T66" t="b">
        <v>0</v>
      </c>
    </row>
    <row r="67" spans="1:20">
      <c r="A67" t="s">
        <v>433</v>
      </c>
      <c r="B67">
        <v>49</v>
      </c>
      <c r="C67">
        <v>4</v>
      </c>
      <c r="D67" t="s">
        <v>90</v>
      </c>
      <c r="E67" t="s">
        <v>91</v>
      </c>
      <c r="F67" t="s">
        <v>6</v>
      </c>
      <c r="G67">
        <v>20</v>
      </c>
      <c r="H67">
        <v>18</v>
      </c>
      <c r="I67">
        <v>6</v>
      </c>
      <c r="J67" t="s">
        <v>97</v>
      </c>
      <c r="K67">
        <v>122.336</v>
      </c>
      <c r="L67">
        <v>34.316</v>
      </c>
      <c r="M67">
        <v>29.625</v>
      </c>
      <c r="N67">
        <v>34.025</v>
      </c>
      <c r="O67">
        <v>24.37</v>
      </c>
      <c r="P67">
        <v>339.1</v>
      </c>
      <c r="Q67">
        <v>736.505</v>
      </c>
      <c r="R67" t="b">
        <v>0</v>
      </c>
      <c r="S67" t="b">
        <v>0</v>
      </c>
      <c r="T67" t="b">
        <v>0</v>
      </c>
    </row>
    <row r="68" spans="1:20">
      <c r="A68" t="s">
        <v>433</v>
      </c>
      <c r="B68">
        <v>49</v>
      </c>
      <c r="C68">
        <v>4</v>
      </c>
      <c r="D68" t="s">
        <v>90</v>
      </c>
      <c r="E68" t="s">
        <v>91</v>
      </c>
      <c r="F68" t="s">
        <v>6</v>
      </c>
      <c r="G68">
        <v>20</v>
      </c>
      <c r="H68">
        <v>18</v>
      </c>
      <c r="I68">
        <v>7</v>
      </c>
      <c r="J68" t="s">
        <v>98</v>
      </c>
      <c r="K68">
        <v>122.925</v>
      </c>
      <c r="L68">
        <v>34.661</v>
      </c>
      <c r="M68">
        <v>29.807</v>
      </c>
      <c r="N68">
        <v>33.994</v>
      </c>
      <c r="O68">
        <v>24.463</v>
      </c>
      <c r="P68">
        <v>341.3</v>
      </c>
      <c r="Q68">
        <v>859.4299999999999</v>
      </c>
      <c r="R68" t="b">
        <v>0</v>
      </c>
      <c r="S68" t="b">
        <v>0</v>
      </c>
      <c r="T68" t="b">
        <v>0</v>
      </c>
    </row>
    <row r="69" spans="1:20">
      <c r="A69" t="s">
        <v>433</v>
      </c>
      <c r="B69">
        <v>49</v>
      </c>
      <c r="C69">
        <v>4</v>
      </c>
      <c r="D69" t="s">
        <v>90</v>
      </c>
      <c r="E69" t="s">
        <v>91</v>
      </c>
      <c r="F69" t="s">
        <v>6</v>
      </c>
      <c r="G69">
        <v>20</v>
      </c>
      <c r="H69">
        <v>18</v>
      </c>
      <c r="I69">
        <v>8</v>
      </c>
      <c r="J69" t="s">
        <v>99</v>
      </c>
      <c r="K69">
        <v>122.571</v>
      </c>
      <c r="L69">
        <v>34.429</v>
      </c>
      <c r="M69">
        <v>29.597</v>
      </c>
      <c r="N69">
        <v>34.101</v>
      </c>
      <c r="O69">
        <v>24.444</v>
      </c>
      <c r="P69">
        <v>339.1</v>
      </c>
      <c r="Q69">
        <v>982.001</v>
      </c>
      <c r="R69" t="b">
        <v>0</v>
      </c>
      <c r="S69" t="b">
        <v>0</v>
      </c>
      <c r="T69" t="b">
        <v>0</v>
      </c>
    </row>
    <row r="70" spans="1:20">
      <c r="A70" t="s">
        <v>433</v>
      </c>
      <c r="B70">
        <v>49</v>
      </c>
      <c r="C70">
        <v>4</v>
      </c>
      <c r="D70" t="s">
        <v>90</v>
      </c>
      <c r="E70" t="s">
        <v>91</v>
      </c>
      <c r="F70" t="s">
        <v>6</v>
      </c>
      <c r="G70">
        <v>20</v>
      </c>
      <c r="H70">
        <v>18</v>
      </c>
      <c r="I70">
        <v>9</v>
      </c>
      <c r="J70" t="s">
        <v>100</v>
      </c>
      <c r="K70">
        <v>122.443</v>
      </c>
      <c r="L70">
        <v>34.405</v>
      </c>
      <c r="M70">
        <v>29.624</v>
      </c>
      <c r="N70">
        <v>33.933</v>
      </c>
      <c r="O70">
        <v>24.481</v>
      </c>
      <c r="P70">
        <v>341.3</v>
      </c>
      <c r="Q70">
        <v>1104.444</v>
      </c>
      <c r="R70" t="b">
        <v>0</v>
      </c>
      <c r="S70" t="b">
        <v>0</v>
      </c>
      <c r="T70" t="b">
        <v>0</v>
      </c>
    </row>
    <row r="71" spans="1:20">
      <c r="A71" t="s">
        <v>433</v>
      </c>
      <c r="B71">
        <v>49</v>
      </c>
      <c r="C71">
        <v>4</v>
      </c>
      <c r="D71" t="s">
        <v>90</v>
      </c>
      <c r="E71" t="s">
        <v>91</v>
      </c>
      <c r="F71" t="s">
        <v>6</v>
      </c>
      <c r="G71">
        <v>20</v>
      </c>
      <c r="H71">
        <v>18</v>
      </c>
      <c r="I71">
        <v>10</v>
      </c>
      <c r="J71" t="s">
        <v>101</v>
      </c>
      <c r="K71">
        <v>122.808</v>
      </c>
      <c r="L71">
        <v>34.53</v>
      </c>
      <c r="M71">
        <v>29.613</v>
      </c>
      <c r="N71">
        <v>34.143</v>
      </c>
      <c r="O71">
        <v>24.522</v>
      </c>
      <c r="P71">
        <v>338</v>
      </c>
      <c r="Q71">
        <v>1227.252</v>
      </c>
      <c r="R71" t="b">
        <v>0</v>
      </c>
      <c r="S71" t="b">
        <v>0</v>
      </c>
      <c r="T71" t="b">
        <v>0</v>
      </c>
    </row>
    <row r="72" spans="1:20">
      <c r="A72" t="s">
        <v>433</v>
      </c>
      <c r="B72">
        <v>49</v>
      </c>
      <c r="C72">
        <v>4</v>
      </c>
      <c r="D72" t="s">
        <v>90</v>
      </c>
      <c r="E72" t="s">
        <v>91</v>
      </c>
      <c r="F72" t="s">
        <v>6</v>
      </c>
      <c r="G72">
        <v>20</v>
      </c>
      <c r="H72">
        <v>18</v>
      </c>
      <c r="I72">
        <v>11</v>
      </c>
      <c r="J72" t="s">
        <v>102</v>
      </c>
      <c r="K72">
        <v>122.437</v>
      </c>
      <c r="L72">
        <v>34.419</v>
      </c>
      <c r="M72">
        <v>29.636</v>
      </c>
      <c r="N72">
        <v>34.03</v>
      </c>
      <c r="O72">
        <v>24.352</v>
      </c>
      <c r="P72">
        <v>339.1</v>
      </c>
      <c r="Q72">
        <v>1349.689</v>
      </c>
      <c r="R72" t="b">
        <v>0</v>
      </c>
      <c r="S72" t="b">
        <v>0</v>
      </c>
      <c r="T72" t="b">
        <v>0</v>
      </c>
    </row>
    <row r="73" spans="1:20">
      <c r="A73" t="s">
        <v>433</v>
      </c>
      <c r="B73">
        <v>49</v>
      </c>
      <c r="C73">
        <v>4</v>
      </c>
      <c r="D73" t="s">
        <v>90</v>
      </c>
      <c r="E73" t="s">
        <v>91</v>
      </c>
      <c r="F73" t="s">
        <v>6</v>
      </c>
      <c r="G73">
        <v>20</v>
      </c>
      <c r="H73">
        <v>18</v>
      </c>
      <c r="I73">
        <v>12</v>
      </c>
      <c r="J73" t="s">
        <v>103</v>
      </c>
      <c r="K73">
        <v>122.71</v>
      </c>
      <c r="L73">
        <v>34.418</v>
      </c>
      <c r="M73">
        <v>29.765</v>
      </c>
      <c r="N73">
        <v>34.04</v>
      </c>
      <c r="O73">
        <v>24.487</v>
      </c>
      <c r="P73">
        <v>341.3</v>
      </c>
      <c r="Q73">
        <v>1472.399</v>
      </c>
      <c r="R73" t="b">
        <v>0</v>
      </c>
      <c r="S73" t="b">
        <v>0</v>
      </c>
      <c r="T73" t="b">
        <v>0</v>
      </c>
    </row>
    <row r="74" spans="1:20">
      <c r="A74" t="s">
        <v>433</v>
      </c>
      <c r="B74">
        <v>49</v>
      </c>
      <c r="C74">
        <v>4</v>
      </c>
      <c r="D74" t="s">
        <v>90</v>
      </c>
      <c r="E74" t="s">
        <v>91</v>
      </c>
      <c r="F74" t="s">
        <v>6</v>
      </c>
      <c r="G74">
        <v>20</v>
      </c>
      <c r="H74">
        <v>18</v>
      </c>
      <c r="I74">
        <v>13</v>
      </c>
      <c r="J74" t="s">
        <v>104</v>
      </c>
      <c r="K74">
        <v>123.136</v>
      </c>
      <c r="L74">
        <v>34.444</v>
      </c>
      <c r="M74">
        <v>29.67</v>
      </c>
      <c r="N74">
        <v>34.428</v>
      </c>
      <c r="O74">
        <v>24.594</v>
      </c>
      <c r="P74">
        <v>336.9</v>
      </c>
      <c r="Q74">
        <v>1595.535</v>
      </c>
      <c r="R74" t="b">
        <v>0</v>
      </c>
      <c r="S74" t="b">
        <v>0</v>
      </c>
      <c r="T74" t="b">
        <v>0</v>
      </c>
    </row>
    <row r="75" spans="1:20">
      <c r="A75" t="s">
        <v>433</v>
      </c>
      <c r="B75">
        <v>49</v>
      </c>
      <c r="C75">
        <v>4</v>
      </c>
      <c r="D75" t="s">
        <v>90</v>
      </c>
      <c r="E75" t="s">
        <v>91</v>
      </c>
      <c r="F75" t="s">
        <v>6</v>
      </c>
      <c r="G75">
        <v>20</v>
      </c>
      <c r="H75">
        <v>18</v>
      </c>
      <c r="I75">
        <v>14</v>
      </c>
      <c r="J75" t="s">
        <v>98</v>
      </c>
      <c r="K75">
        <v>122.925</v>
      </c>
      <c r="L75">
        <v>34.644</v>
      </c>
      <c r="M75">
        <v>29.704</v>
      </c>
      <c r="N75">
        <v>34.037</v>
      </c>
      <c r="O75">
        <v>24.54</v>
      </c>
      <c r="P75">
        <v>339.1</v>
      </c>
      <c r="Q75">
        <v>1718.46</v>
      </c>
      <c r="R75" t="b">
        <v>0</v>
      </c>
      <c r="S75" t="b">
        <v>0</v>
      </c>
      <c r="T75" t="b">
        <v>0</v>
      </c>
    </row>
    <row r="76" spans="1:20">
      <c r="A76" t="s">
        <v>433</v>
      </c>
      <c r="B76">
        <v>49</v>
      </c>
      <c r="C76">
        <v>4</v>
      </c>
      <c r="D76" t="s">
        <v>90</v>
      </c>
      <c r="E76" t="s">
        <v>91</v>
      </c>
      <c r="F76" t="s">
        <v>6</v>
      </c>
      <c r="G76">
        <v>20</v>
      </c>
      <c r="H76">
        <v>18</v>
      </c>
      <c r="I76">
        <v>15</v>
      </c>
      <c r="J76" t="s">
        <v>105</v>
      </c>
      <c r="K76">
        <v>122.972</v>
      </c>
      <c r="L76">
        <v>34.587</v>
      </c>
      <c r="M76">
        <v>29.745</v>
      </c>
      <c r="N76">
        <v>34.181</v>
      </c>
      <c r="O76">
        <v>24.459</v>
      </c>
      <c r="P76">
        <v>335.9</v>
      </c>
      <c r="Q76">
        <v>1841.432</v>
      </c>
      <c r="R76" t="b">
        <v>1</v>
      </c>
      <c r="S76" t="b">
        <v>0</v>
      </c>
      <c r="T76" t="b">
        <v>0</v>
      </c>
    </row>
    <row r="77" spans="1:20">
      <c r="A77" t="s">
        <v>433</v>
      </c>
      <c r="B77">
        <v>49</v>
      </c>
      <c r="C77">
        <v>4</v>
      </c>
      <c r="D77" t="s">
        <v>90</v>
      </c>
      <c r="E77" t="s">
        <v>91</v>
      </c>
      <c r="F77" t="s">
        <v>6</v>
      </c>
      <c r="G77">
        <v>20</v>
      </c>
      <c r="H77">
        <v>18</v>
      </c>
      <c r="I77">
        <v>16</v>
      </c>
      <c r="J77" t="s">
        <v>106</v>
      </c>
      <c r="K77">
        <v>123.357</v>
      </c>
      <c r="L77">
        <v>34.593</v>
      </c>
      <c r="M77">
        <v>29.871</v>
      </c>
      <c r="N77">
        <v>34.299</v>
      </c>
      <c r="O77">
        <v>24.594</v>
      </c>
      <c r="P77">
        <v>334.8</v>
      </c>
      <c r="Q77">
        <v>1964.789</v>
      </c>
      <c r="R77" t="b">
        <v>0</v>
      </c>
      <c r="S77" t="b">
        <v>0</v>
      </c>
      <c r="T77" t="b">
        <v>0</v>
      </c>
    </row>
    <row r="78" spans="1:20">
      <c r="A78" t="s">
        <v>433</v>
      </c>
      <c r="B78">
        <v>49</v>
      </c>
      <c r="C78">
        <v>4</v>
      </c>
      <c r="D78" t="s">
        <v>90</v>
      </c>
      <c r="E78" t="s">
        <v>91</v>
      </c>
      <c r="F78" t="s">
        <v>6</v>
      </c>
      <c r="G78">
        <v>20</v>
      </c>
      <c r="H78">
        <v>18</v>
      </c>
      <c r="I78">
        <v>17</v>
      </c>
      <c r="J78" t="s">
        <v>107</v>
      </c>
      <c r="K78">
        <v>123.275</v>
      </c>
      <c r="L78">
        <v>34.61</v>
      </c>
      <c r="M78">
        <v>29.868</v>
      </c>
      <c r="N78">
        <v>34.269</v>
      </c>
      <c r="O78">
        <v>24.528</v>
      </c>
      <c r="P78">
        <v>333.7</v>
      </c>
      <c r="Q78">
        <v>2088.064</v>
      </c>
      <c r="R78" t="b">
        <v>0</v>
      </c>
      <c r="S78" t="b">
        <v>0</v>
      </c>
      <c r="T78" t="b">
        <v>0</v>
      </c>
    </row>
    <row r="79" spans="1:20">
      <c r="A79" t="s">
        <v>433</v>
      </c>
      <c r="B79">
        <v>49</v>
      </c>
      <c r="C79">
        <v>4</v>
      </c>
      <c r="D79" t="s">
        <v>90</v>
      </c>
      <c r="E79" t="s">
        <v>91</v>
      </c>
      <c r="F79" t="s">
        <v>6</v>
      </c>
      <c r="G79">
        <v>20</v>
      </c>
      <c r="H79">
        <v>18</v>
      </c>
      <c r="I79">
        <v>18</v>
      </c>
      <c r="J79" t="s">
        <v>108</v>
      </c>
      <c r="K79">
        <v>122.86</v>
      </c>
      <c r="L79">
        <v>34.452</v>
      </c>
      <c r="M79">
        <v>29.691</v>
      </c>
      <c r="N79">
        <v>34.135</v>
      </c>
      <c r="O79">
        <v>24.582</v>
      </c>
      <c r="P79">
        <v>335.9</v>
      </c>
      <c r="Q79">
        <v>2210.924</v>
      </c>
      <c r="R79" t="b">
        <v>0</v>
      </c>
      <c r="S79" t="b">
        <v>0</v>
      </c>
      <c r="T79" t="b">
        <v>0</v>
      </c>
    </row>
    <row r="80" spans="1:20">
      <c r="A80" t="s">
        <v>433</v>
      </c>
      <c r="B80">
        <v>49</v>
      </c>
      <c r="C80">
        <v>4</v>
      </c>
      <c r="D80" t="s">
        <v>90</v>
      </c>
      <c r="E80" t="s">
        <v>91</v>
      </c>
      <c r="F80" t="s">
        <v>6</v>
      </c>
      <c r="G80">
        <v>20</v>
      </c>
      <c r="H80">
        <v>18</v>
      </c>
      <c r="I80">
        <v>19</v>
      </c>
      <c r="J80" t="s">
        <v>109</v>
      </c>
      <c r="K80">
        <v>123.297</v>
      </c>
      <c r="L80">
        <v>34.535</v>
      </c>
      <c r="M80">
        <v>29.824</v>
      </c>
      <c r="N80">
        <v>34.37</v>
      </c>
      <c r="O80">
        <v>24.568</v>
      </c>
      <c r="P80">
        <v>335.9</v>
      </c>
      <c r="Q80">
        <v>2334.221</v>
      </c>
      <c r="R80" t="b">
        <v>0</v>
      </c>
      <c r="S80" t="b">
        <v>0</v>
      </c>
      <c r="T80" t="b">
        <v>0</v>
      </c>
    </row>
    <row r="81" spans="1:20">
      <c r="A81" t="s">
        <v>433</v>
      </c>
      <c r="B81">
        <v>49</v>
      </c>
      <c r="C81">
        <v>4</v>
      </c>
      <c r="D81" t="s">
        <v>90</v>
      </c>
      <c r="E81" t="s">
        <v>91</v>
      </c>
      <c r="F81" t="s">
        <v>6</v>
      </c>
      <c r="G81">
        <v>20</v>
      </c>
      <c r="H81">
        <v>18</v>
      </c>
      <c r="I81">
        <v>20</v>
      </c>
      <c r="J81" t="s">
        <v>110</v>
      </c>
      <c r="K81">
        <v>123.404</v>
      </c>
      <c r="L81">
        <v>34.695</v>
      </c>
      <c r="M81">
        <v>29.877</v>
      </c>
      <c r="N81">
        <v>34.281</v>
      </c>
      <c r="O81">
        <v>24.551</v>
      </c>
      <c r="P81">
        <v>338</v>
      </c>
      <c r="Q81">
        <v>2457.625</v>
      </c>
      <c r="R81" t="b">
        <v>0</v>
      </c>
      <c r="S81" t="b">
        <v>0</v>
      </c>
      <c r="T81" t="b">
        <v>0</v>
      </c>
    </row>
    <row r="82" spans="1:20">
      <c r="A82" t="s">
        <v>434</v>
      </c>
      <c r="B82">
        <v>93</v>
      </c>
      <c r="C82">
        <v>5</v>
      </c>
      <c r="D82" t="s">
        <v>112</v>
      </c>
      <c r="E82" t="s">
        <v>91</v>
      </c>
      <c r="F82" t="s">
        <v>46</v>
      </c>
      <c r="G82">
        <v>20</v>
      </c>
      <c r="H82">
        <v>19</v>
      </c>
      <c r="I82">
        <v>1</v>
      </c>
      <c r="J82" t="s">
        <v>113</v>
      </c>
      <c r="K82">
        <v>124.33</v>
      </c>
      <c r="L82">
        <v>35.157</v>
      </c>
      <c r="M82">
        <v>29.94</v>
      </c>
      <c r="N82">
        <v>34.465</v>
      </c>
      <c r="O82">
        <v>24.768</v>
      </c>
      <c r="P82">
        <v>336.9</v>
      </c>
      <c r="Q82">
        <v>124.33</v>
      </c>
      <c r="R82" t="b">
        <v>0</v>
      </c>
      <c r="S82" t="b">
        <v>0</v>
      </c>
      <c r="T82" t="b">
        <v>0</v>
      </c>
    </row>
    <row r="83" spans="1:20">
      <c r="A83" t="s">
        <v>434</v>
      </c>
      <c r="B83">
        <v>93</v>
      </c>
      <c r="C83">
        <v>5</v>
      </c>
      <c r="D83" t="s">
        <v>112</v>
      </c>
      <c r="E83" t="s">
        <v>91</v>
      </c>
      <c r="F83" t="s">
        <v>46</v>
      </c>
      <c r="G83">
        <v>20</v>
      </c>
      <c r="H83">
        <v>19</v>
      </c>
      <c r="I83">
        <v>2</v>
      </c>
      <c r="J83" t="s">
        <v>114</v>
      </c>
      <c r="K83">
        <v>123.976</v>
      </c>
      <c r="L83">
        <v>35.04</v>
      </c>
      <c r="M83">
        <v>30.227</v>
      </c>
      <c r="N83">
        <v>34.273</v>
      </c>
      <c r="O83">
        <v>24.436</v>
      </c>
      <c r="P83">
        <v>341.3</v>
      </c>
      <c r="Q83">
        <v>248.306</v>
      </c>
      <c r="R83" t="b">
        <v>0</v>
      </c>
      <c r="S83" t="b">
        <v>0</v>
      </c>
      <c r="T83" t="b">
        <v>0</v>
      </c>
    </row>
    <row r="84" spans="1:20">
      <c r="A84" t="s">
        <v>434</v>
      </c>
      <c r="B84">
        <v>93</v>
      </c>
      <c r="C84">
        <v>5</v>
      </c>
      <c r="D84" t="s">
        <v>112</v>
      </c>
      <c r="E84" t="s">
        <v>91</v>
      </c>
      <c r="F84" t="s">
        <v>46</v>
      </c>
      <c r="G84">
        <v>20</v>
      </c>
      <c r="H84">
        <v>19</v>
      </c>
      <c r="I84">
        <v>3</v>
      </c>
      <c r="J84" t="s">
        <v>115</v>
      </c>
      <c r="K84">
        <v>122.887</v>
      </c>
      <c r="L84">
        <v>34.717</v>
      </c>
      <c r="M84">
        <v>29.63</v>
      </c>
      <c r="N84">
        <v>34.093</v>
      </c>
      <c r="O84">
        <v>24.447</v>
      </c>
      <c r="P84">
        <v>342.4</v>
      </c>
      <c r="Q84">
        <v>371.193</v>
      </c>
      <c r="R84" t="b">
        <v>0</v>
      </c>
      <c r="S84" t="b">
        <v>0</v>
      </c>
      <c r="T84" t="b">
        <v>0</v>
      </c>
    </row>
    <row r="85" spans="1:20">
      <c r="A85" t="s">
        <v>434</v>
      </c>
      <c r="B85">
        <v>93</v>
      </c>
      <c r="C85">
        <v>5</v>
      </c>
      <c r="D85" t="s">
        <v>112</v>
      </c>
      <c r="E85" t="s">
        <v>91</v>
      </c>
      <c r="F85" t="s">
        <v>46</v>
      </c>
      <c r="G85">
        <v>20</v>
      </c>
      <c r="H85">
        <v>19</v>
      </c>
      <c r="I85">
        <v>4</v>
      </c>
      <c r="J85" t="s">
        <v>116</v>
      </c>
      <c r="K85">
        <v>125.392</v>
      </c>
      <c r="L85">
        <v>34.444</v>
      </c>
      <c r="M85">
        <v>29.582</v>
      </c>
      <c r="N85">
        <v>36.737</v>
      </c>
      <c r="O85">
        <v>24.629</v>
      </c>
      <c r="P85">
        <v>346.9</v>
      </c>
      <c r="Q85">
        <v>496.585</v>
      </c>
      <c r="R85" t="b">
        <v>0</v>
      </c>
      <c r="S85" t="b">
        <v>0</v>
      </c>
      <c r="T85" t="b">
        <v>0</v>
      </c>
    </row>
    <row r="86" spans="1:20">
      <c r="A86" t="s">
        <v>434</v>
      </c>
      <c r="B86">
        <v>93</v>
      </c>
      <c r="C86">
        <v>5</v>
      </c>
      <c r="D86" t="s">
        <v>112</v>
      </c>
      <c r="E86" t="s">
        <v>91</v>
      </c>
      <c r="F86" t="s">
        <v>46</v>
      </c>
      <c r="G86">
        <v>20</v>
      </c>
      <c r="H86">
        <v>19</v>
      </c>
      <c r="I86">
        <v>5</v>
      </c>
      <c r="J86" t="s">
        <v>117</v>
      </c>
      <c r="K86">
        <v>122.888</v>
      </c>
      <c r="L86">
        <v>34.542</v>
      </c>
      <c r="M86">
        <v>29.672</v>
      </c>
      <c r="N86">
        <v>34.232</v>
      </c>
      <c r="O86">
        <v>24.442</v>
      </c>
      <c r="P86">
        <v>343.5</v>
      </c>
      <c r="Q86">
        <v>619.473</v>
      </c>
      <c r="R86" t="b">
        <v>0</v>
      </c>
      <c r="S86" t="b">
        <v>0</v>
      </c>
      <c r="T86" t="b">
        <v>0</v>
      </c>
    </row>
    <row r="87" spans="1:20">
      <c r="A87" t="s">
        <v>434</v>
      </c>
      <c r="B87">
        <v>93</v>
      </c>
      <c r="C87">
        <v>5</v>
      </c>
      <c r="D87" t="s">
        <v>112</v>
      </c>
      <c r="E87" t="s">
        <v>91</v>
      </c>
      <c r="F87" t="s">
        <v>46</v>
      </c>
      <c r="G87">
        <v>20</v>
      </c>
      <c r="H87">
        <v>19</v>
      </c>
      <c r="I87">
        <v>6</v>
      </c>
      <c r="J87" t="s">
        <v>118</v>
      </c>
      <c r="K87">
        <v>122.461</v>
      </c>
      <c r="L87">
        <v>34.412</v>
      </c>
      <c r="M87">
        <v>29.482</v>
      </c>
      <c r="N87">
        <v>34.137</v>
      </c>
      <c r="O87">
        <v>24.43</v>
      </c>
      <c r="P87">
        <v>344.7</v>
      </c>
      <c r="Q87">
        <v>741.934</v>
      </c>
      <c r="R87" t="b">
        <v>0</v>
      </c>
      <c r="S87" t="b">
        <v>0</v>
      </c>
      <c r="T87" t="b">
        <v>0</v>
      </c>
    </row>
    <row r="88" spans="1:20">
      <c r="A88" t="s">
        <v>434</v>
      </c>
      <c r="B88">
        <v>93</v>
      </c>
      <c r="C88">
        <v>5</v>
      </c>
      <c r="D88" t="s">
        <v>112</v>
      </c>
      <c r="E88" t="s">
        <v>91</v>
      </c>
      <c r="F88" t="s">
        <v>46</v>
      </c>
      <c r="G88">
        <v>20</v>
      </c>
      <c r="H88">
        <v>19</v>
      </c>
      <c r="I88">
        <v>7</v>
      </c>
      <c r="J88" t="s">
        <v>119</v>
      </c>
      <c r="K88">
        <v>122.266</v>
      </c>
      <c r="L88">
        <v>34.363</v>
      </c>
      <c r="M88">
        <v>29.54</v>
      </c>
      <c r="N88">
        <v>33.95</v>
      </c>
      <c r="O88">
        <v>24.413</v>
      </c>
      <c r="P88">
        <v>342.4</v>
      </c>
      <c r="Q88">
        <v>864.2</v>
      </c>
      <c r="R88" t="b">
        <v>0</v>
      </c>
      <c r="S88" t="b">
        <v>0</v>
      </c>
      <c r="T88" t="b">
        <v>0</v>
      </c>
    </row>
    <row r="89" spans="1:20">
      <c r="A89" t="s">
        <v>434</v>
      </c>
      <c r="B89">
        <v>93</v>
      </c>
      <c r="C89">
        <v>5</v>
      </c>
      <c r="D89" t="s">
        <v>112</v>
      </c>
      <c r="E89" t="s">
        <v>91</v>
      </c>
      <c r="F89" t="s">
        <v>46</v>
      </c>
      <c r="G89">
        <v>20</v>
      </c>
      <c r="H89">
        <v>19</v>
      </c>
      <c r="I89">
        <v>8</v>
      </c>
      <c r="J89" t="s">
        <v>57</v>
      </c>
      <c r="K89">
        <v>122.358</v>
      </c>
      <c r="L89">
        <v>34.483</v>
      </c>
      <c r="M89">
        <v>29.412</v>
      </c>
      <c r="N89">
        <v>33.974</v>
      </c>
      <c r="O89">
        <v>24.489</v>
      </c>
      <c r="P89">
        <v>342.4</v>
      </c>
      <c r="Q89">
        <v>986.558</v>
      </c>
      <c r="R89" t="b">
        <v>0</v>
      </c>
      <c r="S89" t="b">
        <v>0</v>
      </c>
      <c r="T89" t="b">
        <v>0</v>
      </c>
    </row>
    <row r="90" spans="1:20">
      <c r="A90" t="s">
        <v>434</v>
      </c>
      <c r="B90">
        <v>93</v>
      </c>
      <c r="C90">
        <v>5</v>
      </c>
      <c r="D90" t="s">
        <v>112</v>
      </c>
      <c r="E90" t="s">
        <v>91</v>
      </c>
      <c r="F90" t="s">
        <v>46</v>
      </c>
      <c r="G90">
        <v>20</v>
      </c>
      <c r="H90">
        <v>19</v>
      </c>
      <c r="I90">
        <v>9</v>
      </c>
      <c r="J90" t="s">
        <v>120</v>
      </c>
      <c r="K90">
        <v>122.485</v>
      </c>
      <c r="L90">
        <v>34.685</v>
      </c>
      <c r="M90">
        <v>29.506</v>
      </c>
      <c r="N90">
        <v>33.858</v>
      </c>
      <c r="O90">
        <v>24.436</v>
      </c>
      <c r="P90">
        <v>342.4</v>
      </c>
      <c r="Q90">
        <v>1109.043</v>
      </c>
      <c r="R90" t="b">
        <v>0</v>
      </c>
      <c r="S90" t="b">
        <v>0</v>
      </c>
      <c r="T90" t="b">
        <v>0</v>
      </c>
    </row>
    <row r="91" spans="1:20">
      <c r="A91" t="s">
        <v>434</v>
      </c>
      <c r="B91">
        <v>93</v>
      </c>
      <c r="C91">
        <v>5</v>
      </c>
      <c r="D91" t="s">
        <v>112</v>
      </c>
      <c r="E91" t="s">
        <v>91</v>
      </c>
      <c r="F91" t="s">
        <v>46</v>
      </c>
      <c r="G91">
        <v>20</v>
      </c>
      <c r="H91">
        <v>19</v>
      </c>
      <c r="I91">
        <v>10</v>
      </c>
      <c r="J91" t="s">
        <v>121</v>
      </c>
      <c r="K91">
        <v>122.529</v>
      </c>
      <c r="L91">
        <v>34.495</v>
      </c>
      <c r="M91">
        <v>29.547</v>
      </c>
      <c r="N91">
        <v>33.985</v>
      </c>
      <c r="O91">
        <v>24.502</v>
      </c>
      <c r="P91">
        <v>341.3</v>
      </c>
      <c r="Q91">
        <v>1231.572</v>
      </c>
      <c r="R91" t="b">
        <v>0</v>
      </c>
      <c r="S91" t="b">
        <v>0</v>
      </c>
      <c r="T91" t="b">
        <v>0</v>
      </c>
    </row>
    <row r="92" spans="1:20">
      <c r="A92" t="s">
        <v>434</v>
      </c>
      <c r="B92">
        <v>93</v>
      </c>
      <c r="C92">
        <v>5</v>
      </c>
      <c r="D92" t="s">
        <v>112</v>
      </c>
      <c r="E92" t="s">
        <v>91</v>
      </c>
      <c r="F92" t="s">
        <v>46</v>
      </c>
      <c r="G92">
        <v>20</v>
      </c>
      <c r="H92">
        <v>19</v>
      </c>
      <c r="I92">
        <v>11</v>
      </c>
      <c r="J92" t="s">
        <v>122</v>
      </c>
      <c r="K92">
        <v>122.184</v>
      </c>
      <c r="L92">
        <v>34.387</v>
      </c>
      <c r="M92">
        <v>29.368</v>
      </c>
      <c r="N92">
        <v>33.917</v>
      </c>
      <c r="O92">
        <v>24.512</v>
      </c>
      <c r="P92">
        <v>342.4</v>
      </c>
      <c r="Q92">
        <v>1353.756</v>
      </c>
      <c r="R92" t="b">
        <v>0</v>
      </c>
      <c r="S92" t="b">
        <v>0</v>
      </c>
      <c r="T92" t="b">
        <v>0</v>
      </c>
    </row>
    <row r="93" spans="1:20">
      <c r="A93" t="s">
        <v>434</v>
      </c>
      <c r="B93">
        <v>93</v>
      </c>
      <c r="C93">
        <v>5</v>
      </c>
      <c r="D93" t="s">
        <v>112</v>
      </c>
      <c r="E93" t="s">
        <v>91</v>
      </c>
      <c r="F93" t="s">
        <v>46</v>
      </c>
      <c r="G93">
        <v>20</v>
      </c>
      <c r="H93">
        <v>19</v>
      </c>
      <c r="I93">
        <v>12</v>
      </c>
      <c r="J93" t="s">
        <v>123</v>
      </c>
      <c r="K93">
        <v>122.133</v>
      </c>
      <c r="L93">
        <v>34.423</v>
      </c>
      <c r="M93">
        <v>29.419</v>
      </c>
      <c r="N93">
        <v>33.92</v>
      </c>
      <c r="O93">
        <v>24.371</v>
      </c>
      <c r="P93">
        <v>344.7</v>
      </c>
      <c r="Q93">
        <v>1475.889</v>
      </c>
      <c r="R93" t="b">
        <v>0</v>
      </c>
      <c r="S93" t="b">
        <v>0</v>
      </c>
      <c r="T93" t="b">
        <v>0</v>
      </c>
    </row>
    <row r="94" spans="1:20">
      <c r="A94" t="s">
        <v>434</v>
      </c>
      <c r="B94">
        <v>93</v>
      </c>
      <c r="C94">
        <v>5</v>
      </c>
      <c r="D94" t="s">
        <v>112</v>
      </c>
      <c r="E94" t="s">
        <v>91</v>
      </c>
      <c r="F94" t="s">
        <v>46</v>
      </c>
      <c r="G94">
        <v>20</v>
      </c>
      <c r="H94">
        <v>19</v>
      </c>
      <c r="I94">
        <v>13</v>
      </c>
      <c r="J94" t="s">
        <v>124</v>
      </c>
      <c r="K94">
        <v>122.294</v>
      </c>
      <c r="L94">
        <v>34.424</v>
      </c>
      <c r="M94">
        <v>29.554</v>
      </c>
      <c r="N94">
        <v>33.84</v>
      </c>
      <c r="O94">
        <v>24.476</v>
      </c>
      <c r="P94">
        <v>343.5</v>
      </c>
      <c r="Q94">
        <v>1598.183</v>
      </c>
      <c r="R94" t="b">
        <v>0</v>
      </c>
      <c r="S94" t="b">
        <v>0</v>
      </c>
      <c r="T94" t="b">
        <v>0</v>
      </c>
    </row>
    <row r="95" spans="1:20">
      <c r="A95" t="s">
        <v>434</v>
      </c>
      <c r="B95">
        <v>93</v>
      </c>
      <c r="C95">
        <v>5</v>
      </c>
      <c r="D95" t="s">
        <v>112</v>
      </c>
      <c r="E95" t="s">
        <v>91</v>
      </c>
      <c r="F95" t="s">
        <v>46</v>
      </c>
      <c r="G95">
        <v>20</v>
      </c>
      <c r="H95">
        <v>19</v>
      </c>
      <c r="I95">
        <v>14</v>
      </c>
      <c r="J95" t="s">
        <v>125</v>
      </c>
      <c r="K95">
        <v>122.956</v>
      </c>
      <c r="L95">
        <v>34.716</v>
      </c>
      <c r="M95">
        <v>29.397</v>
      </c>
      <c r="N95">
        <v>34.307</v>
      </c>
      <c r="O95">
        <v>24.536</v>
      </c>
      <c r="P95">
        <v>348.1</v>
      </c>
      <c r="Q95">
        <v>1721.139</v>
      </c>
      <c r="R95" t="b">
        <v>0</v>
      </c>
      <c r="S95" t="b">
        <v>0</v>
      </c>
      <c r="T95" t="b">
        <v>0</v>
      </c>
    </row>
    <row r="96" spans="1:20">
      <c r="A96" t="s">
        <v>434</v>
      </c>
      <c r="B96">
        <v>93</v>
      </c>
      <c r="C96">
        <v>5</v>
      </c>
      <c r="D96" t="s">
        <v>112</v>
      </c>
      <c r="E96" t="s">
        <v>91</v>
      </c>
      <c r="F96" t="s">
        <v>46</v>
      </c>
      <c r="G96">
        <v>20</v>
      </c>
      <c r="H96">
        <v>19</v>
      </c>
      <c r="I96">
        <v>15</v>
      </c>
      <c r="J96" t="s">
        <v>126</v>
      </c>
      <c r="K96">
        <v>123.029</v>
      </c>
      <c r="L96">
        <v>34.79</v>
      </c>
      <c r="M96">
        <v>29.656</v>
      </c>
      <c r="N96">
        <v>34.123</v>
      </c>
      <c r="O96">
        <v>24.46</v>
      </c>
      <c r="P96">
        <v>344.7</v>
      </c>
      <c r="Q96">
        <v>1844.168</v>
      </c>
      <c r="R96" t="b">
        <v>0</v>
      </c>
      <c r="S96" t="b">
        <v>0</v>
      </c>
      <c r="T96" t="b">
        <v>0</v>
      </c>
    </row>
    <row r="97" spans="1:20">
      <c r="A97" t="s">
        <v>434</v>
      </c>
      <c r="B97">
        <v>93</v>
      </c>
      <c r="C97">
        <v>5</v>
      </c>
      <c r="D97" t="s">
        <v>112</v>
      </c>
      <c r="E97" t="s">
        <v>91</v>
      </c>
      <c r="F97" t="s">
        <v>46</v>
      </c>
      <c r="G97">
        <v>20</v>
      </c>
      <c r="H97">
        <v>19</v>
      </c>
      <c r="I97">
        <v>16</v>
      </c>
      <c r="J97" t="s">
        <v>127</v>
      </c>
      <c r="K97">
        <v>123.64</v>
      </c>
      <c r="L97">
        <v>34.455</v>
      </c>
      <c r="M97">
        <v>30.038</v>
      </c>
      <c r="N97">
        <v>34.26</v>
      </c>
      <c r="O97">
        <v>24.887</v>
      </c>
      <c r="P97">
        <v>341.3</v>
      </c>
      <c r="Q97">
        <v>1967.808</v>
      </c>
      <c r="R97" t="b">
        <v>0</v>
      </c>
      <c r="S97" t="b">
        <v>0</v>
      </c>
      <c r="T97" t="b">
        <v>0</v>
      </c>
    </row>
    <row r="98" spans="1:20">
      <c r="A98" t="s">
        <v>434</v>
      </c>
      <c r="B98">
        <v>93</v>
      </c>
      <c r="C98">
        <v>5</v>
      </c>
      <c r="D98" t="s">
        <v>112</v>
      </c>
      <c r="E98" t="s">
        <v>91</v>
      </c>
      <c r="F98" t="s">
        <v>46</v>
      </c>
      <c r="G98">
        <v>20</v>
      </c>
      <c r="H98">
        <v>19</v>
      </c>
      <c r="I98">
        <v>17</v>
      </c>
      <c r="J98" t="s">
        <v>128</v>
      </c>
      <c r="K98">
        <v>122.849</v>
      </c>
      <c r="L98">
        <v>34.522</v>
      </c>
      <c r="M98">
        <v>29.748</v>
      </c>
      <c r="N98">
        <v>34.062</v>
      </c>
      <c r="O98">
        <v>24.517</v>
      </c>
      <c r="P98">
        <v>341.3</v>
      </c>
      <c r="Q98">
        <v>2090.657</v>
      </c>
      <c r="R98" t="b">
        <v>0</v>
      </c>
      <c r="S98" t="b">
        <v>0</v>
      </c>
      <c r="T98" t="b">
        <v>0</v>
      </c>
    </row>
    <row r="99" spans="1:20">
      <c r="A99" t="s">
        <v>434</v>
      </c>
      <c r="B99">
        <v>93</v>
      </c>
      <c r="C99">
        <v>5</v>
      </c>
      <c r="D99" t="s">
        <v>112</v>
      </c>
      <c r="E99" t="s">
        <v>91</v>
      </c>
      <c r="F99" t="s">
        <v>46</v>
      </c>
      <c r="G99">
        <v>20</v>
      </c>
      <c r="H99">
        <v>19</v>
      </c>
      <c r="I99">
        <v>18</v>
      </c>
      <c r="J99" t="s">
        <v>129</v>
      </c>
      <c r="K99">
        <v>122.959</v>
      </c>
      <c r="L99">
        <v>34.582</v>
      </c>
      <c r="M99">
        <v>29.832</v>
      </c>
      <c r="N99">
        <v>33.994</v>
      </c>
      <c r="O99">
        <v>24.551</v>
      </c>
      <c r="P99">
        <v>340.2</v>
      </c>
      <c r="Q99">
        <v>2213.616</v>
      </c>
      <c r="R99" t="b">
        <v>0</v>
      </c>
      <c r="S99" t="b">
        <v>0</v>
      </c>
      <c r="T99" t="b">
        <v>0</v>
      </c>
    </row>
    <row r="100" spans="1:20">
      <c r="A100" t="s">
        <v>434</v>
      </c>
      <c r="B100">
        <v>93</v>
      </c>
      <c r="C100">
        <v>5</v>
      </c>
      <c r="D100" t="s">
        <v>112</v>
      </c>
      <c r="E100" t="s">
        <v>91</v>
      </c>
      <c r="F100" t="s">
        <v>46</v>
      </c>
      <c r="G100">
        <v>20</v>
      </c>
      <c r="H100">
        <v>19</v>
      </c>
      <c r="I100">
        <v>19</v>
      </c>
      <c r="J100" t="s">
        <v>130</v>
      </c>
      <c r="K100">
        <v>122.68</v>
      </c>
      <c r="L100">
        <v>34.647</v>
      </c>
      <c r="M100">
        <v>29.559</v>
      </c>
      <c r="N100">
        <v>33.934</v>
      </c>
      <c r="O100">
        <v>24.54</v>
      </c>
      <c r="P100">
        <v>340.2</v>
      </c>
      <c r="Q100">
        <v>2336.296</v>
      </c>
      <c r="R100" t="b">
        <v>0</v>
      </c>
      <c r="S100" t="b">
        <v>0</v>
      </c>
      <c r="T100" t="b">
        <v>0</v>
      </c>
    </row>
    <row r="101" spans="1:20">
      <c r="A101" t="s">
        <v>434</v>
      </c>
      <c r="B101">
        <v>93</v>
      </c>
      <c r="C101">
        <v>5</v>
      </c>
      <c r="D101" t="s">
        <v>112</v>
      </c>
      <c r="E101" t="s">
        <v>91</v>
      </c>
      <c r="F101" t="s">
        <v>46</v>
      </c>
      <c r="G101">
        <v>20</v>
      </c>
      <c r="H101">
        <v>19</v>
      </c>
      <c r="I101">
        <v>20</v>
      </c>
      <c r="J101" t="s">
        <v>131</v>
      </c>
      <c r="K101">
        <v>122.457</v>
      </c>
      <c r="L101">
        <v>34.578</v>
      </c>
      <c r="M101">
        <v>29.417</v>
      </c>
      <c r="N101">
        <v>33.973</v>
      </c>
      <c r="O101">
        <v>24.489</v>
      </c>
      <c r="P101">
        <v>342.4</v>
      </c>
      <c r="Q101">
        <v>2458.753</v>
      </c>
      <c r="R101" t="b">
        <v>0</v>
      </c>
      <c r="S101" t="b">
        <v>0</v>
      </c>
      <c r="T101" t="b">
        <v>0</v>
      </c>
    </row>
    <row r="102" spans="1:20">
      <c r="A102" t="s">
        <v>435</v>
      </c>
      <c r="B102">
        <v>23</v>
      </c>
      <c r="C102">
        <v>6</v>
      </c>
      <c r="D102" t="s">
        <v>133</v>
      </c>
      <c r="E102" t="s">
        <v>69</v>
      </c>
      <c r="F102" t="s">
        <v>6</v>
      </c>
      <c r="G102">
        <v>20</v>
      </c>
      <c r="H102">
        <v>19</v>
      </c>
      <c r="I102">
        <v>1</v>
      </c>
      <c r="J102" t="s">
        <v>134</v>
      </c>
      <c r="K102">
        <v>126.004</v>
      </c>
      <c r="L102">
        <v>36.311</v>
      </c>
      <c r="M102">
        <v>30.295</v>
      </c>
      <c r="N102">
        <v>34.881</v>
      </c>
      <c r="O102">
        <v>24.517</v>
      </c>
      <c r="P102">
        <v>339.1</v>
      </c>
      <c r="Q102">
        <v>126.004</v>
      </c>
      <c r="R102" t="b">
        <v>0</v>
      </c>
      <c r="S102" t="b">
        <v>0</v>
      </c>
      <c r="T102" t="b">
        <v>0</v>
      </c>
    </row>
    <row r="103" spans="1:20">
      <c r="A103" t="s">
        <v>435</v>
      </c>
      <c r="B103">
        <v>23</v>
      </c>
      <c r="C103">
        <v>6</v>
      </c>
      <c r="D103" t="s">
        <v>133</v>
      </c>
      <c r="E103" t="s">
        <v>69</v>
      </c>
      <c r="F103" t="s">
        <v>6</v>
      </c>
      <c r="G103">
        <v>20</v>
      </c>
      <c r="H103">
        <v>19</v>
      </c>
      <c r="I103">
        <v>2</v>
      </c>
      <c r="J103" t="s">
        <v>135</v>
      </c>
      <c r="K103">
        <v>123.416</v>
      </c>
      <c r="L103">
        <v>34.744</v>
      </c>
      <c r="M103">
        <v>30.361</v>
      </c>
      <c r="N103">
        <v>33.905</v>
      </c>
      <c r="O103">
        <v>24.406</v>
      </c>
      <c r="P103">
        <v>343.5</v>
      </c>
      <c r="Q103">
        <v>249.42</v>
      </c>
      <c r="R103" t="b">
        <v>0</v>
      </c>
      <c r="S103" t="b">
        <v>0</v>
      </c>
      <c r="T103" t="b">
        <v>0</v>
      </c>
    </row>
    <row r="104" spans="1:20">
      <c r="A104" t="s">
        <v>435</v>
      </c>
      <c r="B104">
        <v>23</v>
      </c>
      <c r="C104">
        <v>6</v>
      </c>
      <c r="D104" t="s">
        <v>133</v>
      </c>
      <c r="E104" t="s">
        <v>69</v>
      </c>
      <c r="F104" t="s">
        <v>6</v>
      </c>
      <c r="G104">
        <v>20</v>
      </c>
      <c r="H104">
        <v>19</v>
      </c>
      <c r="I104">
        <v>3</v>
      </c>
      <c r="J104" t="s">
        <v>136</v>
      </c>
      <c r="K104">
        <v>123.452</v>
      </c>
      <c r="L104">
        <v>34.624</v>
      </c>
      <c r="M104">
        <v>29.687</v>
      </c>
      <c r="N104">
        <v>34.689</v>
      </c>
      <c r="O104">
        <v>24.452</v>
      </c>
      <c r="P104">
        <v>336.9</v>
      </c>
      <c r="Q104">
        <v>372.872</v>
      </c>
      <c r="R104" t="b">
        <v>0</v>
      </c>
      <c r="S104" t="b">
        <v>0</v>
      </c>
      <c r="T104" t="b">
        <v>0</v>
      </c>
    </row>
    <row r="105" spans="1:20">
      <c r="A105" t="s">
        <v>435</v>
      </c>
      <c r="B105">
        <v>23</v>
      </c>
      <c r="C105">
        <v>6</v>
      </c>
      <c r="D105" t="s">
        <v>133</v>
      </c>
      <c r="E105" t="s">
        <v>69</v>
      </c>
      <c r="F105" t="s">
        <v>6</v>
      </c>
      <c r="G105">
        <v>20</v>
      </c>
      <c r="H105">
        <v>19</v>
      </c>
      <c r="I105">
        <v>4</v>
      </c>
      <c r="J105" t="s">
        <v>137</v>
      </c>
      <c r="K105">
        <v>122.28</v>
      </c>
      <c r="L105">
        <v>34.457</v>
      </c>
      <c r="M105">
        <v>29.523</v>
      </c>
      <c r="N105">
        <v>33.913</v>
      </c>
      <c r="O105">
        <v>24.387</v>
      </c>
      <c r="P105">
        <v>335.9</v>
      </c>
      <c r="Q105">
        <v>495.152</v>
      </c>
      <c r="R105" t="b">
        <v>0</v>
      </c>
      <c r="S105" t="b">
        <v>0</v>
      </c>
      <c r="T105" t="b">
        <v>0</v>
      </c>
    </row>
    <row r="106" spans="1:20">
      <c r="A106" t="s">
        <v>435</v>
      </c>
      <c r="B106">
        <v>23</v>
      </c>
      <c r="C106">
        <v>6</v>
      </c>
      <c r="D106" t="s">
        <v>133</v>
      </c>
      <c r="E106" t="s">
        <v>69</v>
      </c>
      <c r="F106" t="s">
        <v>6</v>
      </c>
      <c r="G106">
        <v>20</v>
      </c>
      <c r="H106">
        <v>19</v>
      </c>
      <c r="I106">
        <v>5</v>
      </c>
      <c r="J106" t="s">
        <v>138</v>
      </c>
      <c r="K106">
        <v>122.399</v>
      </c>
      <c r="L106">
        <v>34.513</v>
      </c>
      <c r="M106">
        <v>29.505</v>
      </c>
      <c r="N106">
        <v>33.994</v>
      </c>
      <c r="O106">
        <v>24.387</v>
      </c>
      <c r="P106">
        <v>336.9</v>
      </c>
      <c r="Q106">
        <v>617.551</v>
      </c>
      <c r="R106" t="b">
        <v>0</v>
      </c>
      <c r="S106" t="b">
        <v>0</v>
      </c>
      <c r="T106" t="b">
        <v>0</v>
      </c>
    </row>
    <row r="107" spans="1:20">
      <c r="A107" t="s">
        <v>435</v>
      </c>
      <c r="B107">
        <v>23</v>
      </c>
      <c r="C107">
        <v>6</v>
      </c>
      <c r="D107" t="s">
        <v>133</v>
      </c>
      <c r="E107" t="s">
        <v>69</v>
      </c>
      <c r="F107" t="s">
        <v>6</v>
      </c>
      <c r="G107">
        <v>20</v>
      </c>
      <c r="H107">
        <v>19</v>
      </c>
      <c r="I107">
        <v>6</v>
      </c>
      <c r="J107" t="s">
        <v>139</v>
      </c>
      <c r="K107">
        <v>122.259</v>
      </c>
      <c r="L107">
        <v>34.42</v>
      </c>
      <c r="M107">
        <v>29.613</v>
      </c>
      <c r="N107">
        <v>33.901</v>
      </c>
      <c r="O107">
        <v>24.325</v>
      </c>
      <c r="P107">
        <v>339.1</v>
      </c>
      <c r="Q107">
        <v>739.8099999999999</v>
      </c>
      <c r="R107" t="b">
        <v>0</v>
      </c>
      <c r="S107" t="b">
        <v>0</v>
      </c>
      <c r="T107" t="b">
        <v>0</v>
      </c>
    </row>
    <row r="108" spans="1:20">
      <c r="A108" t="s">
        <v>435</v>
      </c>
      <c r="B108">
        <v>23</v>
      </c>
      <c r="C108">
        <v>6</v>
      </c>
      <c r="D108" t="s">
        <v>133</v>
      </c>
      <c r="E108" t="s">
        <v>69</v>
      </c>
      <c r="F108" t="s">
        <v>6</v>
      </c>
      <c r="G108">
        <v>20</v>
      </c>
      <c r="H108">
        <v>19</v>
      </c>
      <c r="I108">
        <v>7</v>
      </c>
      <c r="J108" t="s">
        <v>140</v>
      </c>
      <c r="K108">
        <v>122.502</v>
      </c>
      <c r="L108">
        <v>34.479</v>
      </c>
      <c r="M108">
        <v>29.584</v>
      </c>
      <c r="N108">
        <v>34.032</v>
      </c>
      <c r="O108">
        <v>24.407</v>
      </c>
      <c r="P108">
        <v>341.3</v>
      </c>
      <c r="Q108">
        <v>862.312</v>
      </c>
      <c r="R108" t="b">
        <v>0</v>
      </c>
      <c r="S108" t="b">
        <v>0</v>
      </c>
      <c r="T108" t="b">
        <v>0</v>
      </c>
    </row>
    <row r="109" spans="1:20">
      <c r="A109" t="s">
        <v>435</v>
      </c>
      <c r="B109">
        <v>23</v>
      </c>
      <c r="C109">
        <v>6</v>
      </c>
      <c r="D109" t="s">
        <v>133</v>
      </c>
      <c r="E109" t="s">
        <v>69</v>
      </c>
      <c r="F109" t="s">
        <v>6</v>
      </c>
      <c r="G109">
        <v>20</v>
      </c>
      <c r="H109">
        <v>19</v>
      </c>
      <c r="I109">
        <v>8</v>
      </c>
      <c r="J109" t="s">
        <v>141</v>
      </c>
      <c r="K109">
        <v>122.315</v>
      </c>
      <c r="L109">
        <v>34.366</v>
      </c>
      <c r="M109">
        <v>29.526</v>
      </c>
      <c r="N109">
        <v>33.937</v>
      </c>
      <c r="O109">
        <v>24.486</v>
      </c>
      <c r="P109">
        <v>342.4</v>
      </c>
      <c r="Q109">
        <v>984.627</v>
      </c>
      <c r="R109" t="b">
        <v>0</v>
      </c>
      <c r="S109" t="b">
        <v>0</v>
      </c>
      <c r="T109" t="b">
        <v>0</v>
      </c>
    </row>
    <row r="110" spans="1:20">
      <c r="A110" t="s">
        <v>435</v>
      </c>
      <c r="B110">
        <v>23</v>
      </c>
      <c r="C110">
        <v>6</v>
      </c>
      <c r="D110" t="s">
        <v>133</v>
      </c>
      <c r="E110" t="s">
        <v>69</v>
      </c>
      <c r="F110" t="s">
        <v>6</v>
      </c>
      <c r="G110">
        <v>20</v>
      </c>
      <c r="H110">
        <v>19</v>
      </c>
      <c r="I110">
        <v>9</v>
      </c>
      <c r="J110" t="s">
        <v>142</v>
      </c>
      <c r="K110">
        <v>122.506</v>
      </c>
      <c r="L110">
        <v>34.615</v>
      </c>
      <c r="M110">
        <v>29.51</v>
      </c>
      <c r="N110">
        <v>34.04</v>
      </c>
      <c r="O110">
        <v>24.341</v>
      </c>
      <c r="P110">
        <v>340.2</v>
      </c>
      <c r="Q110">
        <v>1107.133</v>
      </c>
      <c r="R110" t="b">
        <v>0</v>
      </c>
      <c r="S110" t="b">
        <v>0</v>
      </c>
      <c r="T110" t="b">
        <v>0</v>
      </c>
    </row>
    <row r="111" spans="1:20">
      <c r="A111" t="s">
        <v>435</v>
      </c>
      <c r="B111">
        <v>23</v>
      </c>
      <c r="C111">
        <v>6</v>
      </c>
      <c r="D111" t="s">
        <v>133</v>
      </c>
      <c r="E111" t="s">
        <v>69</v>
      </c>
      <c r="F111" t="s">
        <v>6</v>
      </c>
      <c r="G111">
        <v>20</v>
      </c>
      <c r="H111">
        <v>19</v>
      </c>
      <c r="I111">
        <v>10</v>
      </c>
      <c r="J111" t="s">
        <v>143</v>
      </c>
      <c r="K111">
        <v>122.698</v>
      </c>
      <c r="L111">
        <v>34.387</v>
      </c>
      <c r="M111">
        <v>29.618</v>
      </c>
      <c r="N111">
        <v>34.21</v>
      </c>
      <c r="O111">
        <v>24.483</v>
      </c>
      <c r="P111">
        <v>336.9</v>
      </c>
      <c r="Q111">
        <v>1229.831</v>
      </c>
      <c r="R111" t="b">
        <v>0</v>
      </c>
      <c r="S111" t="b">
        <v>0</v>
      </c>
      <c r="T111" t="b">
        <v>0</v>
      </c>
    </row>
    <row r="112" spans="1:20">
      <c r="A112" t="s">
        <v>435</v>
      </c>
      <c r="B112">
        <v>23</v>
      </c>
      <c r="C112">
        <v>6</v>
      </c>
      <c r="D112" t="s">
        <v>133</v>
      </c>
      <c r="E112" t="s">
        <v>69</v>
      </c>
      <c r="F112" t="s">
        <v>6</v>
      </c>
      <c r="G112">
        <v>20</v>
      </c>
      <c r="H112">
        <v>19</v>
      </c>
      <c r="I112">
        <v>11</v>
      </c>
      <c r="J112" t="s">
        <v>63</v>
      </c>
      <c r="K112">
        <v>122.385</v>
      </c>
      <c r="L112">
        <v>34.443</v>
      </c>
      <c r="M112">
        <v>29.483</v>
      </c>
      <c r="N112">
        <v>34.037</v>
      </c>
      <c r="O112">
        <v>24.422</v>
      </c>
      <c r="P112">
        <v>338</v>
      </c>
      <c r="Q112">
        <v>1352.216</v>
      </c>
      <c r="R112" t="b">
        <v>0</v>
      </c>
      <c r="S112" t="b">
        <v>0</v>
      </c>
      <c r="T112" t="b">
        <v>0</v>
      </c>
    </row>
    <row r="113" spans="1:20">
      <c r="A113" t="s">
        <v>435</v>
      </c>
      <c r="B113">
        <v>23</v>
      </c>
      <c r="C113">
        <v>6</v>
      </c>
      <c r="D113" t="s">
        <v>133</v>
      </c>
      <c r="E113" t="s">
        <v>69</v>
      </c>
      <c r="F113" t="s">
        <v>6</v>
      </c>
      <c r="G113">
        <v>20</v>
      </c>
      <c r="H113">
        <v>19</v>
      </c>
      <c r="I113">
        <v>12</v>
      </c>
      <c r="J113" t="s">
        <v>144</v>
      </c>
      <c r="K113">
        <v>122.602</v>
      </c>
      <c r="L113">
        <v>34.524</v>
      </c>
      <c r="M113">
        <v>29.575</v>
      </c>
      <c r="N113">
        <v>33.995</v>
      </c>
      <c r="O113">
        <v>24.508</v>
      </c>
      <c r="P113">
        <v>341.3</v>
      </c>
      <c r="Q113">
        <v>1474.818</v>
      </c>
      <c r="R113" t="b">
        <v>0</v>
      </c>
      <c r="S113" t="b">
        <v>0</v>
      </c>
      <c r="T113" t="b">
        <v>0</v>
      </c>
    </row>
    <row r="114" spans="1:20">
      <c r="A114" t="s">
        <v>435</v>
      </c>
      <c r="B114">
        <v>23</v>
      </c>
      <c r="C114">
        <v>6</v>
      </c>
      <c r="D114" t="s">
        <v>133</v>
      </c>
      <c r="E114" t="s">
        <v>69</v>
      </c>
      <c r="F114" t="s">
        <v>6</v>
      </c>
      <c r="G114">
        <v>20</v>
      </c>
      <c r="H114">
        <v>19</v>
      </c>
      <c r="I114">
        <v>13</v>
      </c>
      <c r="J114" t="s">
        <v>145</v>
      </c>
      <c r="K114">
        <v>122.858</v>
      </c>
      <c r="L114">
        <v>34.526</v>
      </c>
      <c r="M114">
        <v>29.687</v>
      </c>
      <c r="N114">
        <v>34.11</v>
      </c>
      <c r="O114">
        <v>24.535</v>
      </c>
      <c r="P114">
        <v>342.4</v>
      </c>
      <c r="Q114">
        <v>1597.676</v>
      </c>
      <c r="R114" t="b">
        <v>0</v>
      </c>
      <c r="S114" t="b">
        <v>0</v>
      </c>
      <c r="T114" t="b">
        <v>0</v>
      </c>
    </row>
    <row r="115" spans="1:20">
      <c r="A115" t="s">
        <v>435</v>
      </c>
      <c r="B115">
        <v>23</v>
      </c>
      <c r="C115">
        <v>6</v>
      </c>
      <c r="D115" t="s">
        <v>133</v>
      </c>
      <c r="E115" t="s">
        <v>69</v>
      </c>
      <c r="F115" t="s">
        <v>6</v>
      </c>
      <c r="G115">
        <v>20</v>
      </c>
      <c r="H115">
        <v>19</v>
      </c>
      <c r="I115">
        <v>14</v>
      </c>
      <c r="J115" t="s">
        <v>146</v>
      </c>
      <c r="K115">
        <v>123.284</v>
      </c>
      <c r="L115">
        <v>34.671</v>
      </c>
      <c r="M115">
        <v>29.714</v>
      </c>
      <c r="N115">
        <v>34.325</v>
      </c>
      <c r="O115">
        <v>24.574</v>
      </c>
      <c r="P115">
        <v>341.3</v>
      </c>
      <c r="Q115">
        <v>1720.96</v>
      </c>
      <c r="R115" t="b">
        <v>0</v>
      </c>
      <c r="S115" t="b">
        <v>0</v>
      </c>
      <c r="T115" t="b">
        <v>0</v>
      </c>
    </row>
    <row r="116" spans="1:20">
      <c r="A116" t="s">
        <v>435</v>
      </c>
      <c r="B116">
        <v>23</v>
      </c>
      <c r="C116">
        <v>6</v>
      </c>
      <c r="D116" t="s">
        <v>133</v>
      </c>
      <c r="E116" t="s">
        <v>69</v>
      </c>
      <c r="F116" t="s">
        <v>6</v>
      </c>
      <c r="G116">
        <v>20</v>
      </c>
      <c r="H116">
        <v>19</v>
      </c>
      <c r="I116">
        <v>15</v>
      </c>
      <c r="J116" t="s">
        <v>147</v>
      </c>
      <c r="K116">
        <v>123.427</v>
      </c>
      <c r="L116">
        <v>34.82</v>
      </c>
      <c r="M116">
        <v>29.667</v>
      </c>
      <c r="N116">
        <v>34.437</v>
      </c>
      <c r="O116">
        <v>24.503</v>
      </c>
      <c r="P116">
        <v>340.2</v>
      </c>
      <c r="Q116">
        <v>1844.387</v>
      </c>
      <c r="R116" t="b">
        <v>0</v>
      </c>
      <c r="S116" t="b">
        <v>0</v>
      </c>
      <c r="T116" t="b">
        <v>0</v>
      </c>
    </row>
    <row r="117" spans="1:20">
      <c r="A117" t="s">
        <v>435</v>
      </c>
      <c r="B117">
        <v>23</v>
      </c>
      <c r="C117">
        <v>6</v>
      </c>
      <c r="D117" t="s">
        <v>133</v>
      </c>
      <c r="E117" t="s">
        <v>69</v>
      </c>
      <c r="F117" t="s">
        <v>6</v>
      </c>
      <c r="G117">
        <v>20</v>
      </c>
      <c r="H117">
        <v>19</v>
      </c>
      <c r="I117">
        <v>16</v>
      </c>
      <c r="J117" t="s">
        <v>148</v>
      </c>
      <c r="K117">
        <v>123.279</v>
      </c>
      <c r="L117">
        <v>34.632</v>
      </c>
      <c r="M117">
        <v>29.74</v>
      </c>
      <c r="N117">
        <v>34.318</v>
      </c>
      <c r="O117">
        <v>24.589</v>
      </c>
      <c r="P117">
        <v>346.9</v>
      </c>
      <c r="Q117">
        <v>1967.666</v>
      </c>
      <c r="R117" t="b">
        <v>0</v>
      </c>
      <c r="S117" t="b">
        <v>0</v>
      </c>
      <c r="T117" t="b">
        <v>0</v>
      </c>
    </row>
    <row r="118" spans="1:20">
      <c r="A118" t="s">
        <v>435</v>
      </c>
      <c r="B118">
        <v>23</v>
      </c>
      <c r="C118">
        <v>6</v>
      </c>
      <c r="D118" t="s">
        <v>133</v>
      </c>
      <c r="E118" t="s">
        <v>69</v>
      </c>
      <c r="F118" t="s">
        <v>6</v>
      </c>
      <c r="G118">
        <v>20</v>
      </c>
      <c r="H118">
        <v>19</v>
      </c>
      <c r="I118">
        <v>17</v>
      </c>
      <c r="J118" t="s">
        <v>93</v>
      </c>
      <c r="K118">
        <v>123.184</v>
      </c>
      <c r="L118">
        <v>34.637</v>
      </c>
      <c r="M118">
        <v>29.87</v>
      </c>
      <c r="N118">
        <v>34.12</v>
      </c>
      <c r="O118">
        <v>24.557</v>
      </c>
      <c r="P118">
        <v>344.7</v>
      </c>
      <c r="Q118">
        <v>2090.85</v>
      </c>
      <c r="R118" t="b">
        <v>0</v>
      </c>
      <c r="S118" t="b">
        <v>0</v>
      </c>
      <c r="T118" t="b">
        <v>0</v>
      </c>
    </row>
    <row r="119" spans="1:20">
      <c r="A119" t="s">
        <v>435</v>
      </c>
      <c r="B119">
        <v>23</v>
      </c>
      <c r="C119">
        <v>6</v>
      </c>
      <c r="D119" t="s">
        <v>133</v>
      </c>
      <c r="E119" t="s">
        <v>69</v>
      </c>
      <c r="F119" t="s">
        <v>6</v>
      </c>
      <c r="G119">
        <v>20</v>
      </c>
      <c r="H119">
        <v>19</v>
      </c>
      <c r="I119">
        <v>18</v>
      </c>
      <c r="J119" t="s">
        <v>149</v>
      </c>
      <c r="K119">
        <v>123.027</v>
      </c>
      <c r="L119">
        <v>34.615</v>
      </c>
      <c r="M119">
        <v>29.815</v>
      </c>
      <c r="N119">
        <v>34.143</v>
      </c>
      <c r="O119">
        <v>24.454</v>
      </c>
      <c r="P119">
        <v>339.1</v>
      </c>
      <c r="Q119">
        <v>2213.877</v>
      </c>
      <c r="R119" t="b">
        <v>0</v>
      </c>
      <c r="S119" t="b">
        <v>0</v>
      </c>
      <c r="T119" t="b">
        <v>0</v>
      </c>
    </row>
    <row r="120" spans="1:20">
      <c r="A120" t="s">
        <v>435</v>
      </c>
      <c r="B120">
        <v>23</v>
      </c>
      <c r="C120">
        <v>6</v>
      </c>
      <c r="D120" t="s">
        <v>133</v>
      </c>
      <c r="E120" t="s">
        <v>69</v>
      </c>
      <c r="F120" t="s">
        <v>6</v>
      </c>
      <c r="G120">
        <v>20</v>
      </c>
      <c r="H120">
        <v>19</v>
      </c>
      <c r="I120">
        <v>19</v>
      </c>
      <c r="J120" t="s">
        <v>150</v>
      </c>
      <c r="K120">
        <v>122.558</v>
      </c>
      <c r="L120">
        <v>34.622</v>
      </c>
      <c r="M120">
        <v>29.473</v>
      </c>
      <c r="N120">
        <v>34.073</v>
      </c>
      <c r="O120">
        <v>24.39</v>
      </c>
      <c r="P120">
        <v>343.5</v>
      </c>
      <c r="Q120">
        <v>2336.435</v>
      </c>
      <c r="R120" t="b">
        <v>0</v>
      </c>
      <c r="S120" t="b">
        <v>0</v>
      </c>
      <c r="T120" t="b">
        <v>0</v>
      </c>
    </row>
    <row r="121" spans="1:20">
      <c r="A121" t="s">
        <v>435</v>
      </c>
      <c r="B121">
        <v>23</v>
      </c>
      <c r="C121">
        <v>6</v>
      </c>
      <c r="D121" t="s">
        <v>133</v>
      </c>
      <c r="E121" t="s">
        <v>69</v>
      </c>
      <c r="F121" t="s">
        <v>6</v>
      </c>
      <c r="G121">
        <v>20</v>
      </c>
      <c r="H121">
        <v>19</v>
      </c>
      <c r="I121">
        <v>20</v>
      </c>
      <c r="J121" t="s">
        <v>118</v>
      </c>
      <c r="K121">
        <v>122.461</v>
      </c>
      <c r="L121">
        <v>34.625</v>
      </c>
      <c r="M121">
        <v>29.386</v>
      </c>
      <c r="N121">
        <v>34.067</v>
      </c>
      <c r="O121">
        <v>24.383</v>
      </c>
      <c r="P121">
        <v>345.8</v>
      </c>
      <c r="Q121">
        <v>2458.896</v>
      </c>
      <c r="R121" t="b">
        <v>0</v>
      </c>
      <c r="S121" t="b">
        <v>0</v>
      </c>
      <c r="T121" t="b">
        <v>0</v>
      </c>
    </row>
    <row r="122" spans="1:20">
      <c r="A122" t="s">
        <v>436</v>
      </c>
      <c r="B122">
        <v>73</v>
      </c>
      <c r="C122">
        <v>7</v>
      </c>
      <c r="D122" t="s">
        <v>152</v>
      </c>
      <c r="E122" t="s">
        <v>91</v>
      </c>
      <c r="F122" t="s">
        <v>46</v>
      </c>
      <c r="G122">
        <v>20</v>
      </c>
      <c r="H122">
        <v>17</v>
      </c>
      <c r="I122">
        <v>1</v>
      </c>
      <c r="J122" t="s">
        <v>153</v>
      </c>
      <c r="K122">
        <v>124.724</v>
      </c>
      <c r="L122">
        <v>35.7</v>
      </c>
      <c r="M122">
        <v>29.853</v>
      </c>
      <c r="N122">
        <v>34.725</v>
      </c>
      <c r="O122">
        <v>24.446</v>
      </c>
      <c r="P122">
        <v>330.6</v>
      </c>
      <c r="Q122">
        <v>124.724</v>
      </c>
      <c r="R122" t="b">
        <v>0</v>
      </c>
      <c r="S122" t="b">
        <v>0</v>
      </c>
      <c r="T122" t="b">
        <v>0</v>
      </c>
    </row>
    <row r="123" spans="1:20">
      <c r="A123" t="s">
        <v>436</v>
      </c>
      <c r="B123">
        <v>73</v>
      </c>
      <c r="C123">
        <v>7</v>
      </c>
      <c r="D123" t="s">
        <v>152</v>
      </c>
      <c r="E123" t="s">
        <v>91</v>
      </c>
      <c r="F123" t="s">
        <v>46</v>
      </c>
      <c r="G123">
        <v>20</v>
      </c>
      <c r="H123">
        <v>17</v>
      </c>
      <c r="I123">
        <v>2</v>
      </c>
      <c r="J123" t="s">
        <v>154</v>
      </c>
      <c r="K123">
        <v>123.939</v>
      </c>
      <c r="L123">
        <v>35.018</v>
      </c>
      <c r="M123">
        <v>30.125</v>
      </c>
      <c r="N123">
        <v>34.354</v>
      </c>
      <c r="O123">
        <v>24.442</v>
      </c>
      <c r="P123">
        <v>338</v>
      </c>
      <c r="Q123">
        <v>248.663</v>
      </c>
      <c r="R123" t="b">
        <v>0</v>
      </c>
      <c r="S123" t="b">
        <v>0</v>
      </c>
      <c r="T123" t="b">
        <v>0</v>
      </c>
    </row>
    <row r="124" spans="1:20">
      <c r="A124" t="s">
        <v>436</v>
      </c>
      <c r="B124">
        <v>73</v>
      </c>
      <c r="C124">
        <v>7</v>
      </c>
      <c r="D124" t="s">
        <v>152</v>
      </c>
      <c r="E124" t="s">
        <v>91</v>
      </c>
      <c r="F124" t="s">
        <v>46</v>
      </c>
      <c r="G124">
        <v>20</v>
      </c>
      <c r="H124">
        <v>17</v>
      </c>
      <c r="I124">
        <v>3</v>
      </c>
      <c r="J124" t="s">
        <v>39</v>
      </c>
      <c r="K124">
        <v>122.826</v>
      </c>
      <c r="L124">
        <v>34.595</v>
      </c>
      <c r="M124">
        <v>29.586</v>
      </c>
      <c r="N124">
        <v>34.306</v>
      </c>
      <c r="O124">
        <v>24.339</v>
      </c>
      <c r="P124">
        <v>341.3</v>
      </c>
      <c r="Q124">
        <v>371.489</v>
      </c>
      <c r="R124" t="b">
        <v>0</v>
      </c>
      <c r="S124" t="b">
        <v>0</v>
      </c>
      <c r="T124" t="b">
        <v>0</v>
      </c>
    </row>
    <row r="125" spans="1:20">
      <c r="A125" t="s">
        <v>436</v>
      </c>
      <c r="B125">
        <v>73</v>
      </c>
      <c r="C125">
        <v>7</v>
      </c>
      <c r="D125" t="s">
        <v>152</v>
      </c>
      <c r="E125" t="s">
        <v>91</v>
      </c>
      <c r="F125" t="s">
        <v>46</v>
      </c>
      <c r="G125">
        <v>20</v>
      </c>
      <c r="H125">
        <v>17</v>
      </c>
      <c r="I125">
        <v>4</v>
      </c>
      <c r="J125" t="s">
        <v>155</v>
      </c>
      <c r="K125">
        <v>122.856</v>
      </c>
      <c r="L125">
        <v>34.39</v>
      </c>
      <c r="M125">
        <v>29.802</v>
      </c>
      <c r="N125">
        <v>34.256</v>
      </c>
      <c r="O125">
        <v>24.408</v>
      </c>
      <c r="P125">
        <v>342.4</v>
      </c>
      <c r="Q125">
        <v>494.345</v>
      </c>
      <c r="R125" t="b">
        <v>0</v>
      </c>
      <c r="S125" t="b">
        <v>0</v>
      </c>
      <c r="T125" t="b">
        <v>0</v>
      </c>
    </row>
    <row r="126" spans="1:20">
      <c r="A126" t="s">
        <v>436</v>
      </c>
      <c r="B126">
        <v>73</v>
      </c>
      <c r="C126">
        <v>7</v>
      </c>
      <c r="D126" t="s">
        <v>152</v>
      </c>
      <c r="E126" t="s">
        <v>91</v>
      </c>
      <c r="F126" t="s">
        <v>46</v>
      </c>
      <c r="G126">
        <v>20</v>
      </c>
      <c r="H126">
        <v>17</v>
      </c>
      <c r="I126">
        <v>5</v>
      </c>
      <c r="J126" t="s">
        <v>156</v>
      </c>
      <c r="K126">
        <v>122.291</v>
      </c>
      <c r="L126">
        <v>34.236</v>
      </c>
      <c r="M126">
        <v>29.52</v>
      </c>
      <c r="N126">
        <v>34.15</v>
      </c>
      <c r="O126">
        <v>24.385</v>
      </c>
      <c r="P126">
        <v>341.3</v>
      </c>
      <c r="Q126">
        <v>616.636</v>
      </c>
      <c r="R126" t="b">
        <v>0</v>
      </c>
      <c r="S126" t="b">
        <v>0</v>
      </c>
      <c r="T126" t="b">
        <v>0</v>
      </c>
    </row>
    <row r="127" spans="1:20">
      <c r="A127" t="s">
        <v>436</v>
      </c>
      <c r="B127">
        <v>73</v>
      </c>
      <c r="C127">
        <v>7</v>
      </c>
      <c r="D127" t="s">
        <v>152</v>
      </c>
      <c r="E127" t="s">
        <v>91</v>
      </c>
      <c r="F127" t="s">
        <v>46</v>
      </c>
      <c r="G127">
        <v>20</v>
      </c>
      <c r="H127">
        <v>17</v>
      </c>
      <c r="I127">
        <v>6</v>
      </c>
      <c r="J127" t="s">
        <v>157</v>
      </c>
      <c r="K127">
        <v>122.674</v>
      </c>
      <c r="L127">
        <v>34.564</v>
      </c>
      <c r="M127">
        <v>29.771</v>
      </c>
      <c r="N127">
        <v>34.018</v>
      </c>
      <c r="O127">
        <v>24.321</v>
      </c>
      <c r="P127">
        <v>339.1</v>
      </c>
      <c r="Q127">
        <v>739.3099999999999</v>
      </c>
      <c r="R127" t="b">
        <v>0</v>
      </c>
      <c r="S127" t="b">
        <v>0</v>
      </c>
      <c r="T127" t="b">
        <v>0</v>
      </c>
    </row>
    <row r="128" spans="1:20">
      <c r="A128" t="s">
        <v>436</v>
      </c>
      <c r="B128">
        <v>73</v>
      </c>
      <c r="C128">
        <v>7</v>
      </c>
      <c r="D128" t="s">
        <v>152</v>
      </c>
      <c r="E128" t="s">
        <v>91</v>
      </c>
      <c r="F128" t="s">
        <v>46</v>
      </c>
      <c r="G128">
        <v>20</v>
      </c>
      <c r="H128">
        <v>17</v>
      </c>
      <c r="I128">
        <v>7</v>
      </c>
      <c r="J128" t="s">
        <v>158</v>
      </c>
      <c r="K128">
        <v>122.149</v>
      </c>
      <c r="L128">
        <v>34.252</v>
      </c>
      <c r="M128">
        <v>29.465</v>
      </c>
      <c r="N128">
        <v>34.092</v>
      </c>
      <c r="O128">
        <v>24.34</v>
      </c>
      <c r="P128">
        <v>342.4</v>
      </c>
      <c r="Q128">
        <v>861.4589999999999</v>
      </c>
      <c r="R128" t="b">
        <v>0</v>
      </c>
      <c r="S128" t="b">
        <v>0</v>
      </c>
      <c r="T128" t="b">
        <v>0</v>
      </c>
    </row>
    <row r="129" spans="1:20">
      <c r="A129" t="s">
        <v>436</v>
      </c>
      <c r="B129">
        <v>73</v>
      </c>
      <c r="C129">
        <v>7</v>
      </c>
      <c r="D129" t="s">
        <v>152</v>
      </c>
      <c r="E129" t="s">
        <v>91</v>
      </c>
      <c r="F129" t="s">
        <v>46</v>
      </c>
      <c r="G129">
        <v>20</v>
      </c>
      <c r="H129">
        <v>17</v>
      </c>
      <c r="I129">
        <v>8</v>
      </c>
      <c r="J129" t="s">
        <v>159</v>
      </c>
      <c r="K129">
        <v>122.33</v>
      </c>
      <c r="L129">
        <v>34.314</v>
      </c>
      <c r="M129">
        <v>29.472</v>
      </c>
      <c r="N129">
        <v>34.072</v>
      </c>
      <c r="O129">
        <v>24.472</v>
      </c>
      <c r="P129">
        <v>342.4</v>
      </c>
      <c r="Q129">
        <v>983.789</v>
      </c>
      <c r="R129" t="b">
        <v>0</v>
      </c>
      <c r="S129" t="b">
        <v>0</v>
      </c>
      <c r="T129" t="b">
        <v>0</v>
      </c>
    </row>
    <row r="130" spans="1:20">
      <c r="A130" t="s">
        <v>436</v>
      </c>
      <c r="B130">
        <v>73</v>
      </c>
      <c r="C130">
        <v>7</v>
      </c>
      <c r="D130" t="s">
        <v>152</v>
      </c>
      <c r="E130" t="s">
        <v>91</v>
      </c>
      <c r="F130" t="s">
        <v>46</v>
      </c>
      <c r="G130">
        <v>20</v>
      </c>
      <c r="H130">
        <v>17</v>
      </c>
      <c r="I130">
        <v>9</v>
      </c>
      <c r="J130" t="s">
        <v>160</v>
      </c>
      <c r="K130">
        <v>122.89</v>
      </c>
      <c r="L130">
        <v>34.377</v>
      </c>
      <c r="M130">
        <v>29.799</v>
      </c>
      <c r="N130">
        <v>34.221</v>
      </c>
      <c r="O130">
        <v>24.493</v>
      </c>
      <c r="P130">
        <v>340.2</v>
      </c>
      <c r="Q130">
        <v>1106.679</v>
      </c>
      <c r="R130" t="b">
        <v>0</v>
      </c>
      <c r="S130" t="b">
        <v>0</v>
      </c>
      <c r="T130" t="b">
        <v>0</v>
      </c>
    </row>
    <row r="131" spans="1:20">
      <c r="A131" t="s">
        <v>436</v>
      </c>
      <c r="B131">
        <v>73</v>
      </c>
      <c r="C131">
        <v>7</v>
      </c>
      <c r="D131" t="s">
        <v>152</v>
      </c>
      <c r="E131" t="s">
        <v>91</v>
      </c>
      <c r="F131" t="s">
        <v>46</v>
      </c>
      <c r="G131">
        <v>20</v>
      </c>
      <c r="H131">
        <v>17</v>
      </c>
      <c r="I131">
        <v>10</v>
      </c>
      <c r="J131" t="s">
        <v>161</v>
      </c>
      <c r="K131">
        <v>122.758</v>
      </c>
      <c r="L131">
        <v>34.376</v>
      </c>
      <c r="M131">
        <v>29.622</v>
      </c>
      <c r="N131">
        <v>34.205</v>
      </c>
      <c r="O131">
        <v>24.555</v>
      </c>
      <c r="P131">
        <v>344.7</v>
      </c>
      <c r="Q131">
        <v>1229.437</v>
      </c>
      <c r="R131" t="b">
        <v>1</v>
      </c>
      <c r="S131" t="b">
        <v>0</v>
      </c>
      <c r="T131" t="b">
        <v>0</v>
      </c>
    </row>
    <row r="132" spans="1:20">
      <c r="A132" t="s">
        <v>436</v>
      </c>
      <c r="B132">
        <v>73</v>
      </c>
      <c r="C132">
        <v>7</v>
      </c>
      <c r="D132" t="s">
        <v>152</v>
      </c>
      <c r="E132" t="s">
        <v>91</v>
      </c>
      <c r="F132" t="s">
        <v>46</v>
      </c>
      <c r="G132">
        <v>20</v>
      </c>
      <c r="H132">
        <v>17</v>
      </c>
      <c r="I132">
        <v>11</v>
      </c>
      <c r="J132" t="s">
        <v>35</v>
      </c>
      <c r="K132">
        <v>122.47</v>
      </c>
      <c r="L132">
        <v>34.396</v>
      </c>
      <c r="M132">
        <v>29.51</v>
      </c>
      <c r="N132">
        <v>34.059</v>
      </c>
      <c r="O132">
        <v>24.505</v>
      </c>
      <c r="P132">
        <v>342.4</v>
      </c>
      <c r="Q132">
        <v>1351.907</v>
      </c>
      <c r="R132" t="b">
        <v>0</v>
      </c>
      <c r="S132" t="b">
        <v>0</v>
      </c>
      <c r="T132" t="b">
        <v>0</v>
      </c>
    </row>
    <row r="133" spans="1:20">
      <c r="A133" t="s">
        <v>436</v>
      </c>
      <c r="B133">
        <v>73</v>
      </c>
      <c r="C133">
        <v>7</v>
      </c>
      <c r="D133" t="s">
        <v>152</v>
      </c>
      <c r="E133" t="s">
        <v>91</v>
      </c>
      <c r="F133" t="s">
        <v>46</v>
      </c>
      <c r="G133">
        <v>20</v>
      </c>
      <c r="H133">
        <v>17</v>
      </c>
      <c r="I133">
        <v>12</v>
      </c>
      <c r="J133" t="s">
        <v>75</v>
      </c>
      <c r="K133">
        <v>122.663</v>
      </c>
      <c r="L133">
        <v>34.365</v>
      </c>
      <c r="M133">
        <v>29.7</v>
      </c>
      <c r="N133">
        <v>34.114</v>
      </c>
      <c r="O133">
        <v>24.484</v>
      </c>
      <c r="P133">
        <v>344.7</v>
      </c>
      <c r="Q133">
        <v>1474.57</v>
      </c>
      <c r="R133" t="b">
        <v>0</v>
      </c>
      <c r="S133" t="b">
        <v>0</v>
      </c>
      <c r="T133" t="b">
        <v>0</v>
      </c>
    </row>
    <row r="134" spans="1:20">
      <c r="A134" t="s">
        <v>436</v>
      </c>
      <c r="B134">
        <v>73</v>
      </c>
      <c r="C134">
        <v>7</v>
      </c>
      <c r="D134" t="s">
        <v>152</v>
      </c>
      <c r="E134" t="s">
        <v>91</v>
      </c>
      <c r="F134" t="s">
        <v>46</v>
      </c>
      <c r="G134">
        <v>20</v>
      </c>
      <c r="H134">
        <v>17</v>
      </c>
      <c r="I134">
        <v>13</v>
      </c>
      <c r="J134" t="s">
        <v>162</v>
      </c>
      <c r="K134">
        <v>122.937</v>
      </c>
      <c r="L134">
        <v>34.454</v>
      </c>
      <c r="M134">
        <v>29.787</v>
      </c>
      <c r="N134">
        <v>34.165</v>
      </c>
      <c r="O134">
        <v>24.531</v>
      </c>
      <c r="P134">
        <v>340.2</v>
      </c>
      <c r="Q134">
        <v>1597.507</v>
      </c>
      <c r="R134" t="b">
        <v>0</v>
      </c>
      <c r="S134" t="b">
        <v>0</v>
      </c>
      <c r="T134" t="b">
        <v>0</v>
      </c>
    </row>
    <row r="135" spans="1:20">
      <c r="A135" t="s">
        <v>436</v>
      </c>
      <c r="B135">
        <v>73</v>
      </c>
      <c r="C135">
        <v>7</v>
      </c>
      <c r="D135" t="s">
        <v>152</v>
      </c>
      <c r="E135" t="s">
        <v>91</v>
      </c>
      <c r="F135" t="s">
        <v>46</v>
      </c>
      <c r="G135">
        <v>20</v>
      </c>
      <c r="H135">
        <v>17</v>
      </c>
      <c r="I135">
        <v>14</v>
      </c>
      <c r="J135" t="s">
        <v>163</v>
      </c>
      <c r="K135">
        <v>123.269</v>
      </c>
      <c r="L135">
        <v>34.581</v>
      </c>
      <c r="M135">
        <v>29.835</v>
      </c>
      <c r="N135">
        <v>34.269</v>
      </c>
      <c r="O135">
        <v>24.584</v>
      </c>
      <c r="P135">
        <v>342.4</v>
      </c>
      <c r="Q135">
        <v>1720.776</v>
      </c>
      <c r="R135" t="b">
        <v>0</v>
      </c>
      <c r="S135" t="b">
        <v>0</v>
      </c>
      <c r="T135" t="b">
        <v>0</v>
      </c>
    </row>
    <row r="136" spans="1:20">
      <c r="A136" t="s">
        <v>436</v>
      </c>
      <c r="B136">
        <v>73</v>
      </c>
      <c r="C136">
        <v>7</v>
      </c>
      <c r="D136" t="s">
        <v>152</v>
      </c>
      <c r="E136" t="s">
        <v>91</v>
      </c>
      <c r="F136" t="s">
        <v>46</v>
      </c>
      <c r="G136">
        <v>20</v>
      </c>
      <c r="H136">
        <v>17</v>
      </c>
      <c r="I136">
        <v>15</v>
      </c>
      <c r="J136" t="s">
        <v>164</v>
      </c>
      <c r="K136">
        <v>124.291</v>
      </c>
      <c r="L136">
        <v>35.099</v>
      </c>
      <c r="M136">
        <v>30.31</v>
      </c>
      <c r="N136">
        <v>34.387</v>
      </c>
      <c r="O136">
        <v>24.495</v>
      </c>
      <c r="P136">
        <v>343.5</v>
      </c>
      <c r="Q136">
        <v>1845.067</v>
      </c>
      <c r="R136" t="b">
        <v>0</v>
      </c>
      <c r="S136" t="b">
        <v>0</v>
      </c>
      <c r="T136" t="b">
        <v>0</v>
      </c>
    </row>
    <row r="137" spans="1:20">
      <c r="A137" t="s">
        <v>436</v>
      </c>
      <c r="B137">
        <v>73</v>
      </c>
      <c r="C137">
        <v>7</v>
      </c>
      <c r="D137" t="s">
        <v>152</v>
      </c>
      <c r="E137" t="s">
        <v>91</v>
      </c>
      <c r="F137" t="s">
        <v>46</v>
      </c>
      <c r="G137">
        <v>20</v>
      </c>
      <c r="H137">
        <v>17</v>
      </c>
      <c r="I137">
        <v>16</v>
      </c>
      <c r="J137" t="s">
        <v>165</v>
      </c>
      <c r="K137">
        <v>123.255</v>
      </c>
      <c r="L137">
        <v>34.592</v>
      </c>
      <c r="M137">
        <v>29.848</v>
      </c>
      <c r="N137">
        <v>34.274</v>
      </c>
      <c r="O137">
        <v>24.541</v>
      </c>
      <c r="P137">
        <v>344.7</v>
      </c>
      <c r="Q137">
        <v>1968.322</v>
      </c>
      <c r="R137" t="b">
        <v>0</v>
      </c>
      <c r="S137" t="b">
        <v>0</v>
      </c>
      <c r="T137" t="b">
        <v>0</v>
      </c>
    </row>
    <row r="138" spans="1:20">
      <c r="A138" t="s">
        <v>436</v>
      </c>
      <c r="B138">
        <v>73</v>
      </c>
      <c r="C138">
        <v>7</v>
      </c>
      <c r="D138" t="s">
        <v>152</v>
      </c>
      <c r="E138" t="s">
        <v>91</v>
      </c>
      <c r="F138" t="s">
        <v>46</v>
      </c>
      <c r="G138">
        <v>20</v>
      </c>
      <c r="H138">
        <v>17</v>
      </c>
      <c r="I138">
        <v>17</v>
      </c>
      <c r="J138" t="s">
        <v>166</v>
      </c>
      <c r="K138">
        <v>123.461</v>
      </c>
      <c r="L138">
        <v>34.555</v>
      </c>
      <c r="M138">
        <v>29.904</v>
      </c>
      <c r="N138">
        <v>34.35</v>
      </c>
      <c r="O138">
        <v>24.652</v>
      </c>
      <c r="P138">
        <v>341.3</v>
      </c>
      <c r="Q138">
        <v>2091.783</v>
      </c>
      <c r="R138" t="b">
        <v>0</v>
      </c>
      <c r="S138" t="b">
        <v>0</v>
      </c>
      <c r="T138" t="b">
        <v>0</v>
      </c>
    </row>
    <row r="139" spans="1:20">
      <c r="A139" t="s">
        <v>436</v>
      </c>
      <c r="B139">
        <v>73</v>
      </c>
      <c r="C139">
        <v>7</v>
      </c>
      <c r="D139" t="s">
        <v>152</v>
      </c>
      <c r="E139" t="s">
        <v>91</v>
      </c>
      <c r="F139" t="s">
        <v>46</v>
      </c>
      <c r="G139">
        <v>20</v>
      </c>
      <c r="H139">
        <v>17</v>
      </c>
      <c r="I139">
        <v>18</v>
      </c>
      <c r="J139" t="s">
        <v>167</v>
      </c>
      <c r="K139">
        <v>123.474</v>
      </c>
      <c r="L139">
        <v>34.691</v>
      </c>
      <c r="M139">
        <v>29.922</v>
      </c>
      <c r="N139">
        <v>34.267</v>
      </c>
      <c r="O139">
        <v>24.594</v>
      </c>
      <c r="P139">
        <v>342.4</v>
      </c>
      <c r="Q139">
        <v>2215.257</v>
      </c>
      <c r="R139" t="b">
        <v>0</v>
      </c>
      <c r="S139" t="b">
        <v>0</v>
      </c>
      <c r="T139" t="b">
        <v>0</v>
      </c>
    </row>
    <row r="140" spans="1:20">
      <c r="A140" t="s">
        <v>436</v>
      </c>
      <c r="B140">
        <v>73</v>
      </c>
      <c r="C140">
        <v>7</v>
      </c>
      <c r="D140" t="s">
        <v>152</v>
      </c>
      <c r="E140" t="s">
        <v>91</v>
      </c>
      <c r="F140" t="s">
        <v>46</v>
      </c>
      <c r="G140">
        <v>20</v>
      </c>
      <c r="H140">
        <v>17</v>
      </c>
      <c r="I140">
        <v>19</v>
      </c>
      <c r="J140" t="s">
        <v>168</v>
      </c>
      <c r="K140">
        <v>123.317</v>
      </c>
      <c r="L140">
        <v>34.618</v>
      </c>
      <c r="M140">
        <v>29.904</v>
      </c>
      <c r="N140">
        <v>34.281</v>
      </c>
      <c r="O140">
        <v>24.514</v>
      </c>
      <c r="P140">
        <v>339.1</v>
      </c>
      <c r="Q140">
        <v>2338.574</v>
      </c>
      <c r="R140" t="b">
        <v>0</v>
      </c>
      <c r="S140" t="b">
        <v>0</v>
      </c>
      <c r="T140" t="b">
        <v>0</v>
      </c>
    </row>
    <row r="141" spans="1:20">
      <c r="A141" t="s">
        <v>436</v>
      </c>
      <c r="B141">
        <v>73</v>
      </c>
      <c r="C141">
        <v>7</v>
      </c>
      <c r="D141" t="s">
        <v>152</v>
      </c>
      <c r="E141" t="s">
        <v>91</v>
      </c>
      <c r="F141" t="s">
        <v>46</v>
      </c>
      <c r="G141">
        <v>20</v>
      </c>
      <c r="H141">
        <v>17</v>
      </c>
      <c r="I141">
        <v>20</v>
      </c>
      <c r="J141" t="s">
        <v>169</v>
      </c>
      <c r="K141">
        <v>123.332</v>
      </c>
      <c r="L141">
        <v>34.706</v>
      </c>
      <c r="M141">
        <v>29.85</v>
      </c>
      <c r="N141">
        <v>34.208</v>
      </c>
      <c r="O141">
        <v>24.568</v>
      </c>
      <c r="P141">
        <v>341.3</v>
      </c>
      <c r="Q141">
        <v>2461.906</v>
      </c>
      <c r="R141" t="b">
        <v>1</v>
      </c>
      <c r="S141" t="b">
        <v>0</v>
      </c>
      <c r="T141" t="b">
        <v>0</v>
      </c>
    </row>
    <row r="142" spans="1:20">
      <c r="A142" t="s">
        <v>437</v>
      </c>
      <c r="B142">
        <v>25</v>
      </c>
      <c r="C142">
        <v>8</v>
      </c>
      <c r="D142" t="s">
        <v>171</v>
      </c>
      <c r="E142" t="s">
        <v>4</v>
      </c>
      <c r="F142" t="s">
        <v>46</v>
      </c>
      <c r="G142">
        <v>20</v>
      </c>
      <c r="H142">
        <v>18</v>
      </c>
      <c r="I142">
        <v>1</v>
      </c>
      <c r="J142" t="s">
        <v>172</v>
      </c>
      <c r="K142">
        <v>125.863</v>
      </c>
      <c r="L142">
        <v>36.137</v>
      </c>
      <c r="M142">
        <v>30.215</v>
      </c>
      <c r="N142">
        <v>35.005</v>
      </c>
      <c r="O142">
        <v>24.506</v>
      </c>
      <c r="P142">
        <v>334.8</v>
      </c>
      <c r="Q142">
        <v>125.863</v>
      </c>
      <c r="R142" t="b">
        <v>0</v>
      </c>
      <c r="S142" t="b">
        <v>0</v>
      </c>
      <c r="T142" t="b">
        <v>0</v>
      </c>
    </row>
    <row r="143" spans="1:20">
      <c r="A143" t="s">
        <v>437</v>
      </c>
      <c r="B143">
        <v>25</v>
      </c>
      <c r="C143">
        <v>8</v>
      </c>
      <c r="D143" t="s">
        <v>171</v>
      </c>
      <c r="E143" t="s">
        <v>4</v>
      </c>
      <c r="F143" t="s">
        <v>46</v>
      </c>
      <c r="G143">
        <v>20</v>
      </c>
      <c r="H143">
        <v>18</v>
      </c>
      <c r="I143">
        <v>2</v>
      </c>
      <c r="J143" t="s">
        <v>173</v>
      </c>
      <c r="K143">
        <v>123.867</v>
      </c>
      <c r="L143">
        <v>34.975</v>
      </c>
      <c r="M143">
        <v>29.944</v>
      </c>
      <c r="N143">
        <v>34.524</v>
      </c>
      <c r="O143">
        <v>24.424</v>
      </c>
      <c r="P143">
        <v>336.9</v>
      </c>
      <c r="Q143">
        <v>249.73</v>
      </c>
      <c r="R143" t="b">
        <v>0</v>
      </c>
      <c r="S143" t="b">
        <v>0</v>
      </c>
      <c r="T143" t="b">
        <v>0</v>
      </c>
    </row>
    <row r="144" spans="1:20">
      <c r="A144" t="s">
        <v>437</v>
      </c>
      <c r="B144">
        <v>25</v>
      </c>
      <c r="C144">
        <v>8</v>
      </c>
      <c r="D144" t="s">
        <v>171</v>
      </c>
      <c r="E144" t="s">
        <v>4</v>
      </c>
      <c r="F144" t="s">
        <v>46</v>
      </c>
      <c r="G144">
        <v>20</v>
      </c>
      <c r="H144">
        <v>18</v>
      </c>
      <c r="I144">
        <v>3</v>
      </c>
      <c r="J144" t="s">
        <v>174</v>
      </c>
      <c r="K144">
        <v>123.39</v>
      </c>
      <c r="L144">
        <v>34.628</v>
      </c>
      <c r="M144">
        <v>29.789</v>
      </c>
      <c r="N144">
        <v>34.441</v>
      </c>
      <c r="O144">
        <v>24.532</v>
      </c>
      <c r="P144">
        <v>338</v>
      </c>
      <c r="Q144">
        <v>373.12</v>
      </c>
      <c r="R144" t="b">
        <v>0</v>
      </c>
      <c r="S144" t="b">
        <v>0</v>
      </c>
      <c r="T144" t="b">
        <v>0</v>
      </c>
    </row>
    <row r="145" spans="1:20">
      <c r="A145" t="s">
        <v>437</v>
      </c>
      <c r="B145">
        <v>25</v>
      </c>
      <c r="C145">
        <v>8</v>
      </c>
      <c r="D145" t="s">
        <v>171</v>
      </c>
      <c r="E145" t="s">
        <v>4</v>
      </c>
      <c r="F145" t="s">
        <v>46</v>
      </c>
      <c r="G145">
        <v>20</v>
      </c>
      <c r="H145">
        <v>18</v>
      </c>
      <c r="I145">
        <v>4</v>
      </c>
      <c r="J145" t="s">
        <v>175</v>
      </c>
      <c r="K145">
        <v>123.025</v>
      </c>
      <c r="L145">
        <v>34.537</v>
      </c>
      <c r="M145">
        <v>29.833</v>
      </c>
      <c r="N145">
        <v>34.242</v>
      </c>
      <c r="O145">
        <v>24.413</v>
      </c>
      <c r="P145">
        <v>332.7</v>
      </c>
      <c r="Q145">
        <v>496.145</v>
      </c>
      <c r="R145" t="b">
        <v>0</v>
      </c>
      <c r="S145" t="b">
        <v>0</v>
      </c>
      <c r="T145" t="b">
        <v>0</v>
      </c>
    </row>
    <row r="146" spans="1:20">
      <c r="A146" t="s">
        <v>437</v>
      </c>
      <c r="B146">
        <v>25</v>
      </c>
      <c r="C146">
        <v>8</v>
      </c>
      <c r="D146" t="s">
        <v>171</v>
      </c>
      <c r="E146" t="s">
        <v>4</v>
      </c>
      <c r="F146" t="s">
        <v>46</v>
      </c>
      <c r="G146">
        <v>20</v>
      </c>
      <c r="H146">
        <v>18</v>
      </c>
      <c r="I146">
        <v>5</v>
      </c>
      <c r="J146" t="s">
        <v>176</v>
      </c>
      <c r="K146">
        <v>122.88</v>
      </c>
      <c r="L146">
        <v>34.438</v>
      </c>
      <c r="M146">
        <v>30.006</v>
      </c>
      <c r="N146">
        <v>34.111</v>
      </c>
      <c r="O146">
        <v>24.325</v>
      </c>
      <c r="P146">
        <v>332.7</v>
      </c>
      <c r="Q146">
        <v>619.025</v>
      </c>
      <c r="R146" t="b">
        <v>1</v>
      </c>
      <c r="S146" t="b">
        <v>0</v>
      </c>
      <c r="T146" t="b">
        <v>0</v>
      </c>
    </row>
    <row r="147" spans="1:20">
      <c r="A147" t="s">
        <v>437</v>
      </c>
      <c r="B147">
        <v>25</v>
      </c>
      <c r="C147">
        <v>8</v>
      </c>
      <c r="D147" t="s">
        <v>171</v>
      </c>
      <c r="E147" t="s">
        <v>4</v>
      </c>
      <c r="F147" t="s">
        <v>46</v>
      </c>
      <c r="G147">
        <v>20</v>
      </c>
      <c r="H147">
        <v>18</v>
      </c>
      <c r="I147">
        <v>6</v>
      </c>
      <c r="J147" t="s">
        <v>177</v>
      </c>
      <c r="K147">
        <v>122.56</v>
      </c>
      <c r="L147">
        <v>34.438</v>
      </c>
      <c r="M147">
        <v>29.754</v>
      </c>
      <c r="N147">
        <v>34.04</v>
      </c>
      <c r="O147">
        <v>24.328</v>
      </c>
      <c r="P147">
        <v>335.9</v>
      </c>
      <c r="Q147">
        <v>741.585</v>
      </c>
      <c r="R147" t="b">
        <v>0</v>
      </c>
      <c r="S147" t="b">
        <v>0</v>
      </c>
      <c r="T147" t="b">
        <v>0</v>
      </c>
    </row>
    <row r="148" spans="1:20">
      <c r="A148" t="s">
        <v>437</v>
      </c>
      <c r="B148">
        <v>25</v>
      </c>
      <c r="C148">
        <v>8</v>
      </c>
      <c r="D148" t="s">
        <v>171</v>
      </c>
      <c r="E148" t="s">
        <v>4</v>
      </c>
      <c r="F148" t="s">
        <v>46</v>
      </c>
      <c r="G148">
        <v>20</v>
      </c>
      <c r="H148">
        <v>18</v>
      </c>
      <c r="I148">
        <v>7</v>
      </c>
      <c r="J148" t="s">
        <v>178</v>
      </c>
      <c r="K148">
        <v>123.183</v>
      </c>
      <c r="L148">
        <v>34.407</v>
      </c>
      <c r="M148">
        <v>30.048</v>
      </c>
      <c r="N148">
        <v>34.306</v>
      </c>
      <c r="O148">
        <v>24.422</v>
      </c>
      <c r="P148">
        <v>339.1</v>
      </c>
      <c r="Q148">
        <v>864.768</v>
      </c>
      <c r="R148" t="b">
        <v>0</v>
      </c>
      <c r="S148" t="b">
        <v>0</v>
      </c>
      <c r="T148" t="b">
        <v>0</v>
      </c>
    </row>
    <row r="149" spans="1:20">
      <c r="A149" t="s">
        <v>437</v>
      </c>
      <c r="B149">
        <v>25</v>
      </c>
      <c r="C149">
        <v>8</v>
      </c>
      <c r="D149" t="s">
        <v>171</v>
      </c>
      <c r="E149" t="s">
        <v>4</v>
      </c>
      <c r="F149" t="s">
        <v>46</v>
      </c>
      <c r="G149">
        <v>20</v>
      </c>
      <c r="H149">
        <v>18</v>
      </c>
      <c r="I149">
        <v>8</v>
      </c>
      <c r="J149" t="s">
        <v>179</v>
      </c>
      <c r="K149">
        <v>122.553</v>
      </c>
      <c r="L149">
        <v>34.518</v>
      </c>
      <c r="M149">
        <v>29.565</v>
      </c>
      <c r="N149">
        <v>34.133</v>
      </c>
      <c r="O149">
        <v>24.337</v>
      </c>
      <c r="P149">
        <v>336.9</v>
      </c>
      <c r="Q149">
        <v>987.321</v>
      </c>
      <c r="R149" t="b">
        <v>0</v>
      </c>
      <c r="S149" t="b">
        <v>0</v>
      </c>
      <c r="T149" t="b">
        <v>0</v>
      </c>
    </row>
    <row r="150" spans="1:20">
      <c r="A150" t="s">
        <v>437</v>
      </c>
      <c r="B150">
        <v>25</v>
      </c>
      <c r="C150">
        <v>8</v>
      </c>
      <c r="D150" t="s">
        <v>171</v>
      </c>
      <c r="E150" t="s">
        <v>4</v>
      </c>
      <c r="F150" t="s">
        <v>46</v>
      </c>
      <c r="G150">
        <v>20</v>
      </c>
      <c r="H150">
        <v>18</v>
      </c>
      <c r="I150">
        <v>9</v>
      </c>
      <c r="J150" t="s">
        <v>180</v>
      </c>
      <c r="K150">
        <v>122.413</v>
      </c>
      <c r="L150">
        <v>34.437</v>
      </c>
      <c r="M150">
        <v>29.635</v>
      </c>
      <c r="N150">
        <v>34.049</v>
      </c>
      <c r="O150">
        <v>24.292</v>
      </c>
      <c r="P150">
        <v>338</v>
      </c>
      <c r="Q150">
        <v>1109.734</v>
      </c>
      <c r="R150" t="b">
        <v>0</v>
      </c>
      <c r="S150" t="b">
        <v>0</v>
      </c>
      <c r="T150" t="b">
        <v>0</v>
      </c>
    </row>
    <row r="151" spans="1:20">
      <c r="A151" t="s">
        <v>437</v>
      </c>
      <c r="B151">
        <v>25</v>
      </c>
      <c r="C151">
        <v>8</v>
      </c>
      <c r="D151" t="s">
        <v>171</v>
      </c>
      <c r="E151" t="s">
        <v>4</v>
      </c>
      <c r="F151" t="s">
        <v>46</v>
      </c>
      <c r="G151">
        <v>20</v>
      </c>
      <c r="H151">
        <v>18</v>
      </c>
      <c r="I151">
        <v>10</v>
      </c>
      <c r="J151" t="s">
        <v>181</v>
      </c>
      <c r="K151">
        <v>122.675</v>
      </c>
      <c r="L151">
        <v>34.409</v>
      </c>
      <c r="M151">
        <v>29.792</v>
      </c>
      <c r="N151">
        <v>34.068</v>
      </c>
      <c r="O151">
        <v>24.406</v>
      </c>
      <c r="P151">
        <v>335.9</v>
      </c>
      <c r="Q151">
        <v>1232.409</v>
      </c>
      <c r="R151" t="b">
        <v>0</v>
      </c>
      <c r="S151" t="b">
        <v>0</v>
      </c>
      <c r="T151" t="b">
        <v>0</v>
      </c>
    </row>
    <row r="152" spans="1:20">
      <c r="A152" t="s">
        <v>437</v>
      </c>
      <c r="B152">
        <v>25</v>
      </c>
      <c r="C152">
        <v>8</v>
      </c>
      <c r="D152" t="s">
        <v>171</v>
      </c>
      <c r="E152" t="s">
        <v>4</v>
      </c>
      <c r="F152" t="s">
        <v>46</v>
      </c>
      <c r="G152">
        <v>20</v>
      </c>
      <c r="H152">
        <v>18</v>
      </c>
      <c r="I152">
        <v>11</v>
      </c>
      <c r="J152" t="s">
        <v>62</v>
      </c>
      <c r="K152">
        <v>122.483</v>
      </c>
      <c r="L152">
        <v>34.357</v>
      </c>
      <c r="M152">
        <v>29.524</v>
      </c>
      <c r="N152">
        <v>34.201</v>
      </c>
      <c r="O152">
        <v>24.401</v>
      </c>
      <c r="P152">
        <v>338</v>
      </c>
      <c r="Q152">
        <v>1354.892</v>
      </c>
      <c r="R152" t="b">
        <v>0</v>
      </c>
      <c r="S152" t="b">
        <v>0</v>
      </c>
      <c r="T152" t="b">
        <v>0</v>
      </c>
    </row>
    <row r="153" spans="1:20">
      <c r="A153" t="s">
        <v>437</v>
      </c>
      <c r="B153">
        <v>25</v>
      </c>
      <c r="C153">
        <v>8</v>
      </c>
      <c r="D153" t="s">
        <v>171</v>
      </c>
      <c r="E153" t="s">
        <v>4</v>
      </c>
      <c r="F153" t="s">
        <v>46</v>
      </c>
      <c r="G153">
        <v>20</v>
      </c>
      <c r="H153">
        <v>18</v>
      </c>
      <c r="I153">
        <v>12</v>
      </c>
      <c r="J153" t="s">
        <v>182</v>
      </c>
      <c r="K153">
        <v>122.51</v>
      </c>
      <c r="L153">
        <v>34.434</v>
      </c>
      <c r="M153">
        <v>29.591</v>
      </c>
      <c r="N153">
        <v>34.071</v>
      </c>
      <c r="O153">
        <v>24.414</v>
      </c>
      <c r="P153">
        <v>338</v>
      </c>
      <c r="Q153">
        <v>1477.402</v>
      </c>
      <c r="R153" t="b">
        <v>0</v>
      </c>
      <c r="S153" t="b">
        <v>0</v>
      </c>
      <c r="T153" t="b">
        <v>0</v>
      </c>
    </row>
    <row r="154" spans="1:20">
      <c r="A154" t="s">
        <v>437</v>
      </c>
      <c r="B154">
        <v>25</v>
      </c>
      <c r="C154">
        <v>8</v>
      </c>
      <c r="D154" t="s">
        <v>171</v>
      </c>
      <c r="E154" t="s">
        <v>4</v>
      </c>
      <c r="F154" t="s">
        <v>46</v>
      </c>
      <c r="G154">
        <v>20</v>
      </c>
      <c r="H154">
        <v>18</v>
      </c>
      <c r="I154">
        <v>13</v>
      </c>
      <c r="J154" t="s">
        <v>183</v>
      </c>
      <c r="K154">
        <v>122.943</v>
      </c>
      <c r="L154">
        <v>34.5</v>
      </c>
      <c r="M154">
        <v>29.739</v>
      </c>
      <c r="N154">
        <v>34.201</v>
      </c>
      <c r="O154">
        <v>24.503</v>
      </c>
      <c r="P154">
        <v>333.7</v>
      </c>
      <c r="Q154">
        <v>1600.345</v>
      </c>
      <c r="R154" t="b">
        <v>0</v>
      </c>
      <c r="S154" t="b">
        <v>0</v>
      </c>
      <c r="T154" t="b">
        <v>0</v>
      </c>
    </row>
    <row r="155" spans="1:20">
      <c r="A155" t="s">
        <v>437</v>
      </c>
      <c r="B155">
        <v>25</v>
      </c>
      <c r="C155">
        <v>8</v>
      </c>
      <c r="D155" t="s">
        <v>171</v>
      </c>
      <c r="E155" t="s">
        <v>4</v>
      </c>
      <c r="F155" t="s">
        <v>46</v>
      </c>
      <c r="G155">
        <v>20</v>
      </c>
      <c r="H155">
        <v>18</v>
      </c>
      <c r="I155">
        <v>14</v>
      </c>
      <c r="J155" t="s">
        <v>184</v>
      </c>
      <c r="K155">
        <v>123.033</v>
      </c>
      <c r="L155">
        <v>34.56</v>
      </c>
      <c r="M155">
        <v>29.809</v>
      </c>
      <c r="N155">
        <v>34.192</v>
      </c>
      <c r="O155">
        <v>24.472</v>
      </c>
      <c r="P155">
        <v>334.8</v>
      </c>
      <c r="Q155">
        <v>1723.378</v>
      </c>
      <c r="R155" t="b">
        <v>0</v>
      </c>
      <c r="S155" t="b">
        <v>0</v>
      </c>
      <c r="T155" t="b">
        <v>0</v>
      </c>
    </row>
    <row r="156" spans="1:20">
      <c r="A156" t="s">
        <v>437</v>
      </c>
      <c r="B156">
        <v>25</v>
      </c>
      <c r="C156">
        <v>8</v>
      </c>
      <c r="D156" t="s">
        <v>171</v>
      </c>
      <c r="E156" t="s">
        <v>4</v>
      </c>
      <c r="F156" t="s">
        <v>46</v>
      </c>
      <c r="G156">
        <v>20</v>
      </c>
      <c r="H156">
        <v>18</v>
      </c>
      <c r="I156">
        <v>15</v>
      </c>
      <c r="J156" t="s">
        <v>185</v>
      </c>
      <c r="K156">
        <v>123.236</v>
      </c>
      <c r="L156">
        <v>34.592</v>
      </c>
      <c r="M156">
        <v>30.049</v>
      </c>
      <c r="N156">
        <v>34.198</v>
      </c>
      <c r="O156">
        <v>24.397</v>
      </c>
      <c r="P156">
        <v>332.7</v>
      </c>
      <c r="Q156">
        <v>1846.614</v>
      </c>
      <c r="R156" t="b">
        <v>0</v>
      </c>
      <c r="S156" t="b">
        <v>0</v>
      </c>
      <c r="T156" t="b">
        <v>0</v>
      </c>
    </row>
    <row r="157" spans="1:20">
      <c r="A157" t="s">
        <v>437</v>
      </c>
      <c r="B157">
        <v>25</v>
      </c>
      <c r="C157">
        <v>8</v>
      </c>
      <c r="D157" t="s">
        <v>171</v>
      </c>
      <c r="E157" t="s">
        <v>4</v>
      </c>
      <c r="F157" t="s">
        <v>46</v>
      </c>
      <c r="G157">
        <v>20</v>
      </c>
      <c r="H157">
        <v>18</v>
      </c>
      <c r="I157">
        <v>16</v>
      </c>
      <c r="J157" t="s">
        <v>186</v>
      </c>
      <c r="K157">
        <v>122.894</v>
      </c>
      <c r="L157">
        <v>34.598</v>
      </c>
      <c r="M157">
        <v>29.771</v>
      </c>
      <c r="N157">
        <v>34.105</v>
      </c>
      <c r="O157">
        <v>24.42</v>
      </c>
      <c r="P157">
        <v>334.8</v>
      </c>
      <c r="Q157">
        <v>1969.508</v>
      </c>
      <c r="R157" t="b">
        <v>0</v>
      </c>
      <c r="S157" t="b">
        <v>0</v>
      </c>
      <c r="T157" t="b">
        <v>0</v>
      </c>
    </row>
    <row r="158" spans="1:20">
      <c r="A158" t="s">
        <v>437</v>
      </c>
      <c r="B158">
        <v>25</v>
      </c>
      <c r="C158">
        <v>8</v>
      </c>
      <c r="D158" t="s">
        <v>171</v>
      </c>
      <c r="E158" t="s">
        <v>4</v>
      </c>
      <c r="F158" t="s">
        <v>46</v>
      </c>
      <c r="G158">
        <v>20</v>
      </c>
      <c r="H158">
        <v>18</v>
      </c>
      <c r="I158">
        <v>17</v>
      </c>
      <c r="J158" t="s">
        <v>187</v>
      </c>
      <c r="K158">
        <v>123.244</v>
      </c>
      <c r="L158">
        <v>34.693</v>
      </c>
      <c r="M158">
        <v>29.749</v>
      </c>
      <c r="N158">
        <v>34.249</v>
      </c>
      <c r="O158">
        <v>24.553</v>
      </c>
      <c r="P158">
        <v>333.7</v>
      </c>
      <c r="Q158">
        <v>2092.752</v>
      </c>
      <c r="R158" t="b">
        <v>0</v>
      </c>
      <c r="S158" t="b">
        <v>0</v>
      </c>
      <c r="T158" t="b">
        <v>0</v>
      </c>
    </row>
    <row r="159" spans="1:20">
      <c r="A159" t="s">
        <v>437</v>
      </c>
      <c r="B159">
        <v>25</v>
      </c>
      <c r="C159">
        <v>8</v>
      </c>
      <c r="D159" t="s">
        <v>171</v>
      </c>
      <c r="E159" t="s">
        <v>4</v>
      </c>
      <c r="F159" t="s">
        <v>46</v>
      </c>
      <c r="G159">
        <v>20</v>
      </c>
      <c r="H159">
        <v>18</v>
      </c>
      <c r="I159">
        <v>18</v>
      </c>
      <c r="J159" t="s">
        <v>188</v>
      </c>
      <c r="K159">
        <v>123.453</v>
      </c>
      <c r="L159">
        <v>34.689</v>
      </c>
      <c r="M159">
        <v>29.821</v>
      </c>
      <c r="N159">
        <v>34.405</v>
      </c>
      <c r="O159">
        <v>24.538</v>
      </c>
      <c r="P159">
        <v>335.9</v>
      </c>
      <c r="Q159">
        <v>2216.205</v>
      </c>
      <c r="R159" t="b">
        <v>0</v>
      </c>
      <c r="S159" t="b">
        <v>0</v>
      </c>
      <c r="T159" t="b">
        <v>0</v>
      </c>
    </row>
    <row r="160" spans="1:20">
      <c r="A160" t="s">
        <v>437</v>
      </c>
      <c r="B160">
        <v>25</v>
      </c>
      <c r="C160">
        <v>8</v>
      </c>
      <c r="D160" t="s">
        <v>171</v>
      </c>
      <c r="E160" t="s">
        <v>4</v>
      </c>
      <c r="F160" t="s">
        <v>46</v>
      </c>
      <c r="G160">
        <v>20</v>
      </c>
      <c r="H160">
        <v>18</v>
      </c>
      <c r="I160">
        <v>19</v>
      </c>
      <c r="J160" t="s">
        <v>189</v>
      </c>
      <c r="K160">
        <v>123.395</v>
      </c>
      <c r="L160">
        <v>34.756</v>
      </c>
      <c r="M160">
        <v>29.753</v>
      </c>
      <c r="N160">
        <v>34.28</v>
      </c>
      <c r="O160">
        <v>24.606</v>
      </c>
      <c r="P160">
        <v>338</v>
      </c>
      <c r="Q160">
        <v>2339.6</v>
      </c>
      <c r="R160" t="b">
        <v>0</v>
      </c>
      <c r="S160" t="b">
        <v>0</v>
      </c>
      <c r="T160" t="b">
        <v>0</v>
      </c>
    </row>
    <row r="161" spans="1:20">
      <c r="A161" t="s">
        <v>437</v>
      </c>
      <c r="B161">
        <v>25</v>
      </c>
      <c r="C161">
        <v>8</v>
      </c>
      <c r="D161" t="s">
        <v>171</v>
      </c>
      <c r="E161" t="s">
        <v>4</v>
      </c>
      <c r="F161" t="s">
        <v>46</v>
      </c>
      <c r="G161">
        <v>20</v>
      </c>
      <c r="H161">
        <v>18</v>
      </c>
      <c r="I161">
        <v>20</v>
      </c>
      <c r="J161" t="s">
        <v>190</v>
      </c>
      <c r="K161">
        <v>124.182</v>
      </c>
      <c r="L161">
        <v>34.899</v>
      </c>
      <c r="M161">
        <v>29.965</v>
      </c>
      <c r="N161">
        <v>34.512</v>
      </c>
      <c r="O161">
        <v>24.806</v>
      </c>
      <c r="P161">
        <v>336.9</v>
      </c>
      <c r="Q161">
        <v>2463.782</v>
      </c>
      <c r="R161" t="b">
        <v>0</v>
      </c>
      <c r="S161" t="b">
        <v>0</v>
      </c>
      <c r="T161" t="b">
        <v>0</v>
      </c>
    </row>
    <row r="162" spans="1:20">
      <c r="A162" t="s">
        <v>438</v>
      </c>
      <c r="B162">
        <v>10</v>
      </c>
      <c r="C162">
        <v>9</v>
      </c>
      <c r="D162" t="s">
        <v>192</v>
      </c>
      <c r="E162" t="s">
        <v>193</v>
      </c>
      <c r="F162" t="s">
        <v>6</v>
      </c>
      <c r="G162">
        <v>20</v>
      </c>
      <c r="H162">
        <v>19</v>
      </c>
      <c r="I162">
        <v>1</v>
      </c>
      <c r="J162" t="s">
        <v>194</v>
      </c>
      <c r="K162">
        <v>126.495</v>
      </c>
      <c r="L162">
        <v>36.544</v>
      </c>
      <c r="M162">
        <v>30.397</v>
      </c>
      <c r="N162">
        <v>34.739</v>
      </c>
      <c r="O162">
        <v>24.815</v>
      </c>
      <c r="P162">
        <v>344.7</v>
      </c>
      <c r="Q162">
        <v>126.495</v>
      </c>
      <c r="R162" t="b">
        <v>0</v>
      </c>
      <c r="S162" t="b">
        <v>0</v>
      </c>
      <c r="T162" t="b">
        <v>0</v>
      </c>
    </row>
    <row r="163" spans="1:20">
      <c r="A163" t="s">
        <v>438</v>
      </c>
      <c r="B163">
        <v>10</v>
      </c>
      <c r="C163">
        <v>9</v>
      </c>
      <c r="D163" t="s">
        <v>192</v>
      </c>
      <c r="E163" t="s">
        <v>193</v>
      </c>
      <c r="F163" t="s">
        <v>6</v>
      </c>
      <c r="G163">
        <v>20</v>
      </c>
      <c r="H163">
        <v>19</v>
      </c>
      <c r="I163">
        <v>2</v>
      </c>
      <c r="J163" t="s">
        <v>195</v>
      </c>
      <c r="K163">
        <v>123.938</v>
      </c>
      <c r="L163">
        <v>34.647</v>
      </c>
      <c r="M163">
        <v>30.651</v>
      </c>
      <c r="N163">
        <v>34.103</v>
      </c>
      <c r="O163">
        <v>24.537</v>
      </c>
      <c r="P163">
        <v>340.2</v>
      </c>
      <c r="Q163">
        <v>250.433</v>
      </c>
      <c r="R163" t="b">
        <v>0</v>
      </c>
      <c r="S163" t="b">
        <v>0</v>
      </c>
      <c r="T163" t="b">
        <v>0</v>
      </c>
    </row>
    <row r="164" spans="1:20">
      <c r="A164" t="s">
        <v>438</v>
      </c>
      <c r="B164">
        <v>10</v>
      </c>
      <c r="C164">
        <v>9</v>
      </c>
      <c r="D164" t="s">
        <v>192</v>
      </c>
      <c r="E164" t="s">
        <v>193</v>
      </c>
      <c r="F164" t="s">
        <v>6</v>
      </c>
      <c r="G164">
        <v>20</v>
      </c>
      <c r="H164">
        <v>19</v>
      </c>
      <c r="I164">
        <v>3</v>
      </c>
      <c r="J164" t="s">
        <v>196</v>
      </c>
      <c r="K164">
        <v>123.034</v>
      </c>
      <c r="L164">
        <v>34.655</v>
      </c>
      <c r="M164">
        <v>29.64</v>
      </c>
      <c r="N164">
        <v>34.166</v>
      </c>
      <c r="O164">
        <v>24.573</v>
      </c>
      <c r="P164">
        <v>338</v>
      </c>
      <c r="Q164">
        <v>373.467</v>
      </c>
      <c r="R164" t="b">
        <v>0</v>
      </c>
      <c r="S164" t="b">
        <v>0</v>
      </c>
      <c r="T164" t="b">
        <v>0</v>
      </c>
    </row>
    <row r="165" spans="1:20">
      <c r="A165" t="s">
        <v>438</v>
      </c>
      <c r="B165">
        <v>10</v>
      </c>
      <c r="C165">
        <v>9</v>
      </c>
      <c r="D165" t="s">
        <v>192</v>
      </c>
      <c r="E165" t="s">
        <v>193</v>
      </c>
      <c r="F165" t="s">
        <v>6</v>
      </c>
      <c r="G165">
        <v>20</v>
      </c>
      <c r="H165">
        <v>19</v>
      </c>
      <c r="I165">
        <v>4</v>
      </c>
      <c r="J165" t="s">
        <v>197</v>
      </c>
      <c r="K165">
        <v>123.509</v>
      </c>
      <c r="L165">
        <v>34.607</v>
      </c>
      <c r="M165">
        <v>29.789</v>
      </c>
      <c r="N165">
        <v>34.422</v>
      </c>
      <c r="O165">
        <v>24.691</v>
      </c>
      <c r="P165">
        <v>335.9</v>
      </c>
      <c r="Q165">
        <v>496.976</v>
      </c>
      <c r="R165" t="b">
        <v>0</v>
      </c>
      <c r="S165" t="b">
        <v>0</v>
      </c>
      <c r="T165" t="b">
        <v>0</v>
      </c>
    </row>
    <row r="166" spans="1:20">
      <c r="A166" t="s">
        <v>438</v>
      </c>
      <c r="B166">
        <v>10</v>
      </c>
      <c r="C166">
        <v>9</v>
      </c>
      <c r="D166" t="s">
        <v>192</v>
      </c>
      <c r="E166" t="s">
        <v>193</v>
      </c>
      <c r="F166" t="s">
        <v>6</v>
      </c>
      <c r="G166">
        <v>20</v>
      </c>
      <c r="H166">
        <v>19</v>
      </c>
      <c r="I166">
        <v>5</v>
      </c>
      <c r="J166" t="s">
        <v>198</v>
      </c>
      <c r="K166">
        <v>123.277</v>
      </c>
      <c r="L166">
        <v>35.079</v>
      </c>
      <c r="M166">
        <v>29.688</v>
      </c>
      <c r="N166">
        <v>34.035</v>
      </c>
      <c r="O166">
        <v>24.475</v>
      </c>
      <c r="P166">
        <v>341.3</v>
      </c>
      <c r="Q166">
        <v>620.253</v>
      </c>
      <c r="R166" t="b">
        <v>0</v>
      </c>
      <c r="S166" t="b">
        <v>0</v>
      </c>
      <c r="T166" t="b">
        <v>0</v>
      </c>
    </row>
    <row r="167" spans="1:20">
      <c r="A167" t="s">
        <v>438</v>
      </c>
      <c r="B167">
        <v>10</v>
      </c>
      <c r="C167">
        <v>9</v>
      </c>
      <c r="D167" t="s">
        <v>192</v>
      </c>
      <c r="E167" t="s">
        <v>193</v>
      </c>
      <c r="F167" t="s">
        <v>6</v>
      </c>
      <c r="G167">
        <v>20</v>
      </c>
      <c r="H167">
        <v>19</v>
      </c>
      <c r="I167">
        <v>6</v>
      </c>
      <c r="J167" t="s">
        <v>199</v>
      </c>
      <c r="K167">
        <v>122.719</v>
      </c>
      <c r="L167">
        <v>34.52</v>
      </c>
      <c r="M167">
        <v>29.711</v>
      </c>
      <c r="N167">
        <v>33.997</v>
      </c>
      <c r="O167">
        <v>24.491</v>
      </c>
      <c r="P167">
        <v>338</v>
      </c>
      <c r="Q167">
        <v>742.972</v>
      </c>
      <c r="R167" t="b">
        <v>0</v>
      </c>
      <c r="S167" t="b">
        <v>0</v>
      </c>
      <c r="T167" t="b">
        <v>0</v>
      </c>
    </row>
    <row r="168" spans="1:20">
      <c r="A168" t="s">
        <v>438</v>
      </c>
      <c r="B168">
        <v>10</v>
      </c>
      <c r="C168">
        <v>9</v>
      </c>
      <c r="D168" t="s">
        <v>192</v>
      </c>
      <c r="E168" t="s">
        <v>193</v>
      </c>
      <c r="F168" t="s">
        <v>6</v>
      </c>
      <c r="G168">
        <v>20</v>
      </c>
      <c r="H168">
        <v>19</v>
      </c>
      <c r="I168">
        <v>7</v>
      </c>
      <c r="J168" t="s">
        <v>200</v>
      </c>
      <c r="K168">
        <v>122.851</v>
      </c>
      <c r="L168">
        <v>34.515</v>
      </c>
      <c r="M168">
        <v>29.734</v>
      </c>
      <c r="N168">
        <v>34.065</v>
      </c>
      <c r="O168">
        <v>24.537</v>
      </c>
      <c r="P168">
        <v>339.1</v>
      </c>
      <c r="Q168">
        <v>865.823</v>
      </c>
      <c r="R168" t="b">
        <v>0</v>
      </c>
      <c r="S168" t="b">
        <v>0</v>
      </c>
      <c r="T168" t="b">
        <v>0</v>
      </c>
    </row>
    <row r="169" spans="1:20">
      <c r="A169" t="s">
        <v>438</v>
      </c>
      <c r="B169">
        <v>10</v>
      </c>
      <c r="C169">
        <v>9</v>
      </c>
      <c r="D169" t="s">
        <v>192</v>
      </c>
      <c r="E169" t="s">
        <v>193</v>
      </c>
      <c r="F169" t="s">
        <v>6</v>
      </c>
      <c r="G169">
        <v>20</v>
      </c>
      <c r="H169">
        <v>19</v>
      </c>
      <c r="I169">
        <v>8</v>
      </c>
      <c r="J169" t="s">
        <v>65</v>
      </c>
      <c r="K169">
        <v>122.789</v>
      </c>
      <c r="L169">
        <v>34.583</v>
      </c>
      <c r="M169">
        <v>29.624</v>
      </c>
      <c r="N169">
        <v>34.03</v>
      </c>
      <c r="O169">
        <v>24.552</v>
      </c>
      <c r="P169">
        <v>339.1</v>
      </c>
      <c r="Q169">
        <v>988.612</v>
      </c>
      <c r="R169" t="b">
        <v>0</v>
      </c>
      <c r="S169" t="b">
        <v>0</v>
      </c>
      <c r="T169" t="b">
        <v>0</v>
      </c>
    </row>
    <row r="170" spans="1:20">
      <c r="A170" t="s">
        <v>438</v>
      </c>
      <c r="B170">
        <v>10</v>
      </c>
      <c r="C170">
        <v>9</v>
      </c>
      <c r="D170" t="s">
        <v>192</v>
      </c>
      <c r="E170" t="s">
        <v>193</v>
      </c>
      <c r="F170" t="s">
        <v>6</v>
      </c>
      <c r="G170">
        <v>20</v>
      </c>
      <c r="H170">
        <v>19</v>
      </c>
      <c r="I170">
        <v>9</v>
      </c>
      <c r="J170" t="s">
        <v>131</v>
      </c>
      <c r="K170">
        <v>122.457</v>
      </c>
      <c r="L170">
        <v>34.501</v>
      </c>
      <c r="M170">
        <v>29.497</v>
      </c>
      <c r="N170">
        <v>33.983</v>
      </c>
      <c r="O170">
        <v>24.476</v>
      </c>
      <c r="P170">
        <v>340.2</v>
      </c>
      <c r="Q170">
        <v>1111.069</v>
      </c>
      <c r="R170" t="b">
        <v>0</v>
      </c>
      <c r="S170" t="b">
        <v>0</v>
      </c>
      <c r="T170" t="b">
        <v>0</v>
      </c>
    </row>
    <row r="171" spans="1:20">
      <c r="A171" t="s">
        <v>438</v>
      </c>
      <c r="B171">
        <v>10</v>
      </c>
      <c r="C171">
        <v>9</v>
      </c>
      <c r="D171" t="s">
        <v>192</v>
      </c>
      <c r="E171" t="s">
        <v>193</v>
      </c>
      <c r="F171" t="s">
        <v>6</v>
      </c>
      <c r="G171">
        <v>20</v>
      </c>
      <c r="H171">
        <v>19</v>
      </c>
      <c r="I171">
        <v>10</v>
      </c>
      <c r="J171" t="s">
        <v>201</v>
      </c>
      <c r="K171">
        <v>122.802</v>
      </c>
      <c r="L171">
        <v>34.603</v>
      </c>
      <c r="M171">
        <v>29.64</v>
      </c>
      <c r="N171">
        <v>34.018</v>
      </c>
      <c r="O171">
        <v>24.541</v>
      </c>
      <c r="P171">
        <v>336.9</v>
      </c>
      <c r="Q171">
        <v>1233.871</v>
      </c>
      <c r="R171" t="b">
        <v>0</v>
      </c>
      <c r="S171" t="b">
        <v>0</v>
      </c>
      <c r="T171" t="b">
        <v>0</v>
      </c>
    </row>
    <row r="172" spans="1:20">
      <c r="A172" t="s">
        <v>438</v>
      </c>
      <c r="B172">
        <v>10</v>
      </c>
      <c r="C172">
        <v>9</v>
      </c>
      <c r="D172" t="s">
        <v>192</v>
      </c>
      <c r="E172" t="s">
        <v>193</v>
      </c>
      <c r="F172" t="s">
        <v>6</v>
      </c>
      <c r="G172">
        <v>20</v>
      </c>
      <c r="H172">
        <v>19</v>
      </c>
      <c r="I172">
        <v>11</v>
      </c>
      <c r="J172" t="s">
        <v>202</v>
      </c>
      <c r="K172">
        <v>122.612</v>
      </c>
      <c r="L172">
        <v>34.561</v>
      </c>
      <c r="M172">
        <v>29.452</v>
      </c>
      <c r="N172">
        <v>34.113</v>
      </c>
      <c r="O172">
        <v>24.486</v>
      </c>
      <c r="P172">
        <v>339.1</v>
      </c>
      <c r="Q172">
        <v>1356.483</v>
      </c>
      <c r="R172" t="b">
        <v>0</v>
      </c>
      <c r="S172" t="b">
        <v>0</v>
      </c>
      <c r="T172" t="b">
        <v>0</v>
      </c>
    </row>
    <row r="173" spans="1:20">
      <c r="A173" t="s">
        <v>438</v>
      </c>
      <c r="B173">
        <v>10</v>
      </c>
      <c r="C173">
        <v>9</v>
      </c>
      <c r="D173" t="s">
        <v>192</v>
      </c>
      <c r="E173" t="s">
        <v>193</v>
      </c>
      <c r="F173" t="s">
        <v>6</v>
      </c>
      <c r="G173">
        <v>20</v>
      </c>
      <c r="H173">
        <v>19</v>
      </c>
      <c r="I173">
        <v>12</v>
      </c>
      <c r="J173" t="s">
        <v>203</v>
      </c>
      <c r="K173">
        <v>122.682</v>
      </c>
      <c r="L173">
        <v>34.583</v>
      </c>
      <c r="M173">
        <v>29.547</v>
      </c>
      <c r="N173">
        <v>34.02</v>
      </c>
      <c r="O173">
        <v>24.532</v>
      </c>
      <c r="P173">
        <v>339.1</v>
      </c>
      <c r="Q173">
        <v>1479.165</v>
      </c>
      <c r="R173" t="b">
        <v>0</v>
      </c>
      <c r="S173" t="b">
        <v>0</v>
      </c>
      <c r="T173" t="b">
        <v>0</v>
      </c>
    </row>
    <row r="174" spans="1:20">
      <c r="A174" t="s">
        <v>438</v>
      </c>
      <c r="B174">
        <v>10</v>
      </c>
      <c r="C174">
        <v>9</v>
      </c>
      <c r="D174" t="s">
        <v>192</v>
      </c>
      <c r="E174" t="s">
        <v>193</v>
      </c>
      <c r="F174" t="s">
        <v>6</v>
      </c>
      <c r="G174">
        <v>20</v>
      </c>
      <c r="H174">
        <v>19</v>
      </c>
      <c r="I174">
        <v>13</v>
      </c>
      <c r="J174" t="s">
        <v>204</v>
      </c>
      <c r="K174">
        <v>122.824</v>
      </c>
      <c r="L174">
        <v>34.699</v>
      </c>
      <c r="M174">
        <v>29.606</v>
      </c>
      <c r="N174">
        <v>34.047</v>
      </c>
      <c r="O174">
        <v>24.472</v>
      </c>
      <c r="P174">
        <v>336.9</v>
      </c>
      <c r="Q174">
        <v>1601.989</v>
      </c>
      <c r="R174" t="b">
        <v>0</v>
      </c>
      <c r="S174" t="b">
        <v>0</v>
      </c>
      <c r="T174" t="b">
        <v>0</v>
      </c>
    </row>
    <row r="175" spans="1:20">
      <c r="A175" t="s">
        <v>438</v>
      </c>
      <c r="B175">
        <v>10</v>
      </c>
      <c r="C175">
        <v>9</v>
      </c>
      <c r="D175" t="s">
        <v>192</v>
      </c>
      <c r="E175" t="s">
        <v>193</v>
      </c>
      <c r="F175" t="s">
        <v>6</v>
      </c>
      <c r="G175">
        <v>20</v>
      </c>
      <c r="H175">
        <v>19</v>
      </c>
      <c r="I175">
        <v>14</v>
      </c>
      <c r="J175" t="s">
        <v>205</v>
      </c>
      <c r="K175">
        <v>122.834</v>
      </c>
      <c r="L175">
        <v>34.695</v>
      </c>
      <c r="M175">
        <v>29.639</v>
      </c>
      <c r="N175">
        <v>34.02</v>
      </c>
      <c r="O175">
        <v>24.48</v>
      </c>
      <c r="P175">
        <v>336.9</v>
      </c>
      <c r="Q175">
        <v>1724.823</v>
      </c>
      <c r="R175" t="b">
        <v>0</v>
      </c>
      <c r="S175" t="b">
        <v>0</v>
      </c>
      <c r="T175" t="b">
        <v>0</v>
      </c>
    </row>
    <row r="176" spans="1:20">
      <c r="A176" t="s">
        <v>438</v>
      </c>
      <c r="B176">
        <v>10</v>
      </c>
      <c r="C176">
        <v>9</v>
      </c>
      <c r="D176" t="s">
        <v>192</v>
      </c>
      <c r="E176" t="s">
        <v>193</v>
      </c>
      <c r="F176" t="s">
        <v>6</v>
      </c>
      <c r="G176">
        <v>20</v>
      </c>
      <c r="H176">
        <v>19</v>
      </c>
      <c r="I176">
        <v>15</v>
      </c>
      <c r="J176" t="s">
        <v>146</v>
      </c>
      <c r="K176">
        <v>123.284</v>
      </c>
      <c r="L176">
        <v>34.681</v>
      </c>
      <c r="M176">
        <v>29.932</v>
      </c>
      <c r="N176">
        <v>34.179</v>
      </c>
      <c r="O176">
        <v>24.492</v>
      </c>
      <c r="P176">
        <v>336.9</v>
      </c>
      <c r="Q176">
        <v>1848.107</v>
      </c>
      <c r="R176" t="b">
        <v>0</v>
      </c>
      <c r="S176" t="b">
        <v>0</v>
      </c>
      <c r="T176" t="b">
        <v>0</v>
      </c>
    </row>
    <row r="177" spans="1:20">
      <c r="A177" t="s">
        <v>438</v>
      </c>
      <c r="B177">
        <v>10</v>
      </c>
      <c r="C177">
        <v>9</v>
      </c>
      <c r="D177" t="s">
        <v>192</v>
      </c>
      <c r="E177" t="s">
        <v>193</v>
      </c>
      <c r="F177" t="s">
        <v>6</v>
      </c>
      <c r="G177">
        <v>20</v>
      </c>
      <c r="H177">
        <v>19</v>
      </c>
      <c r="I177">
        <v>16</v>
      </c>
      <c r="J177" t="s">
        <v>206</v>
      </c>
      <c r="K177">
        <v>123.263</v>
      </c>
      <c r="L177">
        <v>34.587</v>
      </c>
      <c r="M177">
        <v>29.696</v>
      </c>
      <c r="N177">
        <v>34.191</v>
      </c>
      <c r="O177">
        <v>24.789</v>
      </c>
      <c r="P177">
        <v>338</v>
      </c>
      <c r="Q177">
        <v>1971.37</v>
      </c>
      <c r="R177" t="b">
        <v>0</v>
      </c>
      <c r="S177" t="b">
        <v>0</v>
      </c>
      <c r="T177" t="b">
        <v>0</v>
      </c>
    </row>
    <row r="178" spans="1:20">
      <c r="A178" t="s">
        <v>438</v>
      </c>
      <c r="B178">
        <v>10</v>
      </c>
      <c r="C178">
        <v>9</v>
      </c>
      <c r="D178" t="s">
        <v>192</v>
      </c>
      <c r="E178" t="s">
        <v>193</v>
      </c>
      <c r="F178" t="s">
        <v>6</v>
      </c>
      <c r="G178">
        <v>20</v>
      </c>
      <c r="H178">
        <v>19</v>
      </c>
      <c r="I178">
        <v>17</v>
      </c>
      <c r="J178" t="s">
        <v>207</v>
      </c>
      <c r="K178">
        <v>123.318</v>
      </c>
      <c r="L178">
        <v>34.753</v>
      </c>
      <c r="M178">
        <v>29.725</v>
      </c>
      <c r="N178">
        <v>34.258</v>
      </c>
      <c r="O178">
        <v>24.582</v>
      </c>
      <c r="P178">
        <v>334.8</v>
      </c>
      <c r="Q178">
        <v>2094.688</v>
      </c>
      <c r="R178" t="b">
        <v>0</v>
      </c>
      <c r="S178" t="b">
        <v>0</v>
      </c>
      <c r="T178" t="b">
        <v>0</v>
      </c>
    </row>
    <row r="179" spans="1:20">
      <c r="A179" t="s">
        <v>438</v>
      </c>
      <c r="B179">
        <v>10</v>
      </c>
      <c r="C179">
        <v>9</v>
      </c>
      <c r="D179" t="s">
        <v>192</v>
      </c>
      <c r="E179" t="s">
        <v>193</v>
      </c>
      <c r="F179" t="s">
        <v>6</v>
      </c>
      <c r="G179">
        <v>20</v>
      </c>
      <c r="H179">
        <v>19</v>
      </c>
      <c r="I179">
        <v>18</v>
      </c>
      <c r="J179" t="s">
        <v>208</v>
      </c>
      <c r="K179">
        <v>123.102</v>
      </c>
      <c r="L179">
        <v>34.712</v>
      </c>
      <c r="M179">
        <v>29.66</v>
      </c>
      <c r="N179">
        <v>34.135</v>
      </c>
      <c r="O179">
        <v>24.595</v>
      </c>
      <c r="P179">
        <v>338</v>
      </c>
      <c r="Q179">
        <v>2217.79</v>
      </c>
      <c r="R179" t="b">
        <v>0</v>
      </c>
      <c r="S179" t="b">
        <v>0</v>
      </c>
      <c r="T179" t="b">
        <v>0</v>
      </c>
    </row>
    <row r="180" spans="1:20">
      <c r="A180" t="s">
        <v>438</v>
      </c>
      <c r="B180">
        <v>10</v>
      </c>
      <c r="C180">
        <v>9</v>
      </c>
      <c r="D180" t="s">
        <v>192</v>
      </c>
      <c r="E180" t="s">
        <v>193</v>
      </c>
      <c r="F180" t="s">
        <v>6</v>
      </c>
      <c r="G180">
        <v>20</v>
      </c>
      <c r="H180">
        <v>19</v>
      </c>
      <c r="I180">
        <v>19</v>
      </c>
      <c r="J180" t="s">
        <v>209</v>
      </c>
      <c r="K180">
        <v>123.649</v>
      </c>
      <c r="L180">
        <v>34.73</v>
      </c>
      <c r="M180">
        <v>29.788</v>
      </c>
      <c r="N180">
        <v>34.409</v>
      </c>
      <c r="O180">
        <v>24.722</v>
      </c>
      <c r="P180">
        <v>338</v>
      </c>
      <c r="Q180">
        <v>2341.439</v>
      </c>
      <c r="R180" t="b">
        <v>0</v>
      </c>
      <c r="S180" t="b">
        <v>0</v>
      </c>
      <c r="T180" t="b">
        <v>0</v>
      </c>
    </row>
    <row r="181" spans="1:20">
      <c r="A181" t="s">
        <v>438</v>
      </c>
      <c r="B181">
        <v>10</v>
      </c>
      <c r="C181">
        <v>9</v>
      </c>
      <c r="D181" t="s">
        <v>192</v>
      </c>
      <c r="E181" t="s">
        <v>193</v>
      </c>
      <c r="F181" t="s">
        <v>6</v>
      </c>
      <c r="G181">
        <v>20</v>
      </c>
      <c r="H181">
        <v>19</v>
      </c>
      <c r="I181">
        <v>20</v>
      </c>
      <c r="J181" t="s">
        <v>210</v>
      </c>
      <c r="K181">
        <v>123.685</v>
      </c>
      <c r="L181">
        <v>34.82</v>
      </c>
      <c r="M181">
        <v>29.581</v>
      </c>
      <c r="N181">
        <v>34.307</v>
      </c>
      <c r="O181">
        <v>24.977</v>
      </c>
      <c r="P181">
        <v>344.7</v>
      </c>
      <c r="Q181">
        <v>2465.124</v>
      </c>
      <c r="R181" t="b">
        <v>0</v>
      </c>
      <c r="S181" t="b">
        <v>0</v>
      </c>
      <c r="T181" t="b">
        <v>0</v>
      </c>
    </row>
    <row r="182" spans="1:20">
      <c r="A182" t="s">
        <v>439</v>
      </c>
      <c r="B182">
        <v>63</v>
      </c>
      <c r="C182">
        <v>10</v>
      </c>
      <c r="D182" t="s">
        <v>112</v>
      </c>
      <c r="E182" t="s">
        <v>91</v>
      </c>
      <c r="F182" t="s">
        <v>6</v>
      </c>
      <c r="G182">
        <v>20</v>
      </c>
      <c r="H182">
        <v>17</v>
      </c>
      <c r="I182">
        <v>1</v>
      </c>
      <c r="J182" t="s">
        <v>212</v>
      </c>
      <c r="K182">
        <v>124.501</v>
      </c>
      <c r="L182">
        <v>35.428</v>
      </c>
      <c r="M182">
        <v>29.89</v>
      </c>
      <c r="N182">
        <v>34.608</v>
      </c>
      <c r="O182">
        <v>24.575</v>
      </c>
      <c r="P182">
        <v>341.3</v>
      </c>
      <c r="Q182">
        <v>124.501</v>
      </c>
      <c r="R182" t="b">
        <v>0</v>
      </c>
      <c r="S182" t="b">
        <v>0</v>
      </c>
      <c r="T182" t="b">
        <v>0</v>
      </c>
    </row>
    <row r="183" spans="1:20">
      <c r="A183" t="s">
        <v>439</v>
      </c>
      <c r="B183">
        <v>63</v>
      </c>
      <c r="C183">
        <v>10</v>
      </c>
      <c r="D183" t="s">
        <v>112</v>
      </c>
      <c r="E183" t="s">
        <v>91</v>
      </c>
      <c r="F183" t="s">
        <v>6</v>
      </c>
      <c r="G183">
        <v>20</v>
      </c>
      <c r="H183">
        <v>17</v>
      </c>
      <c r="I183">
        <v>2</v>
      </c>
      <c r="J183" t="s">
        <v>213</v>
      </c>
      <c r="K183">
        <v>123.268</v>
      </c>
      <c r="L183">
        <v>34.883</v>
      </c>
      <c r="M183">
        <v>29.944</v>
      </c>
      <c r="N183">
        <v>34.039</v>
      </c>
      <c r="O183">
        <v>24.402</v>
      </c>
      <c r="P183">
        <v>340.2</v>
      </c>
      <c r="Q183">
        <v>247.769</v>
      </c>
      <c r="R183" t="b">
        <v>0</v>
      </c>
      <c r="S183" t="b">
        <v>0</v>
      </c>
      <c r="T183" t="b">
        <v>0</v>
      </c>
    </row>
    <row r="184" spans="1:20">
      <c r="A184" t="s">
        <v>439</v>
      </c>
      <c r="B184">
        <v>63</v>
      </c>
      <c r="C184">
        <v>10</v>
      </c>
      <c r="D184" t="s">
        <v>112</v>
      </c>
      <c r="E184" t="s">
        <v>91</v>
      </c>
      <c r="F184" t="s">
        <v>6</v>
      </c>
      <c r="G184">
        <v>20</v>
      </c>
      <c r="H184">
        <v>17</v>
      </c>
      <c r="I184">
        <v>3</v>
      </c>
      <c r="J184" t="s">
        <v>140</v>
      </c>
      <c r="K184">
        <v>122.502</v>
      </c>
      <c r="L184">
        <v>34.418</v>
      </c>
      <c r="M184">
        <v>29.712</v>
      </c>
      <c r="N184">
        <v>34.028</v>
      </c>
      <c r="O184">
        <v>24.344</v>
      </c>
      <c r="P184">
        <v>338</v>
      </c>
      <c r="Q184">
        <v>370.271</v>
      </c>
      <c r="R184" t="b">
        <v>0</v>
      </c>
      <c r="S184" t="b">
        <v>0</v>
      </c>
      <c r="T184" t="b">
        <v>0</v>
      </c>
    </row>
    <row r="185" spans="1:20">
      <c r="A185" t="s">
        <v>439</v>
      </c>
      <c r="B185">
        <v>63</v>
      </c>
      <c r="C185">
        <v>10</v>
      </c>
      <c r="D185" t="s">
        <v>112</v>
      </c>
      <c r="E185" t="s">
        <v>91</v>
      </c>
      <c r="F185" t="s">
        <v>6</v>
      </c>
      <c r="G185">
        <v>20</v>
      </c>
      <c r="H185">
        <v>17</v>
      </c>
      <c r="I185">
        <v>4</v>
      </c>
      <c r="J185" t="s">
        <v>214</v>
      </c>
      <c r="K185">
        <v>122.573</v>
      </c>
      <c r="L185">
        <v>34.62</v>
      </c>
      <c r="M185">
        <v>29.668</v>
      </c>
      <c r="N185">
        <v>33.845</v>
      </c>
      <c r="O185">
        <v>24.44</v>
      </c>
      <c r="P185">
        <v>339.1</v>
      </c>
      <c r="Q185">
        <v>492.844</v>
      </c>
      <c r="R185" t="b">
        <v>0</v>
      </c>
      <c r="S185" t="b">
        <v>0</v>
      </c>
      <c r="T185" t="b">
        <v>0</v>
      </c>
    </row>
    <row r="186" spans="1:20">
      <c r="A186" t="s">
        <v>439</v>
      </c>
      <c r="B186">
        <v>63</v>
      </c>
      <c r="C186">
        <v>10</v>
      </c>
      <c r="D186" t="s">
        <v>112</v>
      </c>
      <c r="E186" t="s">
        <v>91</v>
      </c>
      <c r="F186" t="s">
        <v>6</v>
      </c>
      <c r="G186">
        <v>20</v>
      </c>
      <c r="H186">
        <v>17</v>
      </c>
      <c r="I186">
        <v>5</v>
      </c>
      <c r="J186" t="s">
        <v>215</v>
      </c>
      <c r="K186">
        <v>122.454</v>
      </c>
      <c r="L186">
        <v>34.493</v>
      </c>
      <c r="M186">
        <v>29.558</v>
      </c>
      <c r="N186">
        <v>34.027</v>
      </c>
      <c r="O186">
        <v>24.376</v>
      </c>
      <c r="P186">
        <v>338</v>
      </c>
      <c r="Q186">
        <v>615.298</v>
      </c>
      <c r="R186" t="b">
        <v>0</v>
      </c>
      <c r="S186" t="b">
        <v>0</v>
      </c>
      <c r="T186" t="b">
        <v>0</v>
      </c>
    </row>
    <row r="187" spans="1:20">
      <c r="A187" t="s">
        <v>439</v>
      </c>
      <c r="B187">
        <v>63</v>
      </c>
      <c r="C187">
        <v>10</v>
      </c>
      <c r="D187" t="s">
        <v>112</v>
      </c>
      <c r="E187" t="s">
        <v>91</v>
      </c>
      <c r="F187" t="s">
        <v>6</v>
      </c>
      <c r="G187">
        <v>20</v>
      </c>
      <c r="H187">
        <v>17</v>
      </c>
      <c r="I187">
        <v>6</v>
      </c>
      <c r="J187" t="s">
        <v>216</v>
      </c>
      <c r="K187">
        <v>122.305</v>
      </c>
      <c r="L187">
        <v>34.504</v>
      </c>
      <c r="M187">
        <v>29.626</v>
      </c>
      <c r="N187">
        <v>33.781</v>
      </c>
      <c r="O187">
        <v>24.394</v>
      </c>
      <c r="P187">
        <v>339.1</v>
      </c>
      <c r="Q187">
        <v>737.603</v>
      </c>
      <c r="R187" t="b">
        <v>0</v>
      </c>
      <c r="S187" t="b">
        <v>0</v>
      </c>
      <c r="T187" t="b">
        <v>0</v>
      </c>
    </row>
    <row r="188" spans="1:20">
      <c r="A188" t="s">
        <v>439</v>
      </c>
      <c r="B188">
        <v>63</v>
      </c>
      <c r="C188">
        <v>10</v>
      </c>
      <c r="D188" t="s">
        <v>112</v>
      </c>
      <c r="E188" t="s">
        <v>91</v>
      </c>
      <c r="F188" t="s">
        <v>6</v>
      </c>
      <c r="G188">
        <v>20</v>
      </c>
      <c r="H188">
        <v>17</v>
      </c>
      <c r="I188">
        <v>7</v>
      </c>
      <c r="J188" t="s">
        <v>217</v>
      </c>
      <c r="K188">
        <v>122.296</v>
      </c>
      <c r="L188">
        <v>34.511</v>
      </c>
      <c r="M188">
        <v>29.597</v>
      </c>
      <c r="N188">
        <v>33.787</v>
      </c>
      <c r="O188">
        <v>24.401</v>
      </c>
      <c r="P188">
        <v>341.3</v>
      </c>
      <c r="Q188">
        <v>859.899</v>
      </c>
      <c r="R188" t="b">
        <v>0</v>
      </c>
      <c r="S188" t="b">
        <v>0</v>
      </c>
      <c r="T188" t="b">
        <v>0</v>
      </c>
    </row>
    <row r="189" spans="1:20">
      <c r="A189" t="s">
        <v>439</v>
      </c>
      <c r="B189">
        <v>63</v>
      </c>
      <c r="C189">
        <v>10</v>
      </c>
      <c r="D189" t="s">
        <v>112</v>
      </c>
      <c r="E189" t="s">
        <v>91</v>
      </c>
      <c r="F189" t="s">
        <v>6</v>
      </c>
      <c r="G189">
        <v>20</v>
      </c>
      <c r="H189">
        <v>17</v>
      </c>
      <c r="I189">
        <v>8</v>
      </c>
      <c r="J189" t="s">
        <v>218</v>
      </c>
      <c r="K189">
        <v>122.344</v>
      </c>
      <c r="L189">
        <v>34.36</v>
      </c>
      <c r="M189">
        <v>29.603</v>
      </c>
      <c r="N189">
        <v>33.877</v>
      </c>
      <c r="O189">
        <v>24.504</v>
      </c>
      <c r="P189">
        <v>342.4</v>
      </c>
      <c r="Q189">
        <v>982.2430000000001</v>
      </c>
      <c r="R189" t="b">
        <v>0</v>
      </c>
      <c r="S189" t="b">
        <v>0</v>
      </c>
      <c r="T189" t="b">
        <v>0</v>
      </c>
    </row>
    <row r="190" spans="1:20">
      <c r="A190" t="s">
        <v>439</v>
      </c>
      <c r="B190">
        <v>63</v>
      </c>
      <c r="C190">
        <v>10</v>
      </c>
      <c r="D190" t="s">
        <v>112</v>
      </c>
      <c r="E190" t="s">
        <v>91</v>
      </c>
      <c r="F190" t="s">
        <v>6</v>
      </c>
      <c r="G190">
        <v>20</v>
      </c>
      <c r="H190">
        <v>17</v>
      </c>
      <c r="I190">
        <v>9</v>
      </c>
      <c r="J190" t="s">
        <v>219</v>
      </c>
      <c r="K190">
        <v>122.62</v>
      </c>
      <c r="L190">
        <v>34.418</v>
      </c>
      <c r="M190">
        <v>29.653</v>
      </c>
      <c r="N190">
        <v>33.931</v>
      </c>
      <c r="O190">
        <v>24.618</v>
      </c>
      <c r="P190">
        <v>344.7</v>
      </c>
      <c r="Q190">
        <v>1104.863</v>
      </c>
      <c r="R190" t="b">
        <v>1</v>
      </c>
      <c r="S190" t="b">
        <v>0</v>
      </c>
      <c r="T190" t="b">
        <v>0</v>
      </c>
    </row>
    <row r="191" spans="1:20">
      <c r="A191" t="s">
        <v>439</v>
      </c>
      <c r="B191">
        <v>63</v>
      </c>
      <c r="C191">
        <v>10</v>
      </c>
      <c r="D191" t="s">
        <v>112</v>
      </c>
      <c r="E191" t="s">
        <v>91</v>
      </c>
      <c r="F191" t="s">
        <v>6</v>
      </c>
      <c r="G191">
        <v>20</v>
      </c>
      <c r="H191">
        <v>17</v>
      </c>
      <c r="I191">
        <v>10</v>
      </c>
      <c r="J191" t="s">
        <v>220</v>
      </c>
      <c r="K191">
        <v>122.681</v>
      </c>
      <c r="L191">
        <v>34.61</v>
      </c>
      <c r="M191">
        <v>29.624</v>
      </c>
      <c r="N191">
        <v>33.914</v>
      </c>
      <c r="O191">
        <v>24.533</v>
      </c>
      <c r="P191">
        <v>341.3</v>
      </c>
      <c r="Q191">
        <v>1227.544</v>
      </c>
      <c r="R191" t="b">
        <v>0</v>
      </c>
      <c r="S191" t="b">
        <v>0</v>
      </c>
      <c r="T191" t="b">
        <v>0</v>
      </c>
    </row>
    <row r="192" spans="1:20">
      <c r="A192" t="s">
        <v>439</v>
      </c>
      <c r="B192">
        <v>63</v>
      </c>
      <c r="C192">
        <v>10</v>
      </c>
      <c r="D192" t="s">
        <v>112</v>
      </c>
      <c r="E192" t="s">
        <v>91</v>
      </c>
      <c r="F192" t="s">
        <v>6</v>
      </c>
      <c r="G192">
        <v>20</v>
      </c>
      <c r="H192">
        <v>17</v>
      </c>
      <c r="I192">
        <v>11</v>
      </c>
      <c r="J192" t="s">
        <v>221</v>
      </c>
      <c r="K192">
        <v>123.165</v>
      </c>
      <c r="L192">
        <v>34.474</v>
      </c>
      <c r="M192">
        <v>29.647</v>
      </c>
      <c r="N192">
        <v>34.109</v>
      </c>
      <c r="O192">
        <v>24.935</v>
      </c>
      <c r="P192">
        <v>342.4</v>
      </c>
      <c r="Q192">
        <v>1350.709</v>
      </c>
      <c r="R192" t="b">
        <v>0</v>
      </c>
      <c r="S192" t="b">
        <v>0</v>
      </c>
      <c r="T192" t="b">
        <v>0</v>
      </c>
    </row>
    <row r="193" spans="1:20">
      <c r="A193" t="s">
        <v>439</v>
      </c>
      <c r="B193">
        <v>63</v>
      </c>
      <c r="C193">
        <v>10</v>
      </c>
      <c r="D193" t="s">
        <v>112</v>
      </c>
      <c r="E193" t="s">
        <v>91</v>
      </c>
      <c r="F193" t="s">
        <v>6</v>
      </c>
      <c r="G193">
        <v>20</v>
      </c>
      <c r="H193">
        <v>17</v>
      </c>
      <c r="I193">
        <v>12</v>
      </c>
      <c r="J193" t="s">
        <v>222</v>
      </c>
      <c r="K193">
        <v>122.838</v>
      </c>
      <c r="L193">
        <v>34.583</v>
      </c>
      <c r="M193">
        <v>29.767</v>
      </c>
      <c r="N193">
        <v>33.965</v>
      </c>
      <c r="O193">
        <v>24.523</v>
      </c>
      <c r="P193">
        <v>343.5</v>
      </c>
      <c r="Q193">
        <v>1473.547</v>
      </c>
      <c r="R193" t="b">
        <v>0</v>
      </c>
      <c r="S193" t="b">
        <v>0</v>
      </c>
      <c r="T193" t="b">
        <v>0</v>
      </c>
    </row>
    <row r="194" spans="1:20">
      <c r="A194" t="s">
        <v>439</v>
      </c>
      <c r="B194">
        <v>63</v>
      </c>
      <c r="C194">
        <v>10</v>
      </c>
      <c r="D194" t="s">
        <v>112</v>
      </c>
      <c r="E194" t="s">
        <v>91</v>
      </c>
      <c r="F194" t="s">
        <v>6</v>
      </c>
      <c r="G194">
        <v>20</v>
      </c>
      <c r="H194">
        <v>17</v>
      </c>
      <c r="I194">
        <v>13</v>
      </c>
      <c r="J194" t="s">
        <v>223</v>
      </c>
      <c r="K194">
        <v>123.341</v>
      </c>
      <c r="L194">
        <v>34.642</v>
      </c>
      <c r="M194">
        <v>29.992</v>
      </c>
      <c r="N194">
        <v>34.049</v>
      </c>
      <c r="O194">
        <v>24.658</v>
      </c>
      <c r="P194">
        <v>340.2</v>
      </c>
      <c r="Q194">
        <v>1596.888</v>
      </c>
      <c r="R194" t="b">
        <v>0</v>
      </c>
      <c r="S194" t="b">
        <v>0</v>
      </c>
      <c r="T194" t="b">
        <v>0</v>
      </c>
    </row>
    <row r="195" spans="1:20">
      <c r="A195" t="s">
        <v>439</v>
      </c>
      <c r="B195">
        <v>63</v>
      </c>
      <c r="C195">
        <v>10</v>
      </c>
      <c r="D195" t="s">
        <v>112</v>
      </c>
      <c r="E195" t="s">
        <v>91</v>
      </c>
      <c r="F195" t="s">
        <v>6</v>
      </c>
      <c r="G195">
        <v>20</v>
      </c>
      <c r="H195">
        <v>17</v>
      </c>
      <c r="I195">
        <v>14</v>
      </c>
      <c r="J195" t="s">
        <v>224</v>
      </c>
      <c r="K195">
        <v>123.668</v>
      </c>
      <c r="L195">
        <v>34.936</v>
      </c>
      <c r="M195">
        <v>29.964</v>
      </c>
      <c r="N195">
        <v>34.058</v>
      </c>
      <c r="O195">
        <v>24.71</v>
      </c>
      <c r="P195">
        <v>339.1</v>
      </c>
      <c r="Q195">
        <v>1720.556</v>
      </c>
      <c r="R195" t="b">
        <v>0</v>
      </c>
      <c r="S195" t="b">
        <v>0</v>
      </c>
      <c r="T195" t="b">
        <v>0</v>
      </c>
    </row>
    <row r="196" spans="1:20">
      <c r="A196" t="s">
        <v>439</v>
      </c>
      <c r="B196">
        <v>63</v>
      </c>
      <c r="C196">
        <v>10</v>
      </c>
      <c r="D196" t="s">
        <v>112</v>
      </c>
      <c r="E196" t="s">
        <v>91</v>
      </c>
      <c r="F196" t="s">
        <v>6</v>
      </c>
      <c r="G196">
        <v>20</v>
      </c>
      <c r="H196">
        <v>17</v>
      </c>
      <c r="I196">
        <v>15</v>
      </c>
      <c r="J196" t="s">
        <v>225</v>
      </c>
      <c r="K196">
        <v>123.223</v>
      </c>
      <c r="L196">
        <v>34.861</v>
      </c>
      <c r="M196">
        <v>29.734</v>
      </c>
      <c r="N196">
        <v>34.031</v>
      </c>
      <c r="O196">
        <v>24.597</v>
      </c>
      <c r="P196">
        <v>338</v>
      </c>
      <c r="Q196">
        <v>1843.779</v>
      </c>
      <c r="R196" t="b">
        <v>0</v>
      </c>
      <c r="S196" t="b">
        <v>0</v>
      </c>
      <c r="T196" t="b">
        <v>0</v>
      </c>
    </row>
    <row r="197" spans="1:20">
      <c r="A197" t="s">
        <v>439</v>
      </c>
      <c r="B197">
        <v>63</v>
      </c>
      <c r="C197">
        <v>10</v>
      </c>
      <c r="D197" t="s">
        <v>112</v>
      </c>
      <c r="E197" t="s">
        <v>91</v>
      </c>
      <c r="F197" t="s">
        <v>6</v>
      </c>
      <c r="G197">
        <v>20</v>
      </c>
      <c r="H197">
        <v>17</v>
      </c>
      <c r="I197">
        <v>16</v>
      </c>
      <c r="J197" t="s">
        <v>226</v>
      </c>
      <c r="K197">
        <v>123.621</v>
      </c>
      <c r="L197">
        <v>34.665</v>
      </c>
      <c r="M197">
        <v>30.152</v>
      </c>
      <c r="N197">
        <v>34.138</v>
      </c>
      <c r="O197">
        <v>24.666</v>
      </c>
      <c r="P197">
        <v>341.3</v>
      </c>
      <c r="Q197">
        <v>1967.4</v>
      </c>
      <c r="R197" t="b">
        <v>1</v>
      </c>
      <c r="S197" t="b">
        <v>0</v>
      </c>
      <c r="T197" t="b">
        <v>0</v>
      </c>
    </row>
    <row r="198" spans="1:20">
      <c r="A198" t="s">
        <v>439</v>
      </c>
      <c r="B198">
        <v>63</v>
      </c>
      <c r="C198">
        <v>10</v>
      </c>
      <c r="D198" t="s">
        <v>112</v>
      </c>
      <c r="E198" t="s">
        <v>91</v>
      </c>
      <c r="F198" t="s">
        <v>6</v>
      </c>
      <c r="G198">
        <v>20</v>
      </c>
      <c r="H198">
        <v>17</v>
      </c>
      <c r="I198">
        <v>17</v>
      </c>
      <c r="J198" t="s">
        <v>227</v>
      </c>
      <c r="K198">
        <v>123.073</v>
      </c>
      <c r="L198">
        <v>34.69</v>
      </c>
      <c r="M198">
        <v>29.658</v>
      </c>
      <c r="N198">
        <v>34.022</v>
      </c>
      <c r="O198">
        <v>24.703</v>
      </c>
      <c r="P198">
        <v>338</v>
      </c>
      <c r="Q198">
        <v>2090.473</v>
      </c>
      <c r="R198" t="b">
        <v>0</v>
      </c>
      <c r="S198" t="b">
        <v>0</v>
      </c>
      <c r="T198" t="b">
        <v>0</v>
      </c>
    </row>
    <row r="199" spans="1:20">
      <c r="A199" t="s">
        <v>439</v>
      </c>
      <c r="B199">
        <v>63</v>
      </c>
      <c r="C199">
        <v>10</v>
      </c>
      <c r="D199" t="s">
        <v>112</v>
      </c>
      <c r="E199" t="s">
        <v>91</v>
      </c>
      <c r="F199" t="s">
        <v>6</v>
      </c>
      <c r="G199">
        <v>20</v>
      </c>
      <c r="H199">
        <v>17</v>
      </c>
      <c r="I199">
        <v>18</v>
      </c>
      <c r="J199" t="s">
        <v>228</v>
      </c>
      <c r="K199">
        <v>124.321</v>
      </c>
      <c r="L199">
        <v>34.738</v>
      </c>
      <c r="M199">
        <v>30.451</v>
      </c>
      <c r="N199">
        <v>34.3</v>
      </c>
      <c r="O199">
        <v>24.832</v>
      </c>
      <c r="P199">
        <v>344.7</v>
      </c>
      <c r="Q199">
        <v>2214.794</v>
      </c>
      <c r="R199" t="b">
        <v>0</v>
      </c>
      <c r="S199" t="b">
        <v>0</v>
      </c>
      <c r="T199" t="b">
        <v>0</v>
      </c>
    </row>
    <row r="200" spans="1:20">
      <c r="A200" t="s">
        <v>439</v>
      </c>
      <c r="B200">
        <v>63</v>
      </c>
      <c r="C200">
        <v>10</v>
      </c>
      <c r="D200" t="s">
        <v>112</v>
      </c>
      <c r="E200" t="s">
        <v>91</v>
      </c>
      <c r="F200" t="s">
        <v>6</v>
      </c>
      <c r="G200">
        <v>20</v>
      </c>
      <c r="H200">
        <v>17</v>
      </c>
      <c r="I200">
        <v>19</v>
      </c>
      <c r="J200" t="s">
        <v>229</v>
      </c>
      <c r="K200">
        <v>125.104</v>
      </c>
      <c r="L200">
        <v>34.975</v>
      </c>
      <c r="M200">
        <v>30.149</v>
      </c>
      <c r="N200">
        <v>34.658</v>
      </c>
      <c r="O200">
        <v>25.322</v>
      </c>
      <c r="P200">
        <v>344.7</v>
      </c>
      <c r="Q200">
        <v>2339.898</v>
      </c>
      <c r="R200" t="b">
        <v>0</v>
      </c>
      <c r="S200" t="b">
        <v>0</v>
      </c>
      <c r="T200" t="b">
        <v>0</v>
      </c>
    </row>
    <row r="201" spans="1:20">
      <c r="A201" t="s">
        <v>439</v>
      </c>
      <c r="B201">
        <v>63</v>
      </c>
      <c r="C201">
        <v>10</v>
      </c>
      <c r="D201" t="s">
        <v>112</v>
      </c>
      <c r="E201" t="s">
        <v>91</v>
      </c>
      <c r="F201" t="s">
        <v>6</v>
      </c>
      <c r="G201">
        <v>20</v>
      </c>
      <c r="H201">
        <v>17</v>
      </c>
      <c r="I201">
        <v>20</v>
      </c>
      <c r="J201" t="s">
        <v>230</v>
      </c>
      <c r="K201">
        <v>125.299</v>
      </c>
      <c r="L201">
        <v>35.624</v>
      </c>
      <c r="M201">
        <v>30.135</v>
      </c>
      <c r="N201">
        <v>34.326</v>
      </c>
      <c r="O201">
        <v>25.214</v>
      </c>
      <c r="P201">
        <v>340.2</v>
      </c>
      <c r="Q201">
        <v>2465.197</v>
      </c>
      <c r="R201" t="b">
        <v>0</v>
      </c>
      <c r="S201" t="b">
        <v>0</v>
      </c>
      <c r="T201" t="b">
        <v>0</v>
      </c>
    </row>
    <row r="202" spans="1:20">
      <c r="A202" t="s">
        <v>440</v>
      </c>
      <c r="B202">
        <v>54</v>
      </c>
      <c r="C202">
        <v>11</v>
      </c>
      <c r="D202" t="s">
        <v>152</v>
      </c>
      <c r="E202" t="s">
        <v>91</v>
      </c>
      <c r="F202" t="s">
        <v>46</v>
      </c>
      <c r="G202">
        <v>20</v>
      </c>
      <c r="H202">
        <v>18</v>
      </c>
      <c r="I202">
        <v>1</v>
      </c>
      <c r="J202" t="s">
        <v>232</v>
      </c>
      <c r="K202">
        <v>125.115</v>
      </c>
      <c r="L202">
        <v>35.9</v>
      </c>
      <c r="M202">
        <v>30.251</v>
      </c>
      <c r="N202">
        <v>34.441</v>
      </c>
      <c r="O202">
        <v>24.523</v>
      </c>
      <c r="P202">
        <v>336.9</v>
      </c>
      <c r="Q202">
        <v>125.115</v>
      </c>
      <c r="R202" t="b">
        <v>0</v>
      </c>
      <c r="S202" t="b">
        <v>0</v>
      </c>
      <c r="T202" t="b">
        <v>0</v>
      </c>
    </row>
    <row r="203" spans="1:20">
      <c r="A203" t="s">
        <v>440</v>
      </c>
      <c r="B203">
        <v>54</v>
      </c>
      <c r="C203">
        <v>11</v>
      </c>
      <c r="D203" t="s">
        <v>152</v>
      </c>
      <c r="E203" t="s">
        <v>91</v>
      </c>
      <c r="F203" t="s">
        <v>46</v>
      </c>
      <c r="G203">
        <v>20</v>
      </c>
      <c r="H203">
        <v>18</v>
      </c>
      <c r="I203">
        <v>2</v>
      </c>
      <c r="J203" t="s">
        <v>233</v>
      </c>
      <c r="K203">
        <v>123.388</v>
      </c>
      <c r="L203">
        <v>34.799</v>
      </c>
      <c r="M203">
        <v>29.921</v>
      </c>
      <c r="N203">
        <v>34.229</v>
      </c>
      <c r="O203">
        <v>24.439</v>
      </c>
      <c r="P203">
        <v>341.3</v>
      </c>
      <c r="Q203">
        <v>248.503</v>
      </c>
      <c r="R203" t="b">
        <v>0</v>
      </c>
      <c r="S203" t="b">
        <v>0</v>
      </c>
      <c r="T203" t="b">
        <v>0</v>
      </c>
    </row>
    <row r="204" spans="1:20">
      <c r="A204" t="s">
        <v>440</v>
      </c>
      <c r="B204">
        <v>54</v>
      </c>
      <c r="C204">
        <v>11</v>
      </c>
      <c r="D204" t="s">
        <v>152</v>
      </c>
      <c r="E204" t="s">
        <v>91</v>
      </c>
      <c r="F204" t="s">
        <v>46</v>
      </c>
      <c r="G204">
        <v>20</v>
      </c>
      <c r="H204">
        <v>18</v>
      </c>
      <c r="I204">
        <v>3</v>
      </c>
      <c r="J204" t="s">
        <v>234</v>
      </c>
      <c r="K204">
        <v>124.227</v>
      </c>
      <c r="L204">
        <v>35.094</v>
      </c>
      <c r="M204">
        <v>29.965</v>
      </c>
      <c r="N204">
        <v>34.723</v>
      </c>
      <c r="O204">
        <v>24.445</v>
      </c>
      <c r="P204">
        <v>333.7</v>
      </c>
      <c r="Q204">
        <v>372.73</v>
      </c>
      <c r="R204" t="b">
        <v>0</v>
      </c>
      <c r="S204" t="b">
        <v>0</v>
      </c>
      <c r="T204" t="b">
        <v>0</v>
      </c>
    </row>
    <row r="205" spans="1:20">
      <c r="A205" t="s">
        <v>440</v>
      </c>
      <c r="B205">
        <v>54</v>
      </c>
      <c r="C205">
        <v>11</v>
      </c>
      <c r="D205" t="s">
        <v>152</v>
      </c>
      <c r="E205" t="s">
        <v>91</v>
      </c>
      <c r="F205" t="s">
        <v>46</v>
      </c>
      <c r="G205">
        <v>20</v>
      </c>
      <c r="H205">
        <v>18</v>
      </c>
      <c r="I205">
        <v>4</v>
      </c>
      <c r="J205" t="s">
        <v>235</v>
      </c>
      <c r="K205">
        <v>124.106</v>
      </c>
      <c r="L205">
        <v>34.8</v>
      </c>
      <c r="M205">
        <v>30.279</v>
      </c>
      <c r="N205">
        <v>34.342</v>
      </c>
      <c r="O205">
        <v>24.685</v>
      </c>
      <c r="P205">
        <v>334.8</v>
      </c>
      <c r="Q205">
        <v>496.836</v>
      </c>
      <c r="R205" t="b">
        <v>1</v>
      </c>
      <c r="S205" t="b">
        <v>0</v>
      </c>
      <c r="T205" t="b">
        <v>0</v>
      </c>
    </row>
    <row r="206" spans="1:20">
      <c r="A206" t="s">
        <v>440</v>
      </c>
      <c r="B206">
        <v>54</v>
      </c>
      <c r="C206">
        <v>11</v>
      </c>
      <c r="D206" t="s">
        <v>152</v>
      </c>
      <c r="E206" t="s">
        <v>91</v>
      </c>
      <c r="F206" t="s">
        <v>46</v>
      </c>
      <c r="G206">
        <v>20</v>
      </c>
      <c r="H206">
        <v>18</v>
      </c>
      <c r="I206">
        <v>5</v>
      </c>
      <c r="J206" t="s">
        <v>236</v>
      </c>
      <c r="K206">
        <v>124.079</v>
      </c>
      <c r="L206">
        <v>35.47</v>
      </c>
      <c r="M206">
        <v>29.77</v>
      </c>
      <c r="N206">
        <v>34.324</v>
      </c>
      <c r="O206">
        <v>24.515</v>
      </c>
      <c r="P206">
        <v>339.1</v>
      </c>
      <c r="Q206">
        <v>620.915</v>
      </c>
      <c r="R206" t="b">
        <v>0</v>
      </c>
      <c r="S206" t="b">
        <v>0</v>
      </c>
      <c r="T206" t="b">
        <v>0</v>
      </c>
    </row>
    <row r="207" spans="1:20">
      <c r="A207" t="s">
        <v>440</v>
      </c>
      <c r="B207">
        <v>54</v>
      </c>
      <c r="C207">
        <v>11</v>
      </c>
      <c r="D207" t="s">
        <v>152</v>
      </c>
      <c r="E207" t="s">
        <v>91</v>
      </c>
      <c r="F207" t="s">
        <v>46</v>
      </c>
      <c r="G207">
        <v>20</v>
      </c>
      <c r="H207">
        <v>18</v>
      </c>
      <c r="I207">
        <v>6</v>
      </c>
      <c r="J207" t="s">
        <v>237</v>
      </c>
      <c r="K207">
        <v>123.329</v>
      </c>
      <c r="L207">
        <v>34.643</v>
      </c>
      <c r="M207">
        <v>29.848</v>
      </c>
      <c r="N207">
        <v>34.374</v>
      </c>
      <c r="O207">
        <v>24.464</v>
      </c>
      <c r="P207">
        <v>334.8</v>
      </c>
      <c r="Q207">
        <v>744.244</v>
      </c>
      <c r="R207" t="b">
        <v>0</v>
      </c>
      <c r="S207" t="b">
        <v>0</v>
      </c>
      <c r="T207" t="b">
        <v>0</v>
      </c>
    </row>
    <row r="208" spans="1:20">
      <c r="A208" t="s">
        <v>440</v>
      </c>
      <c r="B208">
        <v>54</v>
      </c>
      <c r="C208">
        <v>11</v>
      </c>
      <c r="D208" t="s">
        <v>152</v>
      </c>
      <c r="E208" t="s">
        <v>91</v>
      </c>
      <c r="F208" t="s">
        <v>46</v>
      </c>
      <c r="G208">
        <v>20</v>
      </c>
      <c r="H208">
        <v>18</v>
      </c>
      <c r="I208">
        <v>7</v>
      </c>
      <c r="J208" t="s">
        <v>238</v>
      </c>
      <c r="K208">
        <v>122.918</v>
      </c>
      <c r="L208">
        <v>34.559</v>
      </c>
      <c r="M208">
        <v>29.706</v>
      </c>
      <c r="N208">
        <v>34.144</v>
      </c>
      <c r="O208">
        <v>24.509</v>
      </c>
      <c r="P208">
        <v>338</v>
      </c>
      <c r="Q208">
        <v>867.162</v>
      </c>
      <c r="R208" t="b">
        <v>0</v>
      </c>
      <c r="S208" t="b">
        <v>0</v>
      </c>
      <c r="T208" t="b">
        <v>0</v>
      </c>
    </row>
    <row r="209" spans="1:20">
      <c r="A209" t="s">
        <v>440</v>
      </c>
      <c r="B209">
        <v>54</v>
      </c>
      <c r="C209">
        <v>11</v>
      </c>
      <c r="D209" t="s">
        <v>152</v>
      </c>
      <c r="E209" t="s">
        <v>91</v>
      </c>
      <c r="F209" t="s">
        <v>46</v>
      </c>
      <c r="G209">
        <v>20</v>
      </c>
      <c r="H209">
        <v>18</v>
      </c>
      <c r="I209">
        <v>8</v>
      </c>
      <c r="J209" t="s">
        <v>239</v>
      </c>
      <c r="K209">
        <v>123.082</v>
      </c>
      <c r="L209">
        <v>34.581</v>
      </c>
      <c r="M209">
        <v>29.846</v>
      </c>
      <c r="N209">
        <v>34.135</v>
      </c>
      <c r="O209">
        <v>24.52</v>
      </c>
      <c r="P209">
        <v>338</v>
      </c>
      <c r="Q209">
        <v>990.244</v>
      </c>
      <c r="R209" t="b">
        <v>0</v>
      </c>
      <c r="S209" t="b">
        <v>0</v>
      </c>
      <c r="T209" t="b">
        <v>0</v>
      </c>
    </row>
    <row r="210" spans="1:20">
      <c r="A210" t="s">
        <v>440</v>
      </c>
      <c r="B210">
        <v>54</v>
      </c>
      <c r="C210">
        <v>11</v>
      </c>
      <c r="D210" t="s">
        <v>152</v>
      </c>
      <c r="E210" t="s">
        <v>91</v>
      </c>
      <c r="F210" t="s">
        <v>46</v>
      </c>
      <c r="G210">
        <v>20</v>
      </c>
      <c r="H210">
        <v>18</v>
      </c>
      <c r="I210">
        <v>9</v>
      </c>
      <c r="J210" t="s">
        <v>240</v>
      </c>
      <c r="K210">
        <v>122.99</v>
      </c>
      <c r="L210">
        <v>34.711</v>
      </c>
      <c r="M210">
        <v>29.733</v>
      </c>
      <c r="N210">
        <v>34.041</v>
      </c>
      <c r="O210">
        <v>24.505</v>
      </c>
      <c r="P210">
        <v>333.7</v>
      </c>
      <c r="Q210">
        <v>1113.234</v>
      </c>
      <c r="R210" t="b">
        <v>0</v>
      </c>
      <c r="S210" t="b">
        <v>0</v>
      </c>
      <c r="T210" t="b">
        <v>0</v>
      </c>
    </row>
    <row r="211" spans="1:20">
      <c r="A211" t="s">
        <v>440</v>
      </c>
      <c r="B211">
        <v>54</v>
      </c>
      <c r="C211">
        <v>11</v>
      </c>
      <c r="D211" t="s">
        <v>152</v>
      </c>
      <c r="E211" t="s">
        <v>91</v>
      </c>
      <c r="F211" t="s">
        <v>46</v>
      </c>
      <c r="G211">
        <v>20</v>
      </c>
      <c r="H211">
        <v>18</v>
      </c>
      <c r="I211">
        <v>10</v>
      </c>
      <c r="J211" t="s">
        <v>241</v>
      </c>
      <c r="K211">
        <v>123.283</v>
      </c>
      <c r="L211">
        <v>34.607</v>
      </c>
      <c r="M211">
        <v>29.949</v>
      </c>
      <c r="N211">
        <v>34.092</v>
      </c>
      <c r="O211">
        <v>24.635</v>
      </c>
      <c r="P211">
        <v>331.6</v>
      </c>
      <c r="Q211">
        <v>1236.517</v>
      </c>
      <c r="R211" t="b">
        <v>0</v>
      </c>
      <c r="S211" t="b">
        <v>0</v>
      </c>
      <c r="T211" t="b">
        <v>0</v>
      </c>
    </row>
    <row r="212" spans="1:20">
      <c r="A212" t="s">
        <v>440</v>
      </c>
      <c r="B212">
        <v>54</v>
      </c>
      <c r="C212">
        <v>11</v>
      </c>
      <c r="D212" t="s">
        <v>152</v>
      </c>
      <c r="E212" t="s">
        <v>91</v>
      </c>
      <c r="F212" t="s">
        <v>46</v>
      </c>
      <c r="G212">
        <v>20</v>
      </c>
      <c r="H212">
        <v>18</v>
      </c>
      <c r="I212">
        <v>11</v>
      </c>
      <c r="J212" t="s">
        <v>242</v>
      </c>
      <c r="K212">
        <v>122.863</v>
      </c>
      <c r="L212">
        <v>34.654</v>
      </c>
      <c r="M212">
        <v>29.69</v>
      </c>
      <c r="N212">
        <v>33.998</v>
      </c>
      <c r="O212">
        <v>24.521</v>
      </c>
      <c r="P212">
        <v>333.7</v>
      </c>
      <c r="Q212">
        <v>1359.38</v>
      </c>
      <c r="R212" t="b">
        <v>0</v>
      </c>
      <c r="S212" t="b">
        <v>0</v>
      </c>
      <c r="T212" t="b">
        <v>0</v>
      </c>
    </row>
    <row r="213" spans="1:20">
      <c r="A213" t="s">
        <v>440</v>
      </c>
      <c r="B213">
        <v>54</v>
      </c>
      <c r="C213">
        <v>11</v>
      </c>
      <c r="D213" t="s">
        <v>152</v>
      </c>
      <c r="E213" t="s">
        <v>91</v>
      </c>
      <c r="F213" t="s">
        <v>46</v>
      </c>
      <c r="G213">
        <v>20</v>
      </c>
      <c r="H213">
        <v>18</v>
      </c>
      <c r="I213">
        <v>12</v>
      </c>
      <c r="J213" t="s">
        <v>243</v>
      </c>
      <c r="K213">
        <v>123.471</v>
      </c>
      <c r="L213">
        <v>34.868</v>
      </c>
      <c r="M213">
        <v>29.778</v>
      </c>
      <c r="N213">
        <v>34.178</v>
      </c>
      <c r="O213">
        <v>24.647</v>
      </c>
      <c r="P213">
        <v>334.8</v>
      </c>
      <c r="Q213">
        <v>1482.851</v>
      </c>
      <c r="R213" t="b">
        <v>0</v>
      </c>
      <c r="S213" t="b">
        <v>0</v>
      </c>
      <c r="T213" t="b">
        <v>0</v>
      </c>
    </row>
    <row r="214" spans="1:20">
      <c r="A214" t="s">
        <v>440</v>
      </c>
      <c r="B214">
        <v>54</v>
      </c>
      <c r="C214">
        <v>11</v>
      </c>
      <c r="D214" t="s">
        <v>152</v>
      </c>
      <c r="E214" t="s">
        <v>91</v>
      </c>
      <c r="F214" t="s">
        <v>46</v>
      </c>
      <c r="G214">
        <v>20</v>
      </c>
      <c r="H214">
        <v>18</v>
      </c>
      <c r="I214">
        <v>13</v>
      </c>
      <c r="J214" t="s">
        <v>244</v>
      </c>
      <c r="K214">
        <v>122.998</v>
      </c>
      <c r="L214">
        <v>34.682</v>
      </c>
      <c r="M214">
        <v>29.671</v>
      </c>
      <c r="N214">
        <v>34.099</v>
      </c>
      <c r="O214">
        <v>24.546</v>
      </c>
      <c r="P214">
        <v>332.7</v>
      </c>
      <c r="Q214">
        <v>1605.849</v>
      </c>
      <c r="R214" t="b">
        <v>0</v>
      </c>
      <c r="S214" t="b">
        <v>0</v>
      </c>
      <c r="T214" t="b">
        <v>0</v>
      </c>
    </row>
    <row r="215" spans="1:20">
      <c r="A215" t="s">
        <v>440</v>
      </c>
      <c r="B215">
        <v>54</v>
      </c>
      <c r="C215">
        <v>11</v>
      </c>
      <c r="D215" t="s">
        <v>152</v>
      </c>
      <c r="E215" t="s">
        <v>91</v>
      </c>
      <c r="F215" t="s">
        <v>46</v>
      </c>
      <c r="G215">
        <v>20</v>
      </c>
      <c r="H215">
        <v>18</v>
      </c>
      <c r="I215">
        <v>14</v>
      </c>
      <c r="J215" t="s">
        <v>245</v>
      </c>
      <c r="K215">
        <v>123.389</v>
      </c>
      <c r="L215">
        <v>34.881</v>
      </c>
      <c r="M215">
        <v>29.765</v>
      </c>
      <c r="N215">
        <v>34.193</v>
      </c>
      <c r="O215">
        <v>24.55</v>
      </c>
      <c r="P215">
        <v>331.6</v>
      </c>
      <c r="Q215">
        <v>1729.238</v>
      </c>
      <c r="R215" t="b">
        <v>0</v>
      </c>
      <c r="S215" t="b">
        <v>0</v>
      </c>
      <c r="T215" t="b">
        <v>0</v>
      </c>
    </row>
    <row r="216" spans="1:20">
      <c r="A216" t="s">
        <v>440</v>
      </c>
      <c r="B216">
        <v>54</v>
      </c>
      <c r="C216">
        <v>11</v>
      </c>
      <c r="D216" t="s">
        <v>152</v>
      </c>
      <c r="E216" t="s">
        <v>91</v>
      </c>
      <c r="F216" t="s">
        <v>46</v>
      </c>
      <c r="G216">
        <v>20</v>
      </c>
      <c r="H216">
        <v>18</v>
      </c>
      <c r="I216">
        <v>15</v>
      </c>
      <c r="J216" t="s">
        <v>246</v>
      </c>
      <c r="K216">
        <v>123.464</v>
      </c>
      <c r="L216">
        <v>34.787</v>
      </c>
      <c r="M216">
        <v>29.733</v>
      </c>
      <c r="N216">
        <v>34.27</v>
      </c>
      <c r="O216">
        <v>24.674</v>
      </c>
      <c r="P216">
        <v>330.6</v>
      </c>
      <c r="Q216">
        <v>1852.702</v>
      </c>
      <c r="R216" t="b">
        <v>0</v>
      </c>
      <c r="S216" t="b">
        <v>0</v>
      </c>
      <c r="T216" t="b">
        <v>0</v>
      </c>
    </row>
    <row r="217" spans="1:20">
      <c r="A217" t="s">
        <v>440</v>
      </c>
      <c r="B217">
        <v>54</v>
      </c>
      <c r="C217">
        <v>11</v>
      </c>
      <c r="D217" t="s">
        <v>152</v>
      </c>
      <c r="E217" t="s">
        <v>91</v>
      </c>
      <c r="F217" t="s">
        <v>46</v>
      </c>
      <c r="G217">
        <v>20</v>
      </c>
      <c r="H217">
        <v>18</v>
      </c>
      <c r="I217">
        <v>16</v>
      </c>
      <c r="J217" t="s">
        <v>247</v>
      </c>
      <c r="K217">
        <v>123.701</v>
      </c>
      <c r="L217">
        <v>34.785</v>
      </c>
      <c r="M217">
        <v>29.872</v>
      </c>
      <c r="N217">
        <v>34.329</v>
      </c>
      <c r="O217">
        <v>24.715</v>
      </c>
      <c r="P217">
        <v>330.6</v>
      </c>
      <c r="Q217">
        <v>1976.403</v>
      </c>
      <c r="R217" t="b">
        <v>0</v>
      </c>
      <c r="S217" t="b">
        <v>0</v>
      </c>
      <c r="T217" t="b">
        <v>0</v>
      </c>
    </row>
    <row r="218" spans="1:20">
      <c r="A218" t="s">
        <v>440</v>
      </c>
      <c r="B218">
        <v>54</v>
      </c>
      <c r="C218">
        <v>11</v>
      </c>
      <c r="D218" t="s">
        <v>152</v>
      </c>
      <c r="E218" t="s">
        <v>91</v>
      </c>
      <c r="F218" t="s">
        <v>46</v>
      </c>
      <c r="G218">
        <v>20</v>
      </c>
      <c r="H218">
        <v>18</v>
      </c>
      <c r="I218">
        <v>17</v>
      </c>
      <c r="J218" t="s">
        <v>248</v>
      </c>
      <c r="K218">
        <v>123.26</v>
      </c>
      <c r="L218">
        <v>34.716</v>
      </c>
      <c r="M218">
        <v>29.735</v>
      </c>
      <c r="N218">
        <v>34.152</v>
      </c>
      <c r="O218">
        <v>24.657</v>
      </c>
      <c r="P218">
        <v>330.6</v>
      </c>
      <c r="Q218">
        <v>2099.663</v>
      </c>
      <c r="R218" t="b">
        <v>0</v>
      </c>
      <c r="S218" t="b">
        <v>0</v>
      </c>
      <c r="T218" t="b">
        <v>0</v>
      </c>
    </row>
    <row r="219" spans="1:20">
      <c r="A219" t="s">
        <v>440</v>
      </c>
      <c r="B219">
        <v>54</v>
      </c>
      <c r="C219">
        <v>11</v>
      </c>
      <c r="D219" t="s">
        <v>152</v>
      </c>
      <c r="E219" t="s">
        <v>91</v>
      </c>
      <c r="F219" t="s">
        <v>46</v>
      </c>
      <c r="G219">
        <v>20</v>
      </c>
      <c r="H219">
        <v>18</v>
      </c>
      <c r="I219">
        <v>18</v>
      </c>
      <c r="J219" t="s">
        <v>249</v>
      </c>
      <c r="K219">
        <v>123.69</v>
      </c>
      <c r="L219">
        <v>34.835</v>
      </c>
      <c r="M219">
        <v>29.974</v>
      </c>
      <c r="N219">
        <v>34.219</v>
      </c>
      <c r="O219">
        <v>24.662</v>
      </c>
      <c r="P219">
        <v>331.6</v>
      </c>
      <c r="Q219">
        <v>2223.353</v>
      </c>
      <c r="R219" t="b">
        <v>0</v>
      </c>
      <c r="S219" t="b">
        <v>0</v>
      </c>
      <c r="T219" t="b">
        <v>0</v>
      </c>
    </row>
    <row r="220" spans="1:20">
      <c r="A220" t="s">
        <v>440</v>
      </c>
      <c r="B220">
        <v>54</v>
      </c>
      <c r="C220">
        <v>11</v>
      </c>
      <c r="D220" t="s">
        <v>152</v>
      </c>
      <c r="E220" t="s">
        <v>91</v>
      </c>
      <c r="F220" t="s">
        <v>46</v>
      </c>
      <c r="G220">
        <v>20</v>
      </c>
      <c r="H220">
        <v>18</v>
      </c>
      <c r="I220">
        <v>19</v>
      </c>
      <c r="J220" t="s">
        <v>250</v>
      </c>
      <c r="K220">
        <v>123.832</v>
      </c>
      <c r="L220">
        <v>34.911</v>
      </c>
      <c r="M220">
        <v>29.965</v>
      </c>
      <c r="N220">
        <v>34.268</v>
      </c>
      <c r="O220">
        <v>24.688</v>
      </c>
      <c r="P220">
        <v>332.7</v>
      </c>
      <c r="Q220">
        <v>2347.185</v>
      </c>
      <c r="R220" t="b">
        <v>0</v>
      </c>
      <c r="S220" t="b">
        <v>0</v>
      </c>
      <c r="T220" t="b">
        <v>0</v>
      </c>
    </row>
    <row r="221" spans="1:20">
      <c r="A221" t="s">
        <v>440</v>
      </c>
      <c r="B221">
        <v>54</v>
      </c>
      <c r="C221">
        <v>11</v>
      </c>
      <c r="D221" t="s">
        <v>152</v>
      </c>
      <c r="E221" t="s">
        <v>91</v>
      </c>
      <c r="F221" t="s">
        <v>46</v>
      </c>
      <c r="G221">
        <v>20</v>
      </c>
      <c r="H221">
        <v>18</v>
      </c>
      <c r="I221">
        <v>20</v>
      </c>
      <c r="J221" t="s">
        <v>251</v>
      </c>
      <c r="K221">
        <v>124.531</v>
      </c>
      <c r="L221">
        <v>35.133</v>
      </c>
      <c r="M221">
        <v>30</v>
      </c>
      <c r="N221">
        <v>34.456</v>
      </c>
      <c r="O221">
        <v>24.942</v>
      </c>
      <c r="P221">
        <v>332.7</v>
      </c>
      <c r="Q221">
        <v>2471.716</v>
      </c>
      <c r="R221" t="b">
        <v>0</v>
      </c>
      <c r="S221" t="b">
        <v>0</v>
      </c>
      <c r="T221" t="b">
        <v>0</v>
      </c>
    </row>
    <row r="222" spans="1:20">
      <c r="A222" t="s">
        <v>441</v>
      </c>
      <c r="B222">
        <v>33</v>
      </c>
      <c r="C222">
        <v>12</v>
      </c>
      <c r="D222" t="s">
        <v>68</v>
      </c>
      <c r="E222" t="s">
        <v>69</v>
      </c>
      <c r="F222" t="s">
        <v>253</v>
      </c>
      <c r="G222">
        <v>20</v>
      </c>
      <c r="H222">
        <v>19</v>
      </c>
      <c r="I222">
        <v>1</v>
      </c>
      <c r="J222" t="s">
        <v>254</v>
      </c>
      <c r="K222">
        <v>127.074</v>
      </c>
      <c r="L222">
        <v>37.001</v>
      </c>
      <c r="M222">
        <v>30.277</v>
      </c>
      <c r="N222">
        <v>35.113</v>
      </c>
      <c r="O222">
        <v>24.683</v>
      </c>
      <c r="P222">
        <v>340.2</v>
      </c>
      <c r="Q222">
        <v>127.074</v>
      </c>
      <c r="R222" t="b">
        <v>0</v>
      </c>
      <c r="S222" t="b">
        <v>0</v>
      </c>
      <c r="T222" t="b">
        <v>0</v>
      </c>
    </row>
    <row r="223" spans="1:20">
      <c r="A223" t="s">
        <v>441</v>
      </c>
      <c r="B223">
        <v>33</v>
      </c>
      <c r="C223">
        <v>12</v>
      </c>
      <c r="D223" t="s">
        <v>68</v>
      </c>
      <c r="E223" t="s">
        <v>69</v>
      </c>
      <c r="F223" t="s">
        <v>253</v>
      </c>
      <c r="G223">
        <v>20</v>
      </c>
      <c r="H223">
        <v>19</v>
      </c>
      <c r="I223">
        <v>2</v>
      </c>
      <c r="J223" t="s">
        <v>255</v>
      </c>
      <c r="K223">
        <v>124.528</v>
      </c>
      <c r="L223">
        <v>34.85</v>
      </c>
      <c r="M223">
        <v>30.664</v>
      </c>
      <c r="N223">
        <v>34.163</v>
      </c>
      <c r="O223">
        <v>24.851</v>
      </c>
      <c r="P223">
        <v>342.4</v>
      </c>
      <c r="Q223">
        <v>251.602</v>
      </c>
      <c r="R223" t="b">
        <v>0</v>
      </c>
      <c r="S223" t="b">
        <v>0</v>
      </c>
      <c r="T223" t="b">
        <v>0</v>
      </c>
    </row>
    <row r="224" spans="1:20">
      <c r="A224" t="s">
        <v>441</v>
      </c>
      <c r="B224">
        <v>33</v>
      </c>
      <c r="C224">
        <v>12</v>
      </c>
      <c r="D224" t="s">
        <v>68</v>
      </c>
      <c r="E224" t="s">
        <v>69</v>
      </c>
      <c r="F224" t="s">
        <v>253</v>
      </c>
      <c r="G224">
        <v>20</v>
      </c>
      <c r="H224">
        <v>19</v>
      </c>
      <c r="I224">
        <v>3</v>
      </c>
      <c r="J224" t="s">
        <v>256</v>
      </c>
      <c r="K224">
        <v>123.314</v>
      </c>
      <c r="L224">
        <v>34.805</v>
      </c>
      <c r="M224">
        <v>29.724</v>
      </c>
      <c r="N224">
        <v>34.221</v>
      </c>
      <c r="O224">
        <v>24.564</v>
      </c>
      <c r="P224">
        <v>334.8</v>
      </c>
      <c r="Q224">
        <v>374.916</v>
      </c>
      <c r="R224" t="b">
        <v>0</v>
      </c>
      <c r="S224" t="b">
        <v>0</v>
      </c>
      <c r="T224" t="b">
        <v>0</v>
      </c>
    </row>
    <row r="225" spans="1:20">
      <c r="A225" t="s">
        <v>441</v>
      </c>
      <c r="B225">
        <v>33</v>
      </c>
      <c r="C225">
        <v>12</v>
      </c>
      <c r="D225" t="s">
        <v>68</v>
      </c>
      <c r="E225" t="s">
        <v>69</v>
      </c>
      <c r="F225" t="s">
        <v>253</v>
      </c>
      <c r="G225">
        <v>20</v>
      </c>
      <c r="H225">
        <v>19</v>
      </c>
      <c r="I225">
        <v>4</v>
      </c>
      <c r="J225" t="s">
        <v>257</v>
      </c>
      <c r="K225">
        <v>123.698</v>
      </c>
      <c r="L225">
        <v>34.79</v>
      </c>
      <c r="M225">
        <v>29.758</v>
      </c>
      <c r="N225">
        <v>34.541</v>
      </c>
      <c r="O225">
        <v>24.609</v>
      </c>
      <c r="P225">
        <v>334.8</v>
      </c>
      <c r="Q225">
        <v>498.614</v>
      </c>
      <c r="R225" t="b">
        <v>0</v>
      </c>
      <c r="S225" t="b">
        <v>0</v>
      </c>
      <c r="T225" t="b">
        <v>0</v>
      </c>
    </row>
    <row r="226" spans="1:20">
      <c r="A226" t="s">
        <v>441</v>
      </c>
      <c r="B226">
        <v>33</v>
      </c>
      <c r="C226">
        <v>12</v>
      </c>
      <c r="D226" t="s">
        <v>68</v>
      </c>
      <c r="E226" t="s">
        <v>69</v>
      </c>
      <c r="F226" t="s">
        <v>253</v>
      </c>
      <c r="G226">
        <v>20</v>
      </c>
      <c r="H226">
        <v>19</v>
      </c>
      <c r="I226">
        <v>5</v>
      </c>
      <c r="J226" t="s">
        <v>110</v>
      </c>
      <c r="K226">
        <v>123.404</v>
      </c>
      <c r="L226">
        <v>34.75</v>
      </c>
      <c r="M226">
        <v>29.653</v>
      </c>
      <c r="N226">
        <v>34.189</v>
      </c>
      <c r="O226">
        <v>24.812</v>
      </c>
      <c r="P226">
        <v>338</v>
      </c>
      <c r="Q226">
        <v>622.018</v>
      </c>
      <c r="R226" t="b">
        <v>0</v>
      </c>
      <c r="S226" t="b">
        <v>0</v>
      </c>
      <c r="T226" t="b">
        <v>0</v>
      </c>
    </row>
    <row r="227" spans="1:20">
      <c r="A227" t="s">
        <v>441</v>
      </c>
      <c r="B227">
        <v>33</v>
      </c>
      <c r="C227">
        <v>12</v>
      </c>
      <c r="D227" t="s">
        <v>68</v>
      </c>
      <c r="E227" t="s">
        <v>69</v>
      </c>
      <c r="F227" t="s">
        <v>253</v>
      </c>
      <c r="G227">
        <v>20</v>
      </c>
      <c r="H227">
        <v>19</v>
      </c>
      <c r="I227">
        <v>6</v>
      </c>
      <c r="J227" t="s">
        <v>258</v>
      </c>
      <c r="K227">
        <v>123.151</v>
      </c>
      <c r="L227">
        <v>34.632</v>
      </c>
      <c r="M227">
        <v>29.776</v>
      </c>
      <c r="N227">
        <v>34.203</v>
      </c>
      <c r="O227">
        <v>24.54</v>
      </c>
      <c r="P227">
        <v>338</v>
      </c>
      <c r="Q227">
        <v>745.169</v>
      </c>
      <c r="R227" t="b">
        <v>0</v>
      </c>
      <c r="S227" t="b">
        <v>0</v>
      </c>
      <c r="T227" t="b">
        <v>0</v>
      </c>
    </row>
    <row r="228" spans="1:20">
      <c r="A228" t="s">
        <v>441</v>
      </c>
      <c r="B228">
        <v>33</v>
      </c>
      <c r="C228">
        <v>12</v>
      </c>
      <c r="D228" t="s">
        <v>68</v>
      </c>
      <c r="E228" t="s">
        <v>69</v>
      </c>
      <c r="F228" t="s">
        <v>253</v>
      </c>
      <c r="G228">
        <v>20</v>
      </c>
      <c r="H228">
        <v>19</v>
      </c>
      <c r="I228">
        <v>7</v>
      </c>
      <c r="J228" t="s">
        <v>259</v>
      </c>
      <c r="K228">
        <v>122.854</v>
      </c>
      <c r="L228">
        <v>34.72</v>
      </c>
      <c r="M228">
        <v>29.717</v>
      </c>
      <c r="N228">
        <v>33.963</v>
      </c>
      <c r="O228">
        <v>24.454</v>
      </c>
      <c r="P228">
        <v>339.1</v>
      </c>
      <c r="Q228">
        <v>868.023</v>
      </c>
      <c r="R228" t="b">
        <v>0</v>
      </c>
      <c r="S228" t="b">
        <v>0</v>
      </c>
      <c r="T228" t="b">
        <v>0</v>
      </c>
    </row>
    <row r="229" spans="1:20">
      <c r="A229" t="s">
        <v>441</v>
      </c>
      <c r="B229">
        <v>33</v>
      </c>
      <c r="C229">
        <v>12</v>
      </c>
      <c r="D229" t="s">
        <v>68</v>
      </c>
      <c r="E229" t="s">
        <v>69</v>
      </c>
      <c r="F229" t="s">
        <v>253</v>
      </c>
      <c r="G229">
        <v>20</v>
      </c>
      <c r="H229">
        <v>19</v>
      </c>
      <c r="I229">
        <v>8</v>
      </c>
      <c r="J229" t="s">
        <v>260</v>
      </c>
      <c r="K229">
        <v>122.912</v>
      </c>
      <c r="L229">
        <v>34.586</v>
      </c>
      <c r="M229">
        <v>29.614</v>
      </c>
      <c r="N229">
        <v>34.017</v>
      </c>
      <c r="O229">
        <v>24.695</v>
      </c>
      <c r="P229">
        <v>341.3</v>
      </c>
      <c r="Q229">
        <v>990.9349999999999</v>
      </c>
      <c r="R229" t="b">
        <v>0</v>
      </c>
      <c r="S229" t="b">
        <v>0</v>
      </c>
      <c r="T229" t="b">
        <v>0</v>
      </c>
    </row>
    <row r="230" spans="1:20">
      <c r="A230" t="s">
        <v>441</v>
      </c>
      <c r="B230">
        <v>33</v>
      </c>
      <c r="C230">
        <v>12</v>
      </c>
      <c r="D230" t="s">
        <v>68</v>
      </c>
      <c r="E230" t="s">
        <v>69</v>
      </c>
      <c r="F230" t="s">
        <v>253</v>
      </c>
      <c r="G230">
        <v>20</v>
      </c>
      <c r="H230">
        <v>19</v>
      </c>
      <c r="I230">
        <v>9</v>
      </c>
      <c r="J230" t="s">
        <v>261</v>
      </c>
      <c r="K230">
        <v>123.258</v>
      </c>
      <c r="L230">
        <v>34.723</v>
      </c>
      <c r="M230">
        <v>29.777</v>
      </c>
      <c r="N230">
        <v>34.14</v>
      </c>
      <c r="O230">
        <v>24.618</v>
      </c>
      <c r="P230">
        <v>339.1</v>
      </c>
      <c r="Q230">
        <v>1114.193</v>
      </c>
      <c r="R230" t="b">
        <v>0</v>
      </c>
      <c r="S230" t="b">
        <v>0</v>
      </c>
      <c r="T230" t="b">
        <v>0</v>
      </c>
    </row>
    <row r="231" spans="1:20">
      <c r="A231" t="s">
        <v>441</v>
      </c>
      <c r="B231">
        <v>33</v>
      </c>
      <c r="C231">
        <v>12</v>
      </c>
      <c r="D231" t="s">
        <v>68</v>
      </c>
      <c r="E231" t="s">
        <v>69</v>
      </c>
      <c r="F231" t="s">
        <v>253</v>
      </c>
      <c r="G231">
        <v>20</v>
      </c>
      <c r="H231">
        <v>19</v>
      </c>
      <c r="I231">
        <v>10</v>
      </c>
      <c r="J231" t="s">
        <v>223</v>
      </c>
      <c r="K231">
        <v>123.341</v>
      </c>
      <c r="L231">
        <v>34.768</v>
      </c>
      <c r="M231">
        <v>29.589</v>
      </c>
      <c r="N231">
        <v>34.332</v>
      </c>
      <c r="O231">
        <v>24.652</v>
      </c>
      <c r="P231">
        <v>341.3</v>
      </c>
      <c r="Q231">
        <v>1237.534</v>
      </c>
      <c r="R231" t="b">
        <v>0</v>
      </c>
      <c r="S231" t="b">
        <v>0</v>
      </c>
      <c r="T231" t="b">
        <v>0</v>
      </c>
    </row>
    <row r="232" spans="1:20">
      <c r="A232" t="s">
        <v>441</v>
      </c>
      <c r="B232">
        <v>33</v>
      </c>
      <c r="C232">
        <v>12</v>
      </c>
      <c r="D232" t="s">
        <v>68</v>
      </c>
      <c r="E232" t="s">
        <v>69</v>
      </c>
      <c r="F232" t="s">
        <v>253</v>
      </c>
      <c r="G232">
        <v>20</v>
      </c>
      <c r="H232">
        <v>19</v>
      </c>
      <c r="I232">
        <v>11</v>
      </c>
      <c r="J232" t="s">
        <v>262</v>
      </c>
      <c r="K232">
        <v>123.451</v>
      </c>
      <c r="L232">
        <v>34.761</v>
      </c>
      <c r="M232">
        <v>29.717</v>
      </c>
      <c r="N232">
        <v>34.302</v>
      </c>
      <c r="O232">
        <v>24.671</v>
      </c>
      <c r="P232">
        <v>342.4</v>
      </c>
      <c r="Q232">
        <v>1360.985</v>
      </c>
      <c r="R232" t="b">
        <v>0</v>
      </c>
      <c r="S232" t="b">
        <v>0</v>
      </c>
      <c r="T232" t="b">
        <v>0</v>
      </c>
    </row>
    <row r="233" spans="1:20">
      <c r="A233" t="s">
        <v>441</v>
      </c>
      <c r="B233">
        <v>33</v>
      </c>
      <c r="C233">
        <v>12</v>
      </c>
      <c r="D233" t="s">
        <v>68</v>
      </c>
      <c r="E233" t="s">
        <v>69</v>
      </c>
      <c r="F233" t="s">
        <v>253</v>
      </c>
      <c r="G233">
        <v>20</v>
      </c>
      <c r="H233">
        <v>19</v>
      </c>
      <c r="I233">
        <v>12</v>
      </c>
      <c r="J233" t="s">
        <v>263</v>
      </c>
      <c r="K233">
        <v>123.385</v>
      </c>
      <c r="L233">
        <v>34.775</v>
      </c>
      <c r="M233">
        <v>29.697</v>
      </c>
      <c r="N233">
        <v>34.292</v>
      </c>
      <c r="O233">
        <v>24.621</v>
      </c>
      <c r="P233">
        <v>345.8</v>
      </c>
      <c r="Q233">
        <v>1484.37</v>
      </c>
      <c r="R233" t="b">
        <v>0</v>
      </c>
      <c r="S233" t="b">
        <v>0</v>
      </c>
      <c r="T233" t="b">
        <v>0</v>
      </c>
    </row>
    <row r="234" spans="1:20">
      <c r="A234" t="s">
        <v>441</v>
      </c>
      <c r="B234">
        <v>33</v>
      </c>
      <c r="C234">
        <v>12</v>
      </c>
      <c r="D234" t="s">
        <v>68</v>
      </c>
      <c r="E234" t="s">
        <v>69</v>
      </c>
      <c r="F234" t="s">
        <v>253</v>
      </c>
      <c r="G234">
        <v>20</v>
      </c>
      <c r="H234">
        <v>19</v>
      </c>
      <c r="I234">
        <v>13</v>
      </c>
      <c r="J234" t="s">
        <v>264</v>
      </c>
      <c r="K234">
        <v>123.25</v>
      </c>
      <c r="L234">
        <v>34.763</v>
      </c>
      <c r="M234">
        <v>29.71</v>
      </c>
      <c r="N234">
        <v>34.157</v>
      </c>
      <c r="O234">
        <v>24.62</v>
      </c>
      <c r="P234">
        <v>340.2</v>
      </c>
      <c r="Q234">
        <v>1607.62</v>
      </c>
      <c r="R234" t="b">
        <v>0</v>
      </c>
      <c r="S234" t="b">
        <v>0</v>
      </c>
      <c r="T234" t="b">
        <v>0</v>
      </c>
    </row>
    <row r="235" spans="1:20">
      <c r="A235" t="s">
        <v>441</v>
      </c>
      <c r="B235">
        <v>33</v>
      </c>
      <c r="C235">
        <v>12</v>
      </c>
      <c r="D235" t="s">
        <v>68</v>
      </c>
      <c r="E235" t="s">
        <v>69</v>
      </c>
      <c r="F235" t="s">
        <v>253</v>
      </c>
      <c r="G235">
        <v>20</v>
      </c>
      <c r="H235">
        <v>19</v>
      </c>
      <c r="I235">
        <v>14</v>
      </c>
      <c r="J235" t="s">
        <v>265</v>
      </c>
      <c r="K235">
        <v>123.337</v>
      </c>
      <c r="L235">
        <v>34.904</v>
      </c>
      <c r="M235">
        <v>29.598</v>
      </c>
      <c r="N235">
        <v>34.211</v>
      </c>
      <c r="O235">
        <v>24.624</v>
      </c>
      <c r="P235">
        <v>340.2</v>
      </c>
      <c r="Q235">
        <v>1730.957</v>
      </c>
      <c r="R235" t="b">
        <v>0</v>
      </c>
      <c r="S235" t="b">
        <v>0</v>
      </c>
      <c r="T235" t="b">
        <v>0</v>
      </c>
    </row>
    <row r="236" spans="1:20">
      <c r="A236" t="s">
        <v>441</v>
      </c>
      <c r="B236">
        <v>33</v>
      </c>
      <c r="C236">
        <v>12</v>
      </c>
      <c r="D236" t="s">
        <v>68</v>
      </c>
      <c r="E236" t="s">
        <v>69</v>
      </c>
      <c r="F236" t="s">
        <v>253</v>
      </c>
      <c r="G236">
        <v>20</v>
      </c>
      <c r="H236">
        <v>19</v>
      </c>
      <c r="I236">
        <v>15</v>
      </c>
      <c r="J236" t="s">
        <v>266</v>
      </c>
      <c r="K236">
        <v>123.828</v>
      </c>
      <c r="L236">
        <v>34.83</v>
      </c>
      <c r="M236">
        <v>30.12</v>
      </c>
      <c r="N236">
        <v>34.151</v>
      </c>
      <c r="O236">
        <v>24.727</v>
      </c>
      <c r="P236">
        <v>333.7</v>
      </c>
      <c r="Q236">
        <v>1854.785</v>
      </c>
      <c r="R236" t="b">
        <v>0</v>
      </c>
      <c r="S236" t="b">
        <v>0</v>
      </c>
      <c r="T236" t="b">
        <v>0</v>
      </c>
    </row>
    <row r="237" spans="1:20">
      <c r="A237" t="s">
        <v>441</v>
      </c>
      <c r="B237">
        <v>33</v>
      </c>
      <c r="C237">
        <v>12</v>
      </c>
      <c r="D237" t="s">
        <v>68</v>
      </c>
      <c r="E237" t="s">
        <v>69</v>
      </c>
      <c r="F237" t="s">
        <v>253</v>
      </c>
      <c r="G237">
        <v>20</v>
      </c>
      <c r="H237">
        <v>19</v>
      </c>
      <c r="I237">
        <v>16</v>
      </c>
      <c r="J237" t="s">
        <v>188</v>
      </c>
      <c r="K237">
        <v>123.453</v>
      </c>
      <c r="L237">
        <v>34.784</v>
      </c>
      <c r="M237">
        <v>29.669</v>
      </c>
      <c r="N237">
        <v>34.293</v>
      </c>
      <c r="O237">
        <v>24.707</v>
      </c>
      <c r="P237">
        <v>335.9</v>
      </c>
      <c r="Q237">
        <v>1978.238</v>
      </c>
      <c r="R237" t="b">
        <v>0</v>
      </c>
      <c r="S237" t="b">
        <v>0</v>
      </c>
      <c r="T237" t="b">
        <v>0</v>
      </c>
    </row>
    <row r="238" spans="1:20">
      <c r="A238" t="s">
        <v>441</v>
      </c>
      <c r="B238">
        <v>33</v>
      </c>
      <c r="C238">
        <v>12</v>
      </c>
      <c r="D238" t="s">
        <v>68</v>
      </c>
      <c r="E238" t="s">
        <v>69</v>
      </c>
      <c r="F238" t="s">
        <v>253</v>
      </c>
      <c r="G238">
        <v>20</v>
      </c>
      <c r="H238">
        <v>19</v>
      </c>
      <c r="I238">
        <v>17</v>
      </c>
      <c r="J238" t="s">
        <v>267</v>
      </c>
      <c r="K238">
        <v>123.488</v>
      </c>
      <c r="L238">
        <v>34.747</v>
      </c>
      <c r="M238">
        <v>29.706</v>
      </c>
      <c r="N238">
        <v>34.233</v>
      </c>
      <c r="O238">
        <v>24.802</v>
      </c>
      <c r="P238">
        <v>335.9</v>
      </c>
      <c r="Q238">
        <v>2101.726</v>
      </c>
      <c r="R238" t="b">
        <v>0</v>
      </c>
      <c r="S238" t="b">
        <v>0</v>
      </c>
      <c r="T238" t="b">
        <v>0</v>
      </c>
    </row>
    <row r="239" spans="1:20">
      <c r="A239" t="s">
        <v>441</v>
      </c>
      <c r="B239">
        <v>33</v>
      </c>
      <c r="C239">
        <v>12</v>
      </c>
      <c r="D239" t="s">
        <v>68</v>
      </c>
      <c r="E239" t="s">
        <v>69</v>
      </c>
      <c r="F239" t="s">
        <v>253</v>
      </c>
      <c r="G239">
        <v>20</v>
      </c>
      <c r="H239">
        <v>19</v>
      </c>
      <c r="I239">
        <v>18</v>
      </c>
      <c r="J239" t="s">
        <v>268</v>
      </c>
      <c r="K239">
        <v>123.459</v>
      </c>
      <c r="L239">
        <v>34.804</v>
      </c>
      <c r="M239">
        <v>29.799</v>
      </c>
      <c r="N239">
        <v>34.048</v>
      </c>
      <c r="O239">
        <v>24.808</v>
      </c>
      <c r="P239">
        <v>335.9</v>
      </c>
      <c r="Q239">
        <v>2225.185</v>
      </c>
      <c r="R239" t="b">
        <v>0</v>
      </c>
      <c r="S239" t="b">
        <v>0</v>
      </c>
      <c r="T239" t="b">
        <v>0</v>
      </c>
    </row>
    <row r="240" spans="1:20">
      <c r="A240" t="s">
        <v>441</v>
      </c>
      <c r="B240">
        <v>33</v>
      </c>
      <c r="C240">
        <v>12</v>
      </c>
      <c r="D240" t="s">
        <v>68</v>
      </c>
      <c r="E240" t="s">
        <v>69</v>
      </c>
      <c r="F240" t="s">
        <v>253</v>
      </c>
      <c r="G240">
        <v>20</v>
      </c>
      <c r="H240">
        <v>19</v>
      </c>
      <c r="I240">
        <v>19</v>
      </c>
      <c r="J240" t="s">
        <v>269</v>
      </c>
      <c r="K240">
        <v>123.677</v>
      </c>
      <c r="L240">
        <v>34.858</v>
      </c>
      <c r="M240">
        <v>29.771</v>
      </c>
      <c r="N240">
        <v>34.277</v>
      </c>
      <c r="O240">
        <v>24.771</v>
      </c>
      <c r="P240">
        <v>335.9</v>
      </c>
      <c r="Q240">
        <v>2348.862</v>
      </c>
      <c r="R240" t="b">
        <v>0</v>
      </c>
      <c r="S240" t="b">
        <v>0</v>
      </c>
      <c r="T240" t="b">
        <v>0</v>
      </c>
    </row>
    <row r="241" spans="1:20">
      <c r="A241" t="s">
        <v>441</v>
      </c>
      <c r="B241">
        <v>33</v>
      </c>
      <c r="C241">
        <v>12</v>
      </c>
      <c r="D241" t="s">
        <v>68</v>
      </c>
      <c r="E241" t="s">
        <v>69</v>
      </c>
      <c r="F241" t="s">
        <v>253</v>
      </c>
      <c r="G241">
        <v>20</v>
      </c>
      <c r="H241">
        <v>19</v>
      </c>
      <c r="I241">
        <v>20</v>
      </c>
      <c r="J241" t="s">
        <v>270</v>
      </c>
      <c r="K241">
        <v>123.853</v>
      </c>
      <c r="L241">
        <v>34.888</v>
      </c>
      <c r="M241">
        <v>29.681</v>
      </c>
      <c r="N241">
        <v>34.464</v>
      </c>
      <c r="O241">
        <v>24.82</v>
      </c>
      <c r="P241">
        <v>336.9</v>
      </c>
      <c r="Q241">
        <v>2472.715</v>
      </c>
      <c r="R241" t="b">
        <v>0</v>
      </c>
      <c r="S241" t="b">
        <v>0</v>
      </c>
      <c r="T241" t="b">
        <v>0</v>
      </c>
    </row>
    <row r="242" spans="1:20">
      <c r="A242" t="s">
        <v>442</v>
      </c>
      <c r="B242">
        <v>11</v>
      </c>
      <c r="C242">
        <v>13</v>
      </c>
      <c r="D242" t="s">
        <v>272</v>
      </c>
      <c r="E242" t="s">
        <v>193</v>
      </c>
      <c r="F242" t="s">
        <v>273</v>
      </c>
      <c r="G242">
        <v>20</v>
      </c>
      <c r="H242">
        <v>19</v>
      </c>
      <c r="I242">
        <v>1</v>
      </c>
      <c r="J242" t="s">
        <v>274</v>
      </c>
      <c r="K242">
        <v>126.599</v>
      </c>
      <c r="L242">
        <v>36.444</v>
      </c>
      <c r="M242">
        <v>30.426</v>
      </c>
      <c r="N242">
        <v>35.009</v>
      </c>
      <c r="O242">
        <v>24.72</v>
      </c>
      <c r="P242">
        <v>336.9</v>
      </c>
      <c r="Q242">
        <v>126.599</v>
      </c>
      <c r="R242" t="b">
        <v>0</v>
      </c>
      <c r="S242" t="b">
        <v>0</v>
      </c>
      <c r="T242" t="b">
        <v>0</v>
      </c>
    </row>
    <row r="243" spans="1:20">
      <c r="A243" t="s">
        <v>442</v>
      </c>
      <c r="B243">
        <v>11</v>
      </c>
      <c r="C243">
        <v>13</v>
      </c>
      <c r="D243" t="s">
        <v>272</v>
      </c>
      <c r="E243" t="s">
        <v>193</v>
      </c>
      <c r="F243" t="s">
        <v>273</v>
      </c>
      <c r="G243">
        <v>20</v>
      </c>
      <c r="H243">
        <v>19</v>
      </c>
      <c r="I243">
        <v>2</v>
      </c>
      <c r="J243" t="s">
        <v>275</v>
      </c>
      <c r="K243">
        <v>124.078</v>
      </c>
      <c r="L243">
        <v>34.783</v>
      </c>
      <c r="M243">
        <v>30.549</v>
      </c>
      <c r="N243">
        <v>34.337</v>
      </c>
      <c r="O243">
        <v>24.409</v>
      </c>
      <c r="P243">
        <v>339.1</v>
      </c>
      <c r="Q243">
        <v>250.677</v>
      </c>
      <c r="R243" t="b">
        <v>0</v>
      </c>
      <c r="S243" t="b">
        <v>0</v>
      </c>
      <c r="T243" t="b">
        <v>0</v>
      </c>
    </row>
    <row r="244" spans="1:20">
      <c r="A244" t="s">
        <v>442</v>
      </c>
      <c r="B244">
        <v>11</v>
      </c>
      <c r="C244">
        <v>13</v>
      </c>
      <c r="D244" t="s">
        <v>272</v>
      </c>
      <c r="E244" t="s">
        <v>193</v>
      </c>
      <c r="F244" t="s">
        <v>273</v>
      </c>
      <c r="G244">
        <v>20</v>
      </c>
      <c r="H244">
        <v>19</v>
      </c>
      <c r="I244">
        <v>3</v>
      </c>
      <c r="J244" t="s">
        <v>276</v>
      </c>
      <c r="K244">
        <v>123.097</v>
      </c>
      <c r="L244">
        <v>34.581</v>
      </c>
      <c r="M244">
        <v>29.828</v>
      </c>
      <c r="N244">
        <v>34.281</v>
      </c>
      <c r="O244">
        <v>24.407</v>
      </c>
      <c r="P244">
        <v>333.7</v>
      </c>
      <c r="Q244">
        <v>373.774</v>
      </c>
      <c r="R244" t="b">
        <v>0</v>
      </c>
      <c r="S244" t="b">
        <v>0</v>
      </c>
      <c r="T244" t="b">
        <v>0</v>
      </c>
    </row>
    <row r="245" spans="1:20">
      <c r="A245" t="s">
        <v>442</v>
      </c>
      <c r="B245">
        <v>11</v>
      </c>
      <c r="C245">
        <v>13</v>
      </c>
      <c r="D245" t="s">
        <v>272</v>
      </c>
      <c r="E245" t="s">
        <v>193</v>
      </c>
      <c r="F245" t="s">
        <v>273</v>
      </c>
      <c r="G245">
        <v>20</v>
      </c>
      <c r="H245">
        <v>19</v>
      </c>
      <c r="I245">
        <v>4</v>
      </c>
      <c r="J245" t="s">
        <v>277</v>
      </c>
      <c r="K245">
        <v>123.425</v>
      </c>
      <c r="L245">
        <v>34.642</v>
      </c>
      <c r="M245">
        <v>29.831</v>
      </c>
      <c r="N245">
        <v>34.363</v>
      </c>
      <c r="O245">
        <v>24.589</v>
      </c>
      <c r="P245">
        <v>335.9</v>
      </c>
      <c r="Q245">
        <v>497.199</v>
      </c>
      <c r="R245" t="b">
        <v>0</v>
      </c>
      <c r="S245" t="b">
        <v>0</v>
      </c>
      <c r="T245" t="b">
        <v>0</v>
      </c>
    </row>
    <row r="246" spans="1:20">
      <c r="A246" t="s">
        <v>442</v>
      </c>
      <c r="B246">
        <v>11</v>
      </c>
      <c r="C246">
        <v>13</v>
      </c>
      <c r="D246" t="s">
        <v>272</v>
      </c>
      <c r="E246" t="s">
        <v>193</v>
      </c>
      <c r="F246" t="s">
        <v>273</v>
      </c>
      <c r="G246">
        <v>20</v>
      </c>
      <c r="H246">
        <v>19</v>
      </c>
      <c r="I246">
        <v>5</v>
      </c>
      <c r="J246" t="s">
        <v>278</v>
      </c>
      <c r="K246">
        <v>123.339</v>
      </c>
      <c r="L246">
        <v>34.629</v>
      </c>
      <c r="M246">
        <v>29.81</v>
      </c>
      <c r="N246">
        <v>34.444</v>
      </c>
      <c r="O246">
        <v>24.456</v>
      </c>
      <c r="P246">
        <v>333.7</v>
      </c>
      <c r="Q246">
        <v>620.538</v>
      </c>
      <c r="R246" t="b">
        <v>0</v>
      </c>
      <c r="S246" t="b">
        <v>0</v>
      </c>
      <c r="T246" t="b">
        <v>0</v>
      </c>
    </row>
    <row r="247" spans="1:20">
      <c r="A247" t="s">
        <v>442</v>
      </c>
      <c r="B247">
        <v>11</v>
      </c>
      <c r="C247">
        <v>13</v>
      </c>
      <c r="D247" t="s">
        <v>272</v>
      </c>
      <c r="E247" t="s">
        <v>193</v>
      </c>
      <c r="F247" t="s">
        <v>273</v>
      </c>
      <c r="G247">
        <v>20</v>
      </c>
      <c r="H247">
        <v>19</v>
      </c>
      <c r="I247">
        <v>6</v>
      </c>
      <c r="J247" t="s">
        <v>279</v>
      </c>
      <c r="K247">
        <v>122.947</v>
      </c>
      <c r="L247">
        <v>34.498</v>
      </c>
      <c r="M247">
        <v>29.942</v>
      </c>
      <c r="N247">
        <v>33.995</v>
      </c>
      <c r="O247">
        <v>24.512</v>
      </c>
      <c r="P247">
        <v>333.7</v>
      </c>
      <c r="Q247">
        <v>743.485</v>
      </c>
      <c r="R247" t="b">
        <v>0</v>
      </c>
      <c r="S247" t="b">
        <v>0</v>
      </c>
      <c r="T247" t="b">
        <v>0</v>
      </c>
    </row>
    <row r="248" spans="1:20">
      <c r="A248" t="s">
        <v>442</v>
      </c>
      <c r="B248">
        <v>11</v>
      </c>
      <c r="C248">
        <v>13</v>
      </c>
      <c r="D248" t="s">
        <v>272</v>
      </c>
      <c r="E248" t="s">
        <v>193</v>
      </c>
      <c r="F248" t="s">
        <v>273</v>
      </c>
      <c r="G248">
        <v>20</v>
      </c>
      <c r="H248">
        <v>19</v>
      </c>
      <c r="I248">
        <v>7</v>
      </c>
      <c r="J248" t="s">
        <v>280</v>
      </c>
      <c r="K248">
        <v>123.46</v>
      </c>
      <c r="L248">
        <v>34.623</v>
      </c>
      <c r="M248">
        <v>29.948</v>
      </c>
      <c r="N248">
        <v>34.3</v>
      </c>
      <c r="O248">
        <v>24.589</v>
      </c>
      <c r="P248">
        <v>335.9</v>
      </c>
      <c r="Q248">
        <v>866.9450000000001</v>
      </c>
      <c r="R248" t="b">
        <v>0</v>
      </c>
      <c r="S248" t="b">
        <v>0</v>
      </c>
      <c r="T248" t="b">
        <v>0</v>
      </c>
    </row>
    <row r="249" spans="1:20">
      <c r="A249" t="s">
        <v>442</v>
      </c>
      <c r="B249">
        <v>11</v>
      </c>
      <c r="C249">
        <v>13</v>
      </c>
      <c r="D249" t="s">
        <v>272</v>
      </c>
      <c r="E249" t="s">
        <v>193</v>
      </c>
      <c r="F249" t="s">
        <v>273</v>
      </c>
      <c r="G249">
        <v>20</v>
      </c>
      <c r="H249">
        <v>19</v>
      </c>
      <c r="I249">
        <v>8</v>
      </c>
      <c r="J249" t="s">
        <v>281</v>
      </c>
      <c r="K249">
        <v>123.093</v>
      </c>
      <c r="L249">
        <v>34.555</v>
      </c>
      <c r="M249">
        <v>29.902</v>
      </c>
      <c r="N249">
        <v>34.066</v>
      </c>
      <c r="O249">
        <v>24.57</v>
      </c>
      <c r="P249">
        <v>335.9</v>
      </c>
      <c r="Q249">
        <v>990.038</v>
      </c>
      <c r="R249" t="b">
        <v>0</v>
      </c>
      <c r="S249" t="b">
        <v>0</v>
      </c>
      <c r="T249" t="b">
        <v>0</v>
      </c>
    </row>
    <row r="250" spans="1:20">
      <c r="A250" t="s">
        <v>442</v>
      </c>
      <c r="B250">
        <v>11</v>
      </c>
      <c r="C250">
        <v>13</v>
      </c>
      <c r="D250" t="s">
        <v>272</v>
      </c>
      <c r="E250" t="s">
        <v>193</v>
      </c>
      <c r="F250" t="s">
        <v>273</v>
      </c>
      <c r="G250">
        <v>20</v>
      </c>
      <c r="H250">
        <v>19</v>
      </c>
      <c r="I250">
        <v>9</v>
      </c>
      <c r="J250" t="s">
        <v>282</v>
      </c>
      <c r="K250">
        <v>123.5</v>
      </c>
      <c r="L250">
        <v>34.643</v>
      </c>
      <c r="M250">
        <v>30.067</v>
      </c>
      <c r="N250">
        <v>34.305</v>
      </c>
      <c r="O250">
        <v>24.485</v>
      </c>
      <c r="P250">
        <v>335.9</v>
      </c>
      <c r="Q250">
        <v>1113.538</v>
      </c>
      <c r="R250" t="b">
        <v>0</v>
      </c>
      <c r="S250" t="b">
        <v>0</v>
      </c>
      <c r="T250" t="b">
        <v>0</v>
      </c>
    </row>
    <row r="251" spans="1:20">
      <c r="A251" t="s">
        <v>442</v>
      </c>
      <c r="B251">
        <v>11</v>
      </c>
      <c r="C251">
        <v>13</v>
      </c>
      <c r="D251" t="s">
        <v>272</v>
      </c>
      <c r="E251" t="s">
        <v>193</v>
      </c>
      <c r="F251" t="s">
        <v>273</v>
      </c>
      <c r="G251">
        <v>20</v>
      </c>
      <c r="H251">
        <v>19</v>
      </c>
      <c r="I251">
        <v>10</v>
      </c>
      <c r="J251" t="s">
        <v>283</v>
      </c>
      <c r="K251">
        <v>123.778</v>
      </c>
      <c r="L251">
        <v>34.783</v>
      </c>
      <c r="M251">
        <v>29.834</v>
      </c>
      <c r="N251">
        <v>34.487</v>
      </c>
      <c r="O251">
        <v>24.674</v>
      </c>
      <c r="P251">
        <v>334.8</v>
      </c>
      <c r="Q251">
        <v>1237.316</v>
      </c>
      <c r="R251" t="b">
        <v>0</v>
      </c>
      <c r="S251" t="b">
        <v>0</v>
      </c>
      <c r="T251" t="b">
        <v>0</v>
      </c>
    </row>
    <row r="252" spans="1:20">
      <c r="A252" t="s">
        <v>442</v>
      </c>
      <c r="B252">
        <v>11</v>
      </c>
      <c r="C252">
        <v>13</v>
      </c>
      <c r="D252" t="s">
        <v>272</v>
      </c>
      <c r="E252" t="s">
        <v>193</v>
      </c>
      <c r="F252" t="s">
        <v>273</v>
      </c>
      <c r="G252">
        <v>20</v>
      </c>
      <c r="H252">
        <v>19</v>
      </c>
      <c r="I252">
        <v>11</v>
      </c>
      <c r="J252" t="s">
        <v>284</v>
      </c>
      <c r="K252">
        <v>123.49</v>
      </c>
      <c r="L252">
        <v>34.778</v>
      </c>
      <c r="M252">
        <v>29.8</v>
      </c>
      <c r="N252">
        <v>34.238</v>
      </c>
      <c r="O252">
        <v>24.674</v>
      </c>
      <c r="P252">
        <v>336.9</v>
      </c>
      <c r="Q252">
        <v>1360.806</v>
      </c>
      <c r="R252" t="b">
        <v>0</v>
      </c>
      <c r="S252" t="b">
        <v>0</v>
      </c>
      <c r="T252" t="b">
        <v>0</v>
      </c>
    </row>
    <row r="253" spans="1:20">
      <c r="A253" t="s">
        <v>442</v>
      </c>
      <c r="B253">
        <v>11</v>
      </c>
      <c r="C253">
        <v>13</v>
      </c>
      <c r="D253" t="s">
        <v>272</v>
      </c>
      <c r="E253" t="s">
        <v>193</v>
      </c>
      <c r="F253" t="s">
        <v>273</v>
      </c>
      <c r="G253">
        <v>20</v>
      </c>
      <c r="H253">
        <v>19</v>
      </c>
      <c r="I253">
        <v>12</v>
      </c>
      <c r="J253" t="s">
        <v>285</v>
      </c>
      <c r="K253">
        <v>123.288</v>
      </c>
      <c r="L253">
        <v>34.653</v>
      </c>
      <c r="M253">
        <v>29.901</v>
      </c>
      <c r="N253">
        <v>34.171</v>
      </c>
      <c r="O253">
        <v>24.563</v>
      </c>
      <c r="P253">
        <v>338</v>
      </c>
      <c r="Q253">
        <v>1484.094</v>
      </c>
      <c r="R253" t="b">
        <v>0</v>
      </c>
      <c r="S253" t="b">
        <v>0</v>
      </c>
      <c r="T253" t="b">
        <v>0</v>
      </c>
    </row>
    <row r="254" spans="1:20">
      <c r="A254" t="s">
        <v>442</v>
      </c>
      <c r="B254">
        <v>11</v>
      </c>
      <c r="C254">
        <v>13</v>
      </c>
      <c r="D254" t="s">
        <v>272</v>
      </c>
      <c r="E254" t="s">
        <v>193</v>
      </c>
      <c r="F254" t="s">
        <v>273</v>
      </c>
      <c r="G254">
        <v>20</v>
      </c>
      <c r="H254">
        <v>19</v>
      </c>
      <c r="I254">
        <v>13</v>
      </c>
      <c r="J254" t="s">
        <v>163</v>
      </c>
      <c r="K254">
        <v>123.269</v>
      </c>
      <c r="L254">
        <v>34.671</v>
      </c>
      <c r="M254">
        <v>29.812</v>
      </c>
      <c r="N254">
        <v>34.235</v>
      </c>
      <c r="O254">
        <v>24.551</v>
      </c>
      <c r="P254">
        <v>333.7</v>
      </c>
      <c r="Q254">
        <v>1607.363</v>
      </c>
      <c r="R254" t="b">
        <v>0</v>
      </c>
      <c r="S254" t="b">
        <v>0</v>
      </c>
      <c r="T254" t="b">
        <v>0</v>
      </c>
    </row>
    <row r="255" spans="1:20">
      <c r="A255" t="s">
        <v>442</v>
      </c>
      <c r="B255">
        <v>11</v>
      </c>
      <c r="C255">
        <v>13</v>
      </c>
      <c r="D255" t="s">
        <v>272</v>
      </c>
      <c r="E255" t="s">
        <v>193</v>
      </c>
      <c r="F255" t="s">
        <v>273</v>
      </c>
      <c r="G255">
        <v>20</v>
      </c>
      <c r="H255">
        <v>19</v>
      </c>
      <c r="I255">
        <v>14</v>
      </c>
      <c r="J255" t="s">
        <v>286</v>
      </c>
      <c r="K255">
        <v>124.03</v>
      </c>
      <c r="L255">
        <v>34.747</v>
      </c>
      <c r="M255">
        <v>29.83</v>
      </c>
      <c r="N255">
        <v>34.716</v>
      </c>
      <c r="O255">
        <v>24.737</v>
      </c>
      <c r="P255">
        <v>332.7</v>
      </c>
      <c r="Q255">
        <v>1731.393</v>
      </c>
      <c r="R255" t="b">
        <v>0</v>
      </c>
      <c r="S255" t="b">
        <v>0</v>
      </c>
      <c r="T255" t="b">
        <v>0</v>
      </c>
    </row>
    <row r="256" spans="1:20">
      <c r="A256" t="s">
        <v>442</v>
      </c>
      <c r="B256">
        <v>11</v>
      </c>
      <c r="C256">
        <v>13</v>
      </c>
      <c r="D256" t="s">
        <v>272</v>
      </c>
      <c r="E256" t="s">
        <v>193</v>
      </c>
      <c r="F256" t="s">
        <v>273</v>
      </c>
      <c r="G256">
        <v>20</v>
      </c>
      <c r="H256">
        <v>19</v>
      </c>
      <c r="I256">
        <v>15</v>
      </c>
      <c r="J256" t="s">
        <v>287</v>
      </c>
      <c r="K256">
        <v>123.931</v>
      </c>
      <c r="L256">
        <v>35.152</v>
      </c>
      <c r="M256">
        <v>29.813</v>
      </c>
      <c r="N256">
        <v>34.392</v>
      </c>
      <c r="O256">
        <v>24.574</v>
      </c>
      <c r="P256">
        <v>335.9</v>
      </c>
      <c r="Q256">
        <v>1855.324</v>
      </c>
      <c r="R256" t="b">
        <v>0</v>
      </c>
      <c r="S256" t="b">
        <v>0</v>
      </c>
      <c r="T256" t="b">
        <v>0</v>
      </c>
    </row>
    <row r="257" spans="1:20">
      <c r="A257" t="s">
        <v>442</v>
      </c>
      <c r="B257">
        <v>11</v>
      </c>
      <c r="C257">
        <v>13</v>
      </c>
      <c r="D257" t="s">
        <v>272</v>
      </c>
      <c r="E257" t="s">
        <v>193</v>
      </c>
      <c r="F257" t="s">
        <v>273</v>
      </c>
      <c r="G257">
        <v>20</v>
      </c>
      <c r="H257">
        <v>19</v>
      </c>
      <c r="I257">
        <v>16</v>
      </c>
      <c r="J257" t="s">
        <v>288</v>
      </c>
      <c r="K257">
        <v>123.665</v>
      </c>
      <c r="L257">
        <v>34.745</v>
      </c>
      <c r="M257">
        <v>29.894</v>
      </c>
      <c r="N257">
        <v>34.341</v>
      </c>
      <c r="O257">
        <v>24.685</v>
      </c>
      <c r="P257">
        <v>333.7</v>
      </c>
      <c r="Q257">
        <v>1978.989</v>
      </c>
      <c r="R257" t="b">
        <v>0</v>
      </c>
      <c r="S257" t="b">
        <v>0</v>
      </c>
      <c r="T257" t="b">
        <v>0</v>
      </c>
    </row>
    <row r="258" spans="1:20">
      <c r="A258" t="s">
        <v>442</v>
      </c>
      <c r="B258">
        <v>11</v>
      </c>
      <c r="C258">
        <v>13</v>
      </c>
      <c r="D258" t="s">
        <v>272</v>
      </c>
      <c r="E258" t="s">
        <v>193</v>
      </c>
      <c r="F258" t="s">
        <v>273</v>
      </c>
      <c r="G258">
        <v>20</v>
      </c>
      <c r="H258">
        <v>19</v>
      </c>
      <c r="I258">
        <v>17</v>
      </c>
      <c r="J258" t="s">
        <v>289</v>
      </c>
      <c r="K258">
        <v>123.456</v>
      </c>
      <c r="L258">
        <v>34.717</v>
      </c>
      <c r="M258">
        <v>29.738</v>
      </c>
      <c r="N258">
        <v>34.438</v>
      </c>
      <c r="O258">
        <v>24.563</v>
      </c>
      <c r="P258">
        <v>332.7</v>
      </c>
      <c r="Q258">
        <v>2102.445</v>
      </c>
      <c r="R258" t="b">
        <v>0</v>
      </c>
      <c r="S258" t="b">
        <v>0</v>
      </c>
      <c r="T258" t="b">
        <v>0</v>
      </c>
    </row>
    <row r="259" spans="1:20">
      <c r="A259" t="s">
        <v>442</v>
      </c>
      <c r="B259">
        <v>11</v>
      </c>
      <c r="C259">
        <v>13</v>
      </c>
      <c r="D259" t="s">
        <v>272</v>
      </c>
      <c r="E259" t="s">
        <v>193</v>
      </c>
      <c r="F259" t="s">
        <v>273</v>
      </c>
      <c r="G259">
        <v>20</v>
      </c>
      <c r="H259">
        <v>19</v>
      </c>
      <c r="I259">
        <v>18</v>
      </c>
      <c r="J259" t="s">
        <v>290</v>
      </c>
      <c r="K259">
        <v>123.704</v>
      </c>
      <c r="L259">
        <v>34.844</v>
      </c>
      <c r="M259">
        <v>30.029</v>
      </c>
      <c r="N259">
        <v>34.265</v>
      </c>
      <c r="O259">
        <v>24.566</v>
      </c>
      <c r="P259">
        <v>333.7</v>
      </c>
      <c r="Q259">
        <v>2226.149</v>
      </c>
      <c r="R259" t="b">
        <v>0</v>
      </c>
      <c r="S259" t="b">
        <v>0</v>
      </c>
      <c r="T259" t="b">
        <v>0</v>
      </c>
    </row>
    <row r="260" spans="1:20">
      <c r="A260" t="s">
        <v>442</v>
      </c>
      <c r="B260">
        <v>11</v>
      </c>
      <c r="C260">
        <v>13</v>
      </c>
      <c r="D260" t="s">
        <v>272</v>
      </c>
      <c r="E260" t="s">
        <v>193</v>
      </c>
      <c r="F260" t="s">
        <v>273</v>
      </c>
      <c r="G260">
        <v>20</v>
      </c>
      <c r="H260">
        <v>19</v>
      </c>
      <c r="I260">
        <v>19</v>
      </c>
      <c r="J260" t="s">
        <v>291</v>
      </c>
      <c r="K260">
        <v>123.35</v>
      </c>
      <c r="L260">
        <v>34.767</v>
      </c>
      <c r="M260">
        <v>29.879</v>
      </c>
      <c r="N260">
        <v>34.183</v>
      </c>
      <c r="O260">
        <v>24.521</v>
      </c>
      <c r="P260">
        <v>333.7</v>
      </c>
      <c r="Q260">
        <v>2349.499</v>
      </c>
      <c r="R260" t="b">
        <v>0</v>
      </c>
      <c r="S260" t="b">
        <v>0</v>
      </c>
      <c r="T260" t="b">
        <v>0</v>
      </c>
    </row>
    <row r="261" spans="1:20">
      <c r="A261" t="s">
        <v>442</v>
      </c>
      <c r="B261">
        <v>11</v>
      </c>
      <c r="C261">
        <v>13</v>
      </c>
      <c r="D261" t="s">
        <v>272</v>
      </c>
      <c r="E261" t="s">
        <v>193</v>
      </c>
      <c r="F261" t="s">
        <v>273</v>
      </c>
      <c r="G261">
        <v>20</v>
      </c>
      <c r="H261">
        <v>19</v>
      </c>
      <c r="I261">
        <v>20</v>
      </c>
      <c r="J261" t="s">
        <v>292</v>
      </c>
      <c r="K261">
        <v>123.355</v>
      </c>
      <c r="L261">
        <v>34.677</v>
      </c>
      <c r="M261">
        <v>29.794</v>
      </c>
      <c r="N261">
        <v>34.208</v>
      </c>
      <c r="O261">
        <v>24.676</v>
      </c>
      <c r="P261">
        <v>336.9</v>
      </c>
      <c r="Q261">
        <v>2472.854</v>
      </c>
      <c r="R261" t="b">
        <v>0</v>
      </c>
      <c r="S261" t="b">
        <v>0</v>
      </c>
      <c r="T261" t="b">
        <v>0</v>
      </c>
    </row>
    <row r="262" spans="1:20">
      <c r="A262" t="s">
        <v>443</v>
      </c>
      <c r="B262">
        <v>21</v>
      </c>
      <c r="C262">
        <v>14</v>
      </c>
      <c r="D262" t="s">
        <v>90</v>
      </c>
      <c r="E262" t="s">
        <v>91</v>
      </c>
      <c r="F262" t="s">
        <v>6</v>
      </c>
      <c r="G262">
        <v>20</v>
      </c>
      <c r="H262">
        <v>19</v>
      </c>
      <c r="I262">
        <v>1</v>
      </c>
      <c r="J262" t="s">
        <v>294</v>
      </c>
      <c r="K262">
        <v>127.361</v>
      </c>
      <c r="L262">
        <v>37.136</v>
      </c>
      <c r="M262">
        <v>30.735</v>
      </c>
      <c r="N262">
        <v>34.866</v>
      </c>
      <c r="O262">
        <v>24.624</v>
      </c>
      <c r="P262">
        <v>332.7</v>
      </c>
      <c r="Q262">
        <v>127.361</v>
      </c>
      <c r="R262" t="b">
        <v>0</v>
      </c>
      <c r="S262" t="b">
        <v>0</v>
      </c>
      <c r="T262" t="b">
        <v>0</v>
      </c>
    </row>
    <row r="263" spans="1:20">
      <c r="A263" t="s">
        <v>443</v>
      </c>
      <c r="B263">
        <v>21</v>
      </c>
      <c r="C263">
        <v>14</v>
      </c>
      <c r="D263" t="s">
        <v>90</v>
      </c>
      <c r="E263" t="s">
        <v>91</v>
      </c>
      <c r="F263" t="s">
        <v>6</v>
      </c>
      <c r="G263">
        <v>20</v>
      </c>
      <c r="H263">
        <v>19</v>
      </c>
      <c r="I263">
        <v>2</v>
      </c>
      <c r="J263" t="s">
        <v>295</v>
      </c>
      <c r="K263">
        <v>124.469</v>
      </c>
      <c r="L263">
        <v>34.887</v>
      </c>
      <c r="M263">
        <v>30.648</v>
      </c>
      <c r="N263">
        <v>34.261</v>
      </c>
      <c r="O263">
        <v>24.673</v>
      </c>
      <c r="P263">
        <v>338</v>
      </c>
      <c r="Q263">
        <v>251.83</v>
      </c>
      <c r="R263" t="b">
        <v>0</v>
      </c>
      <c r="S263" t="b">
        <v>0</v>
      </c>
      <c r="T263" t="b">
        <v>0</v>
      </c>
    </row>
    <row r="264" spans="1:20">
      <c r="A264" t="s">
        <v>443</v>
      </c>
      <c r="B264">
        <v>21</v>
      </c>
      <c r="C264">
        <v>14</v>
      </c>
      <c r="D264" t="s">
        <v>90</v>
      </c>
      <c r="E264" t="s">
        <v>91</v>
      </c>
      <c r="F264" t="s">
        <v>6</v>
      </c>
      <c r="G264">
        <v>20</v>
      </c>
      <c r="H264">
        <v>19</v>
      </c>
      <c r="I264">
        <v>3</v>
      </c>
      <c r="J264" t="s">
        <v>296</v>
      </c>
      <c r="K264">
        <v>123.523</v>
      </c>
      <c r="L264">
        <v>34.792</v>
      </c>
      <c r="M264">
        <v>29.841</v>
      </c>
      <c r="N264">
        <v>34.268</v>
      </c>
      <c r="O264">
        <v>24.622</v>
      </c>
      <c r="P264">
        <v>335.9</v>
      </c>
      <c r="Q264">
        <v>375.353</v>
      </c>
      <c r="R264" t="b">
        <v>0</v>
      </c>
      <c r="S264" t="b">
        <v>0</v>
      </c>
      <c r="T264" t="b">
        <v>0</v>
      </c>
    </row>
    <row r="265" spans="1:20">
      <c r="A265" t="s">
        <v>443</v>
      </c>
      <c r="B265">
        <v>21</v>
      </c>
      <c r="C265">
        <v>14</v>
      </c>
      <c r="D265" t="s">
        <v>90</v>
      </c>
      <c r="E265" t="s">
        <v>91</v>
      </c>
      <c r="F265" t="s">
        <v>6</v>
      </c>
      <c r="G265">
        <v>20</v>
      </c>
      <c r="H265">
        <v>19</v>
      </c>
      <c r="I265">
        <v>4</v>
      </c>
      <c r="J265" t="s">
        <v>297</v>
      </c>
      <c r="K265">
        <v>123.607</v>
      </c>
      <c r="L265">
        <v>34.767</v>
      </c>
      <c r="M265">
        <v>29.836</v>
      </c>
      <c r="N265">
        <v>34.357</v>
      </c>
      <c r="O265">
        <v>24.647</v>
      </c>
      <c r="P265">
        <v>333.7</v>
      </c>
      <c r="Q265">
        <v>498.96</v>
      </c>
      <c r="R265" t="b">
        <v>0</v>
      </c>
      <c r="S265" t="b">
        <v>0</v>
      </c>
      <c r="T265" t="b">
        <v>0</v>
      </c>
    </row>
    <row r="266" spans="1:20">
      <c r="A266" t="s">
        <v>443</v>
      </c>
      <c r="B266">
        <v>21</v>
      </c>
      <c r="C266">
        <v>14</v>
      </c>
      <c r="D266" t="s">
        <v>90</v>
      </c>
      <c r="E266" t="s">
        <v>91</v>
      </c>
      <c r="F266" t="s">
        <v>6</v>
      </c>
      <c r="G266">
        <v>20</v>
      </c>
      <c r="H266">
        <v>19</v>
      </c>
      <c r="I266">
        <v>5</v>
      </c>
      <c r="J266" t="s">
        <v>298</v>
      </c>
      <c r="K266">
        <v>123.31</v>
      </c>
      <c r="L266">
        <v>34.83</v>
      </c>
      <c r="M266">
        <v>29.65</v>
      </c>
      <c r="N266">
        <v>34.251</v>
      </c>
      <c r="O266">
        <v>24.579</v>
      </c>
      <c r="P266">
        <v>338</v>
      </c>
      <c r="Q266">
        <v>622.27</v>
      </c>
      <c r="R266" t="b">
        <v>0</v>
      </c>
      <c r="S266" t="b">
        <v>0</v>
      </c>
      <c r="T266" t="b">
        <v>0</v>
      </c>
    </row>
    <row r="267" spans="1:20">
      <c r="A267" t="s">
        <v>443</v>
      </c>
      <c r="B267">
        <v>21</v>
      </c>
      <c r="C267">
        <v>14</v>
      </c>
      <c r="D267" t="s">
        <v>90</v>
      </c>
      <c r="E267" t="s">
        <v>91</v>
      </c>
      <c r="F267" t="s">
        <v>6</v>
      </c>
      <c r="G267">
        <v>20</v>
      </c>
      <c r="H267">
        <v>19</v>
      </c>
      <c r="I267">
        <v>6</v>
      </c>
      <c r="J267" t="s">
        <v>241</v>
      </c>
      <c r="K267">
        <v>123.283</v>
      </c>
      <c r="L267">
        <v>34.65</v>
      </c>
      <c r="M267">
        <v>29.822</v>
      </c>
      <c r="N267">
        <v>34.246</v>
      </c>
      <c r="O267">
        <v>24.565</v>
      </c>
      <c r="P267">
        <v>338</v>
      </c>
      <c r="Q267">
        <v>745.553</v>
      </c>
      <c r="R267" t="b">
        <v>0</v>
      </c>
      <c r="S267" t="b">
        <v>0</v>
      </c>
      <c r="T267" t="b">
        <v>0</v>
      </c>
    </row>
    <row r="268" spans="1:20">
      <c r="A268" t="s">
        <v>443</v>
      </c>
      <c r="B268">
        <v>21</v>
      </c>
      <c r="C268">
        <v>14</v>
      </c>
      <c r="D268" t="s">
        <v>90</v>
      </c>
      <c r="E268" t="s">
        <v>91</v>
      </c>
      <c r="F268" t="s">
        <v>6</v>
      </c>
      <c r="G268">
        <v>20</v>
      </c>
      <c r="H268">
        <v>19</v>
      </c>
      <c r="I268">
        <v>7</v>
      </c>
      <c r="J268" t="s">
        <v>299</v>
      </c>
      <c r="K268">
        <v>122.967</v>
      </c>
      <c r="L268">
        <v>34.717</v>
      </c>
      <c r="M268">
        <v>29.655</v>
      </c>
      <c r="N268">
        <v>34.123</v>
      </c>
      <c r="O268">
        <v>24.472</v>
      </c>
      <c r="P268">
        <v>339.1</v>
      </c>
      <c r="Q268">
        <v>868.52</v>
      </c>
      <c r="R268" t="b">
        <v>0</v>
      </c>
      <c r="S268" t="b">
        <v>0</v>
      </c>
      <c r="T268" t="b">
        <v>0</v>
      </c>
    </row>
    <row r="269" spans="1:20">
      <c r="A269" t="s">
        <v>443</v>
      </c>
      <c r="B269">
        <v>21</v>
      </c>
      <c r="C269">
        <v>14</v>
      </c>
      <c r="D269" t="s">
        <v>90</v>
      </c>
      <c r="E269" t="s">
        <v>91</v>
      </c>
      <c r="F269" t="s">
        <v>6</v>
      </c>
      <c r="G269">
        <v>20</v>
      </c>
      <c r="H269">
        <v>19</v>
      </c>
      <c r="I269">
        <v>8</v>
      </c>
      <c r="J269" t="s">
        <v>300</v>
      </c>
      <c r="K269">
        <v>122.944</v>
      </c>
      <c r="L269">
        <v>34.645</v>
      </c>
      <c r="M269">
        <v>29.7</v>
      </c>
      <c r="N269">
        <v>34.037</v>
      </c>
      <c r="O269">
        <v>24.562</v>
      </c>
      <c r="P269">
        <v>339.1</v>
      </c>
      <c r="Q269">
        <v>991.4640000000001</v>
      </c>
      <c r="R269" t="b">
        <v>0</v>
      </c>
      <c r="S269" t="b">
        <v>0</v>
      </c>
      <c r="T269" t="b">
        <v>0</v>
      </c>
    </row>
    <row r="270" spans="1:20">
      <c r="A270" t="s">
        <v>443</v>
      </c>
      <c r="B270">
        <v>21</v>
      </c>
      <c r="C270">
        <v>14</v>
      </c>
      <c r="D270" t="s">
        <v>90</v>
      </c>
      <c r="E270" t="s">
        <v>91</v>
      </c>
      <c r="F270" t="s">
        <v>6</v>
      </c>
      <c r="G270">
        <v>20</v>
      </c>
      <c r="H270">
        <v>19</v>
      </c>
      <c r="I270">
        <v>9</v>
      </c>
      <c r="J270" t="s">
        <v>301</v>
      </c>
      <c r="K270">
        <v>123.132</v>
      </c>
      <c r="L270">
        <v>34.639</v>
      </c>
      <c r="M270">
        <v>29.747</v>
      </c>
      <c r="N270">
        <v>34.103</v>
      </c>
      <c r="O270">
        <v>24.643</v>
      </c>
      <c r="P270">
        <v>340.2</v>
      </c>
      <c r="Q270">
        <v>1114.596</v>
      </c>
      <c r="R270" t="b">
        <v>0</v>
      </c>
      <c r="S270" t="b">
        <v>0</v>
      </c>
      <c r="T270" t="b">
        <v>0</v>
      </c>
    </row>
    <row r="271" spans="1:20">
      <c r="A271" t="s">
        <v>443</v>
      </c>
      <c r="B271">
        <v>21</v>
      </c>
      <c r="C271">
        <v>14</v>
      </c>
      <c r="D271" t="s">
        <v>90</v>
      </c>
      <c r="E271" t="s">
        <v>91</v>
      </c>
      <c r="F271" t="s">
        <v>6</v>
      </c>
      <c r="G271">
        <v>20</v>
      </c>
      <c r="H271">
        <v>19</v>
      </c>
      <c r="I271">
        <v>10</v>
      </c>
      <c r="J271" t="s">
        <v>302</v>
      </c>
      <c r="K271">
        <v>123.343</v>
      </c>
      <c r="L271">
        <v>34.642</v>
      </c>
      <c r="M271">
        <v>29.822</v>
      </c>
      <c r="N271">
        <v>34.177</v>
      </c>
      <c r="O271">
        <v>24.702</v>
      </c>
      <c r="P271">
        <v>338</v>
      </c>
      <c r="Q271">
        <v>1237.939</v>
      </c>
      <c r="R271" t="b">
        <v>0</v>
      </c>
      <c r="S271" t="b">
        <v>0</v>
      </c>
      <c r="T271" t="b">
        <v>0</v>
      </c>
    </row>
    <row r="272" spans="1:20">
      <c r="A272" t="s">
        <v>443</v>
      </c>
      <c r="B272">
        <v>21</v>
      </c>
      <c r="C272">
        <v>14</v>
      </c>
      <c r="D272" t="s">
        <v>90</v>
      </c>
      <c r="E272" t="s">
        <v>91</v>
      </c>
      <c r="F272" t="s">
        <v>6</v>
      </c>
      <c r="G272">
        <v>20</v>
      </c>
      <c r="H272">
        <v>19</v>
      </c>
      <c r="I272">
        <v>11</v>
      </c>
      <c r="J272" t="s">
        <v>303</v>
      </c>
      <c r="K272">
        <v>123.286</v>
      </c>
      <c r="L272">
        <v>34.8</v>
      </c>
      <c r="M272">
        <v>29.675</v>
      </c>
      <c r="N272">
        <v>34.223</v>
      </c>
      <c r="O272">
        <v>24.588</v>
      </c>
      <c r="P272">
        <v>339.1</v>
      </c>
      <c r="Q272">
        <v>1361.225</v>
      </c>
      <c r="R272" t="b">
        <v>0</v>
      </c>
      <c r="S272" t="b">
        <v>0</v>
      </c>
      <c r="T272" t="b">
        <v>0</v>
      </c>
    </row>
    <row r="273" spans="1:20">
      <c r="A273" t="s">
        <v>443</v>
      </c>
      <c r="B273">
        <v>21</v>
      </c>
      <c r="C273">
        <v>14</v>
      </c>
      <c r="D273" t="s">
        <v>90</v>
      </c>
      <c r="E273" t="s">
        <v>91</v>
      </c>
      <c r="F273" t="s">
        <v>6</v>
      </c>
      <c r="G273">
        <v>20</v>
      </c>
      <c r="H273">
        <v>19</v>
      </c>
      <c r="I273">
        <v>12</v>
      </c>
      <c r="J273" t="s">
        <v>304</v>
      </c>
      <c r="K273">
        <v>123.429</v>
      </c>
      <c r="L273">
        <v>34.78</v>
      </c>
      <c r="M273">
        <v>29.758</v>
      </c>
      <c r="N273">
        <v>34.227</v>
      </c>
      <c r="O273">
        <v>24.664</v>
      </c>
      <c r="P273">
        <v>336.9</v>
      </c>
      <c r="Q273">
        <v>1484.654</v>
      </c>
      <c r="R273" t="b">
        <v>0</v>
      </c>
      <c r="S273" t="b">
        <v>0</v>
      </c>
      <c r="T273" t="b">
        <v>0</v>
      </c>
    </row>
    <row r="274" spans="1:20">
      <c r="A274" t="s">
        <v>443</v>
      </c>
      <c r="B274">
        <v>21</v>
      </c>
      <c r="C274">
        <v>14</v>
      </c>
      <c r="D274" t="s">
        <v>90</v>
      </c>
      <c r="E274" t="s">
        <v>91</v>
      </c>
      <c r="F274" t="s">
        <v>6</v>
      </c>
      <c r="G274">
        <v>20</v>
      </c>
      <c r="H274">
        <v>19</v>
      </c>
      <c r="I274">
        <v>13</v>
      </c>
      <c r="J274" t="s">
        <v>305</v>
      </c>
      <c r="K274">
        <v>123.379</v>
      </c>
      <c r="L274">
        <v>34.72</v>
      </c>
      <c r="M274">
        <v>29.818</v>
      </c>
      <c r="N274">
        <v>34.214</v>
      </c>
      <c r="O274">
        <v>24.627</v>
      </c>
      <c r="P274">
        <v>338</v>
      </c>
      <c r="Q274">
        <v>1608.033</v>
      </c>
      <c r="R274" t="b">
        <v>0</v>
      </c>
      <c r="S274" t="b">
        <v>0</v>
      </c>
      <c r="T274" t="b">
        <v>0</v>
      </c>
    </row>
    <row r="275" spans="1:20">
      <c r="A275" t="s">
        <v>443</v>
      </c>
      <c r="B275">
        <v>21</v>
      </c>
      <c r="C275">
        <v>14</v>
      </c>
      <c r="D275" t="s">
        <v>90</v>
      </c>
      <c r="E275" t="s">
        <v>91</v>
      </c>
      <c r="F275" t="s">
        <v>6</v>
      </c>
      <c r="G275">
        <v>20</v>
      </c>
      <c r="H275">
        <v>19</v>
      </c>
      <c r="I275">
        <v>14</v>
      </c>
      <c r="J275" t="s">
        <v>306</v>
      </c>
      <c r="K275">
        <v>123.518</v>
      </c>
      <c r="L275">
        <v>34.736</v>
      </c>
      <c r="M275">
        <v>29.758</v>
      </c>
      <c r="N275">
        <v>34.291</v>
      </c>
      <c r="O275">
        <v>24.733</v>
      </c>
      <c r="P275">
        <v>334.8</v>
      </c>
      <c r="Q275">
        <v>1731.551</v>
      </c>
      <c r="R275" t="b">
        <v>0</v>
      </c>
      <c r="S275" t="b">
        <v>0</v>
      </c>
      <c r="T275" t="b">
        <v>0</v>
      </c>
    </row>
    <row r="276" spans="1:20">
      <c r="A276" t="s">
        <v>443</v>
      </c>
      <c r="B276">
        <v>21</v>
      </c>
      <c r="C276">
        <v>14</v>
      </c>
      <c r="D276" t="s">
        <v>90</v>
      </c>
      <c r="E276" t="s">
        <v>91</v>
      </c>
      <c r="F276" t="s">
        <v>6</v>
      </c>
      <c r="G276">
        <v>20</v>
      </c>
      <c r="H276">
        <v>19</v>
      </c>
      <c r="I276">
        <v>15</v>
      </c>
      <c r="J276" t="s">
        <v>307</v>
      </c>
      <c r="K276">
        <v>123.467</v>
      </c>
      <c r="L276">
        <v>34.731</v>
      </c>
      <c r="M276">
        <v>29.699</v>
      </c>
      <c r="N276">
        <v>34.452</v>
      </c>
      <c r="O276">
        <v>24.585</v>
      </c>
      <c r="P276">
        <v>334.8</v>
      </c>
      <c r="Q276">
        <v>1855.018</v>
      </c>
      <c r="R276" t="b">
        <v>0</v>
      </c>
      <c r="S276" t="b">
        <v>0</v>
      </c>
      <c r="T276" t="b">
        <v>0</v>
      </c>
    </row>
    <row r="277" spans="1:20">
      <c r="A277" t="s">
        <v>443</v>
      </c>
      <c r="B277">
        <v>21</v>
      </c>
      <c r="C277">
        <v>14</v>
      </c>
      <c r="D277" t="s">
        <v>90</v>
      </c>
      <c r="E277" t="s">
        <v>91</v>
      </c>
      <c r="F277" t="s">
        <v>6</v>
      </c>
      <c r="G277">
        <v>20</v>
      </c>
      <c r="H277">
        <v>19</v>
      </c>
      <c r="I277">
        <v>16</v>
      </c>
      <c r="J277" t="s">
        <v>308</v>
      </c>
      <c r="K277">
        <v>123.542</v>
      </c>
      <c r="L277">
        <v>34.78</v>
      </c>
      <c r="M277">
        <v>29.846</v>
      </c>
      <c r="N277">
        <v>34.297</v>
      </c>
      <c r="O277">
        <v>24.619</v>
      </c>
      <c r="P277">
        <v>333.7</v>
      </c>
      <c r="Q277">
        <v>1978.56</v>
      </c>
      <c r="R277" t="b">
        <v>0</v>
      </c>
      <c r="S277" t="b">
        <v>0</v>
      </c>
      <c r="T277" t="b">
        <v>0</v>
      </c>
    </row>
    <row r="278" spans="1:20">
      <c r="A278" t="s">
        <v>443</v>
      </c>
      <c r="B278">
        <v>21</v>
      </c>
      <c r="C278">
        <v>14</v>
      </c>
      <c r="D278" t="s">
        <v>90</v>
      </c>
      <c r="E278" t="s">
        <v>91</v>
      </c>
      <c r="F278" t="s">
        <v>6</v>
      </c>
      <c r="G278">
        <v>20</v>
      </c>
      <c r="H278">
        <v>19</v>
      </c>
      <c r="I278">
        <v>17</v>
      </c>
      <c r="J278" t="s">
        <v>309</v>
      </c>
      <c r="K278">
        <v>123.529</v>
      </c>
      <c r="L278">
        <v>34.778</v>
      </c>
      <c r="M278">
        <v>29.735</v>
      </c>
      <c r="N278">
        <v>34.39</v>
      </c>
      <c r="O278">
        <v>24.626</v>
      </c>
      <c r="P278">
        <v>332.7</v>
      </c>
      <c r="Q278">
        <v>2102.089</v>
      </c>
      <c r="R278" t="b">
        <v>0</v>
      </c>
      <c r="S278" t="b">
        <v>0</v>
      </c>
      <c r="T278" t="b">
        <v>0</v>
      </c>
    </row>
    <row r="279" spans="1:20">
      <c r="A279" t="s">
        <v>443</v>
      </c>
      <c r="B279">
        <v>21</v>
      </c>
      <c r="C279">
        <v>14</v>
      </c>
      <c r="D279" t="s">
        <v>90</v>
      </c>
      <c r="E279" t="s">
        <v>91</v>
      </c>
      <c r="F279" t="s">
        <v>6</v>
      </c>
      <c r="G279">
        <v>20</v>
      </c>
      <c r="H279">
        <v>19</v>
      </c>
      <c r="I279">
        <v>18</v>
      </c>
      <c r="J279" t="s">
        <v>310</v>
      </c>
      <c r="K279">
        <v>124.616</v>
      </c>
      <c r="L279">
        <v>35.064</v>
      </c>
      <c r="M279">
        <v>29.935</v>
      </c>
      <c r="N279">
        <v>34.737</v>
      </c>
      <c r="O279">
        <v>24.88</v>
      </c>
      <c r="P279">
        <v>332.7</v>
      </c>
      <c r="Q279">
        <v>2226.705</v>
      </c>
      <c r="R279" t="b">
        <v>0</v>
      </c>
      <c r="S279" t="b">
        <v>0</v>
      </c>
      <c r="T279" t="b">
        <v>0</v>
      </c>
    </row>
    <row r="280" spans="1:20">
      <c r="A280" t="s">
        <v>443</v>
      </c>
      <c r="B280">
        <v>21</v>
      </c>
      <c r="C280">
        <v>14</v>
      </c>
      <c r="D280" t="s">
        <v>90</v>
      </c>
      <c r="E280" t="s">
        <v>91</v>
      </c>
      <c r="F280" t="s">
        <v>6</v>
      </c>
      <c r="G280">
        <v>20</v>
      </c>
      <c r="H280">
        <v>19</v>
      </c>
      <c r="I280">
        <v>19</v>
      </c>
      <c r="J280" t="s">
        <v>311</v>
      </c>
      <c r="K280">
        <v>124.607</v>
      </c>
      <c r="L280">
        <v>35.37</v>
      </c>
      <c r="M280">
        <v>29.946</v>
      </c>
      <c r="N280">
        <v>34.345</v>
      </c>
      <c r="O280">
        <v>24.946</v>
      </c>
      <c r="P280">
        <v>332.7</v>
      </c>
      <c r="Q280">
        <v>2351.312</v>
      </c>
      <c r="R280" t="b">
        <v>0</v>
      </c>
      <c r="S280" t="b">
        <v>0</v>
      </c>
      <c r="T280" t="b">
        <v>0</v>
      </c>
    </row>
    <row r="281" spans="1:20">
      <c r="A281" t="s">
        <v>443</v>
      </c>
      <c r="B281">
        <v>21</v>
      </c>
      <c r="C281">
        <v>14</v>
      </c>
      <c r="D281" t="s">
        <v>90</v>
      </c>
      <c r="E281" t="s">
        <v>91</v>
      </c>
      <c r="F281" t="s">
        <v>6</v>
      </c>
      <c r="G281">
        <v>20</v>
      </c>
      <c r="H281">
        <v>19</v>
      </c>
      <c r="I281">
        <v>20</v>
      </c>
      <c r="J281" t="s">
        <v>312</v>
      </c>
      <c r="K281">
        <v>123.712</v>
      </c>
      <c r="L281">
        <v>35.087</v>
      </c>
      <c r="M281">
        <v>29.793</v>
      </c>
      <c r="N281">
        <v>34.149</v>
      </c>
      <c r="O281">
        <v>24.683</v>
      </c>
      <c r="P281">
        <v>332.7</v>
      </c>
      <c r="Q281">
        <v>2475.024</v>
      </c>
      <c r="R281" t="b">
        <v>0</v>
      </c>
      <c r="S281" t="b">
        <v>0</v>
      </c>
      <c r="T281" t="b">
        <v>0</v>
      </c>
    </row>
    <row r="282" spans="1:20">
      <c r="A282" t="s">
        <v>444</v>
      </c>
      <c r="B282">
        <v>7</v>
      </c>
      <c r="C282">
        <v>15</v>
      </c>
      <c r="D282" t="s">
        <v>314</v>
      </c>
      <c r="E282" t="s">
        <v>315</v>
      </c>
      <c r="F282" t="s">
        <v>316</v>
      </c>
      <c r="G282">
        <v>20</v>
      </c>
      <c r="H282">
        <v>17</v>
      </c>
      <c r="I282">
        <v>1</v>
      </c>
      <c r="J282" t="s">
        <v>317</v>
      </c>
      <c r="K282">
        <v>127.725</v>
      </c>
      <c r="L282">
        <v>37.147</v>
      </c>
      <c r="M282">
        <v>30.455</v>
      </c>
      <c r="N282">
        <v>35.396</v>
      </c>
      <c r="O282">
        <v>24.727</v>
      </c>
      <c r="P282">
        <v>336.9</v>
      </c>
      <c r="Q282">
        <v>127.725</v>
      </c>
      <c r="R282" t="b">
        <v>0</v>
      </c>
      <c r="S282" t="b">
        <v>0</v>
      </c>
      <c r="T282" t="b">
        <v>0</v>
      </c>
    </row>
    <row r="283" spans="1:20">
      <c r="A283" t="s">
        <v>444</v>
      </c>
      <c r="B283">
        <v>7</v>
      </c>
      <c r="C283">
        <v>15</v>
      </c>
      <c r="D283" t="s">
        <v>314</v>
      </c>
      <c r="E283" t="s">
        <v>315</v>
      </c>
      <c r="F283" t="s">
        <v>316</v>
      </c>
      <c r="G283">
        <v>20</v>
      </c>
      <c r="H283">
        <v>17</v>
      </c>
      <c r="I283">
        <v>2</v>
      </c>
      <c r="J283" t="s">
        <v>318</v>
      </c>
      <c r="K283">
        <v>125.581</v>
      </c>
      <c r="L283">
        <v>35.047</v>
      </c>
      <c r="M283">
        <v>31.393</v>
      </c>
      <c r="N283">
        <v>34.477</v>
      </c>
      <c r="O283">
        <v>24.664</v>
      </c>
      <c r="P283">
        <v>331.6</v>
      </c>
      <c r="Q283">
        <v>253.306</v>
      </c>
      <c r="R283" t="b">
        <v>1</v>
      </c>
      <c r="S283" t="b">
        <v>0</v>
      </c>
      <c r="T283" t="b">
        <v>0</v>
      </c>
    </row>
    <row r="284" spans="1:20">
      <c r="A284" t="s">
        <v>444</v>
      </c>
      <c r="B284">
        <v>7</v>
      </c>
      <c r="C284">
        <v>15</v>
      </c>
      <c r="D284" t="s">
        <v>314</v>
      </c>
      <c r="E284" t="s">
        <v>315</v>
      </c>
      <c r="F284" t="s">
        <v>316</v>
      </c>
      <c r="G284">
        <v>20</v>
      </c>
      <c r="H284">
        <v>17</v>
      </c>
      <c r="I284">
        <v>3</v>
      </c>
      <c r="J284" t="s">
        <v>207</v>
      </c>
      <c r="K284">
        <v>123.318</v>
      </c>
      <c r="L284">
        <v>34.599</v>
      </c>
      <c r="M284">
        <v>29.788</v>
      </c>
      <c r="N284">
        <v>34.372</v>
      </c>
      <c r="O284">
        <v>24.559</v>
      </c>
      <c r="P284">
        <v>334.8</v>
      </c>
      <c r="Q284">
        <v>376.624</v>
      </c>
      <c r="R284" t="b">
        <v>0</v>
      </c>
      <c r="S284" t="b">
        <v>0</v>
      </c>
      <c r="T284" t="b">
        <v>0</v>
      </c>
    </row>
    <row r="285" spans="1:20">
      <c r="A285" t="s">
        <v>444</v>
      </c>
      <c r="B285">
        <v>7</v>
      </c>
      <c r="C285">
        <v>15</v>
      </c>
      <c r="D285" t="s">
        <v>314</v>
      </c>
      <c r="E285" t="s">
        <v>315</v>
      </c>
      <c r="F285" t="s">
        <v>316</v>
      </c>
      <c r="G285">
        <v>20</v>
      </c>
      <c r="H285">
        <v>17</v>
      </c>
      <c r="I285">
        <v>4</v>
      </c>
      <c r="J285" t="s">
        <v>319</v>
      </c>
      <c r="K285">
        <v>123.366</v>
      </c>
      <c r="L285">
        <v>34.7</v>
      </c>
      <c r="M285">
        <v>29.788</v>
      </c>
      <c r="N285">
        <v>34.315</v>
      </c>
      <c r="O285">
        <v>24.563</v>
      </c>
      <c r="P285">
        <v>332.7</v>
      </c>
      <c r="Q285">
        <v>499.99</v>
      </c>
      <c r="R285" t="b">
        <v>0</v>
      </c>
      <c r="S285" t="b">
        <v>0</v>
      </c>
      <c r="T285" t="b">
        <v>0</v>
      </c>
    </row>
    <row r="286" spans="1:20">
      <c r="A286" t="s">
        <v>444</v>
      </c>
      <c r="B286">
        <v>7</v>
      </c>
      <c r="C286">
        <v>15</v>
      </c>
      <c r="D286" t="s">
        <v>314</v>
      </c>
      <c r="E286" t="s">
        <v>315</v>
      </c>
      <c r="F286" t="s">
        <v>316</v>
      </c>
      <c r="G286">
        <v>20</v>
      </c>
      <c r="H286">
        <v>17</v>
      </c>
      <c r="I286">
        <v>5</v>
      </c>
      <c r="J286" t="s">
        <v>320</v>
      </c>
      <c r="K286">
        <v>123.449</v>
      </c>
      <c r="L286">
        <v>34.868</v>
      </c>
      <c r="M286">
        <v>29.611</v>
      </c>
      <c r="N286">
        <v>34.385</v>
      </c>
      <c r="O286">
        <v>24.585</v>
      </c>
      <c r="P286">
        <v>334.8</v>
      </c>
      <c r="Q286">
        <v>623.439</v>
      </c>
      <c r="R286" t="b">
        <v>0</v>
      </c>
      <c r="S286" t="b">
        <v>0</v>
      </c>
      <c r="T286" t="b">
        <v>0</v>
      </c>
    </row>
    <row r="287" spans="1:20">
      <c r="A287" t="s">
        <v>444</v>
      </c>
      <c r="B287">
        <v>7</v>
      </c>
      <c r="C287">
        <v>15</v>
      </c>
      <c r="D287" t="s">
        <v>314</v>
      </c>
      <c r="E287" t="s">
        <v>315</v>
      </c>
      <c r="F287" t="s">
        <v>316</v>
      </c>
      <c r="G287">
        <v>20</v>
      </c>
      <c r="H287">
        <v>17</v>
      </c>
      <c r="I287">
        <v>6</v>
      </c>
      <c r="J287" t="s">
        <v>267</v>
      </c>
      <c r="K287">
        <v>123.488</v>
      </c>
      <c r="L287">
        <v>34.782</v>
      </c>
      <c r="M287">
        <v>29.893</v>
      </c>
      <c r="N287">
        <v>34.357</v>
      </c>
      <c r="O287">
        <v>24.456</v>
      </c>
      <c r="P287">
        <v>334.8</v>
      </c>
      <c r="Q287">
        <v>746.927</v>
      </c>
      <c r="R287" t="b">
        <v>0</v>
      </c>
      <c r="S287" t="b">
        <v>0</v>
      </c>
      <c r="T287" t="b">
        <v>0</v>
      </c>
    </row>
    <row r="288" spans="1:20">
      <c r="A288" t="s">
        <v>444</v>
      </c>
      <c r="B288">
        <v>7</v>
      </c>
      <c r="C288">
        <v>15</v>
      </c>
      <c r="D288" t="s">
        <v>314</v>
      </c>
      <c r="E288" t="s">
        <v>315</v>
      </c>
      <c r="F288" t="s">
        <v>316</v>
      </c>
      <c r="G288">
        <v>20</v>
      </c>
      <c r="H288">
        <v>17</v>
      </c>
      <c r="I288">
        <v>7</v>
      </c>
      <c r="J288" t="s">
        <v>321</v>
      </c>
      <c r="K288">
        <v>123.422</v>
      </c>
      <c r="L288">
        <v>34.688</v>
      </c>
      <c r="M288">
        <v>29.872</v>
      </c>
      <c r="N288">
        <v>34.31</v>
      </c>
      <c r="O288">
        <v>24.552</v>
      </c>
      <c r="P288">
        <v>334.8</v>
      </c>
      <c r="Q288">
        <v>870.349</v>
      </c>
      <c r="R288" t="b">
        <v>0</v>
      </c>
      <c r="S288" t="b">
        <v>0</v>
      </c>
      <c r="T288" t="b">
        <v>0</v>
      </c>
    </row>
    <row r="289" spans="1:20">
      <c r="A289" t="s">
        <v>444</v>
      </c>
      <c r="B289">
        <v>7</v>
      </c>
      <c r="C289">
        <v>15</v>
      </c>
      <c r="D289" t="s">
        <v>314</v>
      </c>
      <c r="E289" t="s">
        <v>315</v>
      </c>
      <c r="F289" t="s">
        <v>316</v>
      </c>
      <c r="G289">
        <v>20</v>
      </c>
      <c r="H289">
        <v>17</v>
      </c>
      <c r="I289">
        <v>8</v>
      </c>
      <c r="J289" t="s">
        <v>322</v>
      </c>
      <c r="K289">
        <v>123.848</v>
      </c>
      <c r="L289">
        <v>34.709</v>
      </c>
      <c r="M289">
        <v>29.7</v>
      </c>
      <c r="N289">
        <v>34.545</v>
      </c>
      <c r="O289">
        <v>24.894</v>
      </c>
      <c r="P289">
        <v>338</v>
      </c>
      <c r="Q289">
        <v>994.197</v>
      </c>
      <c r="R289" t="b">
        <v>0</v>
      </c>
      <c r="S289" t="b">
        <v>0</v>
      </c>
      <c r="T289" t="b">
        <v>0</v>
      </c>
    </row>
    <row r="290" spans="1:20">
      <c r="A290" t="s">
        <v>444</v>
      </c>
      <c r="B290">
        <v>7</v>
      </c>
      <c r="C290">
        <v>15</v>
      </c>
      <c r="D290" t="s">
        <v>314</v>
      </c>
      <c r="E290" t="s">
        <v>315</v>
      </c>
      <c r="F290" t="s">
        <v>316</v>
      </c>
      <c r="G290">
        <v>20</v>
      </c>
      <c r="H290">
        <v>17</v>
      </c>
      <c r="I290">
        <v>9</v>
      </c>
      <c r="J290" t="s">
        <v>323</v>
      </c>
      <c r="K290">
        <v>123.428</v>
      </c>
      <c r="L290">
        <v>34.766</v>
      </c>
      <c r="M290">
        <v>29.817</v>
      </c>
      <c r="N290">
        <v>34.258</v>
      </c>
      <c r="O290">
        <v>24.587</v>
      </c>
      <c r="P290">
        <v>334.8</v>
      </c>
      <c r="Q290">
        <v>1117.625</v>
      </c>
      <c r="R290" t="b">
        <v>0</v>
      </c>
      <c r="S290" t="b">
        <v>0</v>
      </c>
      <c r="T290" t="b">
        <v>0</v>
      </c>
    </row>
    <row r="291" spans="1:20">
      <c r="A291" t="s">
        <v>444</v>
      </c>
      <c r="B291">
        <v>7</v>
      </c>
      <c r="C291">
        <v>15</v>
      </c>
      <c r="D291" t="s">
        <v>314</v>
      </c>
      <c r="E291" t="s">
        <v>315</v>
      </c>
      <c r="F291" t="s">
        <v>316</v>
      </c>
      <c r="G291">
        <v>20</v>
      </c>
      <c r="H291">
        <v>17</v>
      </c>
      <c r="I291">
        <v>10</v>
      </c>
      <c r="J291" t="s">
        <v>324</v>
      </c>
      <c r="K291">
        <v>123.278</v>
      </c>
      <c r="L291">
        <v>34.665</v>
      </c>
      <c r="M291">
        <v>29.703</v>
      </c>
      <c r="N291">
        <v>34.233</v>
      </c>
      <c r="O291">
        <v>24.677</v>
      </c>
      <c r="P291">
        <v>333.7</v>
      </c>
      <c r="Q291">
        <v>1240.903</v>
      </c>
      <c r="R291" t="b">
        <v>0</v>
      </c>
      <c r="S291" t="b">
        <v>0</v>
      </c>
      <c r="T291" t="b">
        <v>0</v>
      </c>
    </row>
    <row r="292" spans="1:20">
      <c r="A292" t="s">
        <v>444</v>
      </c>
      <c r="B292">
        <v>7</v>
      </c>
      <c r="C292">
        <v>15</v>
      </c>
      <c r="D292" t="s">
        <v>314</v>
      </c>
      <c r="E292" t="s">
        <v>315</v>
      </c>
      <c r="F292" t="s">
        <v>316</v>
      </c>
      <c r="G292">
        <v>20</v>
      </c>
      <c r="H292">
        <v>17</v>
      </c>
      <c r="I292">
        <v>11</v>
      </c>
      <c r="J292" t="s">
        <v>325</v>
      </c>
      <c r="K292">
        <v>123.071</v>
      </c>
      <c r="L292">
        <v>34.636</v>
      </c>
      <c r="M292">
        <v>29.642</v>
      </c>
      <c r="N292">
        <v>34.23</v>
      </c>
      <c r="O292">
        <v>24.563</v>
      </c>
      <c r="P292">
        <v>336.9</v>
      </c>
      <c r="Q292">
        <v>1363.974</v>
      </c>
      <c r="R292" t="b">
        <v>0</v>
      </c>
      <c r="S292" t="b">
        <v>0</v>
      </c>
      <c r="T292" t="b">
        <v>0</v>
      </c>
    </row>
    <row r="293" spans="1:20">
      <c r="A293" t="s">
        <v>444</v>
      </c>
      <c r="B293">
        <v>7</v>
      </c>
      <c r="C293">
        <v>15</v>
      </c>
      <c r="D293" t="s">
        <v>314</v>
      </c>
      <c r="E293" t="s">
        <v>315</v>
      </c>
      <c r="F293" t="s">
        <v>316</v>
      </c>
      <c r="G293">
        <v>20</v>
      </c>
      <c r="H293">
        <v>17</v>
      </c>
      <c r="I293">
        <v>12</v>
      </c>
      <c r="J293" t="s">
        <v>326</v>
      </c>
      <c r="K293">
        <v>123.326</v>
      </c>
      <c r="L293">
        <v>34.628</v>
      </c>
      <c r="M293">
        <v>29.804</v>
      </c>
      <c r="N293">
        <v>34.287</v>
      </c>
      <c r="O293">
        <v>24.607</v>
      </c>
      <c r="P293">
        <v>335.9</v>
      </c>
      <c r="Q293">
        <v>1487.3</v>
      </c>
      <c r="R293" t="b">
        <v>0</v>
      </c>
      <c r="S293" t="b">
        <v>0</v>
      </c>
      <c r="T293" t="b">
        <v>0</v>
      </c>
    </row>
    <row r="294" spans="1:20">
      <c r="A294" t="s">
        <v>444</v>
      </c>
      <c r="B294">
        <v>7</v>
      </c>
      <c r="C294">
        <v>15</v>
      </c>
      <c r="D294" t="s">
        <v>314</v>
      </c>
      <c r="E294" t="s">
        <v>315</v>
      </c>
      <c r="F294" t="s">
        <v>316</v>
      </c>
      <c r="G294">
        <v>20</v>
      </c>
      <c r="H294">
        <v>17</v>
      </c>
      <c r="I294">
        <v>13</v>
      </c>
      <c r="J294" t="s">
        <v>268</v>
      </c>
      <c r="K294">
        <v>123.459</v>
      </c>
      <c r="L294">
        <v>34.739</v>
      </c>
      <c r="M294">
        <v>29.766</v>
      </c>
      <c r="N294">
        <v>34.326</v>
      </c>
      <c r="O294">
        <v>24.628</v>
      </c>
      <c r="P294">
        <v>333.7</v>
      </c>
      <c r="Q294">
        <v>1610.759</v>
      </c>
      <c r="R294" t="b">
        <v>0</v>
      </c>
      <c r="S294" t="b">
        <v>0</v>
      </c>
      <c r="T294" t="b">
        <v>0</v>
      </c>
    </row>
    <row r="295" spans="1:20">
      <c r="A295" t="s">
        <v>444</v>
      </c>
      <c r="B295">
        <v>7</v>
      </c>
      <c r="C295">
        <v>15</v>
      </c>
      <c r="D295" t="s">
        <v>314</v>
      </c>
      <c r="E295" t="s">
        <v>315</v>
      </c>
      <c r="F295" t="s">
        <v>316</v>
      </c>
      <c r="G295">
        <v>20</v>
      </c>
      <c r="H295">
        <v>17</v>
      </c>
      <c r="I295">
        <v>14</v>
      </c>
      <c r="J295" t="s">
        <v>327</v>
      </c>
      <c r="K295">
        <v>123.264</v>
      </c>
      <c r="L295">
        <v>34.691</v>
      </c>
      <c r="M295">
        <v>29.644</v>
      </c>
      <c r="N295">
        <v>34.403</v>
      </c>
      <c r="O295">
        <v>24.526</v>
      </c>
      <c r="P295">
        <v>335.9</v>
      </c>
      <c r="Q295">
        <v>1734.023</v>
      </c>
      <c r="R295" t="b">
        <v>0</v>
      </c>
      <c r="S295" t="b">
        <v>0</v>
      </c>
      <c r="T295" t="b">
        <v>0</v>
      </c>
    </row>
    <row r="296" spans="1:20">
      <c r="A296" t="s">
        <v>444</v>
      </c>
      <c r="B296">
        <v>7</v>
      </c>
      <c r="C296">
        <v>15</v>
      </c>
      <c r="D296" t="s">
        <v>314</v>
      </c>
      <c r="E296" t="s">
        <v>315</v>
      </c>
      <c r="F296" t="s">
        <v>316</v>
      </c>
      <c r="G296">
        <v>20</v>
      </c>
      <c r="H296">
        <v>17</v>
      </c>
      <c r="I296">
        <v>15</v>
      </c>
      <c r="J296" t="s">
        <v>328</v>
      </c>
      <c r="K296">
        <v>123.739</v>
      </c>
      <c r="L296">
        <v>34.807</v>
      </c>
      <c r="M296">
        <v>29.791</v>
      </c>
      <c r="N296">
        <v>34.518</v>
      </c>
      <c r="O296">
        <v>24.623</v>
      </c>
      <c r="P296">
        <v>330.6</v>
      </c>
      <c r="Q296">
        <v>1857.762</v>
      </c>
      <c r="R296" t="b">
        <v>0</v>
      </c>
      <c r="S296" t="b">
        <v>0</v>
      </c>
      <c r="T296" t="b">
        <v>0</v>
      </c>
    </row>
    <row r="297" spans="1:20">
      <c r="A297" t="s">
        <v>444</v>
      </c>
      <c r="B297">
        <v>7</v>
      </c>
      <c r="C297">
        <v>15</v>
      </c>
      <c r="D297" t="s">
        <v>314</v>
      </c>
      <c r="E297" t="s">
        <v>315</v>
      </c>
      <c r="F297" t="s">
        <v>316</v>
      </c>
      <c r="G297">
        <v>20</v>
      </c>
      <c r="H297">
        <v>17</v>
      </c>
      <c r="I297">
        <v>16</v>
      </c>
      <c r="J297" t="s">
        <v>329</v>
      </c>
      <c r="K297">
        <v>123.584</v>
      </c>
      <c r="L297">
        <v>34.756</v>
      </c>
      <c r="M297">
        <v>29.748</v>
      </c>
      <c r="N297">
        <v>34.418</v>
      </c>
      <c r="O297">
        <v>24.662</v>
      </c>
      <c r="P297">
        <v>335.9</v>
      </c>
      <c r="Q297">
        <v>1981.346</v>
      </c>
      <c r="R297" t="b">
        <v>0</v>
      </c>
      <c r="S297" t="b">
        <v>0</v>
      </c>
      <c r="T297" t="b">
        <v>0</v>
      </c>
    </row>
    <row r="298" spans="1:20">
      <c r="A298" t="s">
        <v>444</v>
      </c>
      <c r="B298">
        <v>7</v>
      </c>
      <c r="C298">
        <v>15</v>
      </c>
      <c r="D298" t="s">
        <v>314</v>
      </c>
      <c r="E298" t="s">
        <v>315</v>
      </c>
      <c r="F298" t="s">
        <v>316</v>
      </c>
      <c r="G298">
        <v>20</v>
      </c>
      <c r="H298">
        <v>17</v>
      </c>
      <c r="I298">
        <v>17</v>
      </c>
      <c r="J298" t="s">
        <v>330</v>
      </c>
      <c r="K298">
        <v>123.535</v>
      </c>
      <c r="L298">
        <v>34.618</v>
      </c>
      <c r="M298">
        <v>29.827</v>
      </c>
      <c r="N298">
        <v>34.483</v>
      </c>
      <c r="O298">
        <v>24.607</v>
      </c>
      <c r="P298">
        <v>335.9</v>
      </c>
      <c r="Q298">
        <v>2104.881</v>
      </c>
      <c r="R298" t="b">
        <v>0</v>
      </c>
      <c r="S298" t="b">
        <v>0</v>
      </c>
      <c r="T298" t="b">
        <v>0</v>
      </c>
    </row>
    <row r="299" spans="1:20">
      <c r="A299" t="s">
        <v>444</v>
      </c>
      <c r="B299">
        <v>7</v>
      </c>
      <c r="C299">
        <v>15</v>
      </c>
      <c r="D299" t="s">
        <v>314</v>
      </c>
      <c r="E299" t="s">
        <v>315</v>
      </c>
      <c r="F299" t="s">
        <v>316</v>
      </c>
      <c r="G299">
        <v>20</v>
      </c>
      <c r="H299">
        <v>17</v>
      </c>
      <c r="I299">
        <v>18</v>
      </c>
      <c r="J299" t="s">
        <v>269</v>
      </c>
      <c r="K299">
        <v>123.677</v>
      </c>
      <c r="L299">
        <v>34.581</v>
      </c>
      <c r="M299">
        <v>29.949</v>
      </c>
      <c r="N299">
        <v>34.38</v>
      </c>
      <c r="O299">
        <v>24.767</v>
      </c>
      <c r="P299">
        <v>328.5</v>
      </c>
      <c r="Q299">
        <v>2228.558</v>
      </c>
      <c r="R299" t="b">
        <v>1</v>
      </c>
      <c r="S299" t="b">
        <v>0</v>
      </c>
      <c r="T299" t="b">
        <v>0</v>
      </c>
    </row>
    <row r="300" spans="1:20">
      <c r="A300" t="s">
        <v>444</v>
      </c>
      <c r="B300">
        <v>7</v>
      </c>
      <c r="C300">
        <v>15</v>
      </c>
      <c r="D300" t="s">
        <v>314</v>
      </c>
      <c r="E300" t="s">
        <v>315</v>
      </c>
      <c r="F300" t="s">
        <v>316</v>
      </c>
      <c r="G300">
        <v>20</v>
      </c>
      <c r="H300">
        <v>17</v>
      </c>
      <c r="I300">
        <v>19</v>
      </c>
      <c r="J300" t="s">
        <v>331</v>
      </c>
      <c r="K300">
        <v>123.746</v>
      </c>
      <c r="L300">
        <v>34.834</v>
      </c>
      <c r="M300">
        <v>29.746</v>
      </c>
      <c r="N300">
        <v>34.514</v>
      </c>
      <c r="O300">
        <v>24.652</v>
      </c>
      <c r="P300">
        <v>330.6</v>
      </c>
      <c r="Q300">
        <v>2352.304</v>
      </c>
      <c r="R300" t="b">
        <v>0</v>
      </c>
      <c r="S300" t="b">
        <v>0</v>
      </c>
      <c r="T300" t="b">
        <v>0</v>
      </c>
    </row>
    <row r="301" spans="1:20">
      <c r="A301" t="s">
        <v>444</v>
      </c>
      <c r="B301">
        <v>7</v>
      </c>
      <c r="C301">
        <v>15</v>
      </c>
      <c r="D301" t="s">
        <v>314</v>
      </c>
      <c r="E301" t="s">
        <v>315</v>
      </c>
      <c r="F301" t="s">
        <v>316</v>
      </c>
      <c r="G301">
        <v>20</v>
      </c>
      <c r="H301">
        <v>17</v>
      </c>
      <c r="I301">
        <v>20</v>
      </c>
      <c r="J301" t="s">
        <v>332</v>
      </c>
      <c r="K301">
        <v>123.898</v>
      </c>
      <c r="L301">
        <v>34.739</v>
      </c>
      <c r="M301">
        <v>29.767</v>
      </c>
      <c r="N301">
        <v>34.595</v>
      </c>
      <c r="O301">
        <v>24.797</v>
      </c>
      <c r="P301">
        <v>332.7</v>
      </c>
      <c r="Q301">
        <v>2476.202</v>
      </c>
      <c r="R301" t="b">
        <v>0</v>
      </c>
      <c r="S301" t="b">
        <v>0</v>
      </c>
      <c r="T301" t="b">
        <v>0</v>
      </c>
    </row>
    <row r="302" spans="1:20">
      <c r="A302" t="s">
        <v>445</v>
      </c>
      <c r="B302">
        <v>43</v>
      </c>
      <c r="C302">
        <v>16</v>
      </c>
      <c r="D302" t="s">
        <v>314</v>
      </c>
      <c r="E302" t="s">
        <v>315</v>
      </c>
      <c r="F302" t="s">
        <v>334</v>
      </c>
      <c r="G302">
        <v>20</v>
      </c>
      <c r="H302">
        <v>19</v>
      </c>
      <c r="I302">
        <v>1</v>
      </c>
      <c r="J302" t="s">
        <v>335</v>
      </c>
      <c r="K302">
        <v>127.538</v>
      </c>
      <c r="L302">
        <v>37.338</v>
      </c>
      <c r="M302">
        <v>30.461</v>
      </c>
      <c r="N302">
        <v>35.12</v>
      </c>
      <c r="O302">
        <v>24.619</v>
      </c>
      <c r="P302">
        <v>339.1</v>
      </c>
      <c r="Q302">
        <v>127.538</v>
      </c>
      <c r="R302" t="b">
        <v>0</v>
      </c>
      <c r="S302" t="b">
        <v>0</v>
      </c>
      <c r="T302" t="b">
        <v>0</v>
      </c>
    </row>
    <row r="303" spans="1:20">
      <c r="A303" t="s">
        <v>445</v>
      </c>
      <c r="B303">
        <v>43</v>
      </c>
      <c r="C303">
        <v>16</v>
      </c>
      <c r="D303" t="s">
        <v>314</v>
      </c>
      <c r="E303" t="s">
        <v>315</v>
      </c>
      <c r="F303" t="s">
        <v>334</v>
      </c>
      <c r="G303">
        <v>20</v>
      </c>
      <c r="H303">
        <v>19</v>
      </c>
      <c r="I303">
        <v>2</v>
      </c>
      <c r="J303" t="s">
        <v>336</v>
      </c>
      <c r="K303">
        <v>125.893</v>
      </c>
      <c r="L303">
        <v>35.114</v>
      </c>
      <c r="M303">
        <v>31.516</v>
      </c>
      <c r="N303">
        <v>34.672</v>
      </c>
      <c r="O303">
        <v>24.591</v>
      </c>
      <c r="P303">
        <v>330.6</v>
      </c>
      <c r="Q303">
        <v>253.431</v>
      </c>
      <c r="R303" t="b">
        <v>0</v>
      </c>
      <c r="S303" t="b">
        <v>0</v>
      </c>
      <c r="T303" t="b">
        <v>0</v>
      </c>
    </row>
    <row r="304" spans="1:20">
      <c r="A304" t="s">
        <v>445</v>
      </c>
      <c r="B304">
        <v>43</v>
      </c>
      <c r="C304">
        <v>16</v>
      </c>
      <c r="D304" t="s">
        <v>314</v>
      </c>
      <c r="E304" t="s">
        <v>315</v>
      </c>
      <c r="F304" t="s">
        <v>334</v>
      </c>
      <c r="G304">
        <v>20</v>
      </c>
      <c r="H304">
        <v>19</v>
      </c>
      <c r="I304">
        <v>3</v>
      </c>
      <c r="J304" t="s">
        <v>209</v>
      </c>
      <c r="K304">
        <v>123.649</v>
      </c>
      <c r="L304">
        <v>34.884</v>
      </c>
      <c r="M304">
        <v>29.884</v>
      </c>
      <c r="N304">
        <v>34.372</v>
      </c>
      <c r="O304">
        <v>24.509</v>
      </c>
      <c r="P304">
        <v>331.6</v>
      </c>
      <c r="Q304">
        <v>377.08</v>
      </c>
      <c r="R304" t="b">
        <v>0</v>
      </c>
      <c r="S304" t="b">
        <v>0</v>
      </c>
      <c r="T304" t="b">
        <v>0</v>
      </c>
    </row>
    <row r="305" spans="1:20">
      <c r="A305" t="s">
        <v>445</v>
      </c>
      <c r="B305">
        <v>43</v>
      </c>
      <c r="C305">
        <v>16</v>
      </c>
      <c r="D305" t="s">
        <v>314</v>
      </c>
      <c r="E305" t="s">
        <v>315</v>
      </c>
      <c r="F305" t="s">
        <v>334</v>
      </c>
      <c r="G305">
        <v>20</v>
      </c>
      <c r="H305">
        <v>19</v>
      </c>
      <c r="I305">
        <v>4</v>
      </c>
      <c r="J305" t="s">
        <v>337</v>
      </c>
      <c r="K305">
        <v>123.335</v>
      </c>
      <c r="L305">
        <v>34.709</v>
      </c>
      <c r="M305">
        <v>29.695</v>
      </c>
      <c r="N305">
        <v>34.333</v>
      </c>
      <c r="O305">
        <v>24.598</v>
      </c>
      <c r="P305">
        <v>333.7</v>
      </c>
      <c r="Q305">
        <v>500.415</v>
      </c>
      <c r="R305" t="b">
        <v>0</v>
      </c>
      <c r="S305" t="b">
        <v>0</v>
      </c>
      <c r="T305" t="b">
        <v>0</v>
      </c>
    </row>
    <row r="306" spans="1:20">
      <c r="A306" t="s">
        <v>445</v>
      </c>
      <c r="B306">
        <v>43</v>
      </c>
      <c r="C306">
        <v>16</v>
      </c>
      <c r="D306" t="s">
        <v>314</v>
      </c>
      <c r="E306" t="s">
        <v>315</v>
      </c>
      <c r="F306" t="s">
        <v>334</v>
      </c>
      <c r="G306">
        <v>20</v>
      </c>
      <c r="H306">
        <v>19</v>
      </c>
      <c r="I306">
        <v>5</v>
      </c>
      <c r="J306" t="s">
        <v>338</v>
      </c>
      <c r="K306">
        <v>123.58</v>
      </c>
      <c r="L306">
        <v>34.809</v>
      </c>
      <c r="M306">
        <v>29.983</v>
      </c>
      <c r="N306">
        <v>34.281</v>
      </c>
      <c r="O306">
        <v>24.507</v>
      </c>
      <c r="P306">
        <v>336.9</v>
      </c>
      <c r="Q306">
        <v>623.995</v>
      </c>
      <c r="R306" t="b">
        <v>0</v>
      </c>
      <c r="S306" t="b">
        <v>0</v>
      </c>
      <c r="T306" t="b">
        <v>0</v>
      </c>
    </row>
    <row r="307" spans="1:20">
      <c r="A307" t="s">
        <v>445</v>
      </c>
      <c r="B307">
        <v>43</v>
      </c>
      <c r="C307">
        <v>16</v>
      </c>
      <c r="D307" t="s">
        <v>314</v>
      </c>
      <c r="E307" t="s">
        <v>315</v>
      </c>
      <c r="F307" t="s">
        <v>334</v>
      </c>
      <c r="G307">
        <v>20</v>
      </c>
      <c r="H307">
        <v>19</v>
      </c>
      <c r="I307">
        <v>6</v>
      </c>
      <c r="J307" t="s">
        <v>127</v>
      </c>
      <c r="K307">
        <v>123.64</v>
      </c>
      <c r="L307">
        <v>34.745</v>
      </c>
      <c r="M307">
        <v>29.948</v>
      </c>
      <c r="N307">
        <v>34.428</v>
      </c>
      <c r="O307">
        <v>24.519</v>
      </c>
      <c r="P307">
        <v>335.9</v>
      </c>
      <c r="Q307">
        <v>747.635</v>
      </c>
      <c r="R307" t="b">
        <v>0</v>
      </c>
      <c r="S307" t="b">
        <v>0</v>
      </c>
      <c r="T307" t="b">
        <v>0</v>
      </c>
    </row>
    <row r="308" spans="1:20">
      <c r="A308" t="s">
        <v>445</v>
      </c>
      <c r="B308">
        <v>43</v>
      </c>
      <c r="C308">
        <v>16</v>
      </c>
      <c r="D308" t="s">
        <v>314</v>
      </c>
      <c r="E308" t="s">
        <v>315</v>
      </c>
      <c r="F308" t="s">
        <v>334</v>
      </c>
      <c r="G308">
        <v>20</v>
      </c>
      <c r="H308">
        <v>19</v>
      </c>
      <c r="I308">
        <v>7</v>
      </c>
      <c r="J308" t="s">
        <v>278</v>
      </c>
      <c r="K308">
        <v>123.339</v>
      </c>
      <c r="L308">
        <v>34.683</v>
      </c>
      <c r="M308">
        <v>29.665</v>
      </c>
      <c r="N308">
        <v>34.435</v>
      </c>
      <c r="O308">
        <v>24.556</v>
      </c>
      <c r="P308">
        <v>338</v>
      </c>
      <c r="Q308">
        <v>870.974</v>
      </c>
      <c r="R308" t="b">
        <v>0</v>
      </c>
      <c r="S308" t="b">
        <v>0</v>
      </c>
      <c r="T308" t="b">
        <v>0</v>
      </c>
    </row>
    <row r="309" spans="1:20">
      <c r="A309" t="s">
        <v>445</v>
      </c>
      <c r="B309">
        <v>43</v>
      </c>
      <c r="C309">
        <v>16</v>
      </c>
      <c r="D309" t="s">
        <v>314</v>
      </c>
      <c r="E309" t="s">
        <v>315</v>
      </c>
      <c r="F309" t="s">
        <v>334</v>
      </c>
      <c r="G309">
        <v>20</v>
      </c>
      <c r="H309">
        <v>19</v>
      </c>
      <c r="I309">
        <v>8</v>
      </c>
      <c r="J309" t="s">
        <v>339</v>
      </c>
      <c r="K309">
        <v>123.654</v>
      </c>
      <c r="L309">
        <v>34.831</v>
      </c>
      <c r="M309">
        <v>29.737</v>
      </c>
      <c r="N309">
        <v>34.318</v>
      </c>
      <c r="O309">
        <v>24.768</v>
      </c>
      <c r="P309">
        <v>339.1</v>
      </c>
      <c r="Q309">
        <v>994.628</v>
      </c>
      <c r="R309" t="b">
        <v>0</v>
      </c>
      <c r="S309" t="b">
        <v>0</v>
      </c>
      <c r="T309" t="b">
        <v>0</v>
      </c>
    </row>
    <row r="310" spans="1:20">
      <c r="A310" t="s">
        <v>445</v>
      </c>
      <c r="B310">
        <v>43</v>
      </c>
      <c r="C310">
        <v>16</v>
      </c>
      <c r="D310" t="s">
        <v>314</v>
      </c>
      <c r="E310" t="s">
        <v>315</v>
      </c>
      <c r="F310" t="s">
        <v>334</v>
      </c>
      <c r="G310">
        <v>20</v>
      </c>
      <c r="H310">
        <v>19</v>
      </c>
      <c r="I310">
        <v>9</v>
      </c>
      <c r="J310" t="s">
        <v>340</v>
      </c>
      <c r="K310">
        <v>123.696</v>
      </c>
      <c r="L310">
        <v>34.848</v>
      </c>
      <c r="M310">
        <v>29.782</v>
      </c>
      <c r="N310">
        <v>34.308</v>
      </c>
      <c r="O310">
        <v>24.758</v>
      </c>
      <c r="P310">
        <v>334.8</v>
      </c>
      <c r="Q310">
        <v>1118.324</v>
      </c>
      <c r="R310" t="b">
        <v>0</v>
      </c>
      <c r="S310" t="b">
        <v>0</v>
      </c>
      <c r="T310" t="b">
        <v>0</v>
      </c>
    </row>
    <row r="311" spans="1:20">
      <c r="A311" t="s">
        <v>445</v>
      </c>
      <c r="B311">
        <v>43</v>
      </c>
      <c r="C311">
        <v>16</v>
      </c>
      <c r="D311" t="s">
        <v>314</v>
      </c>
      <c r="E311" t="s">
        <v>315</v>
      </c>
      <c r="F311" t="s">
        <v>334</v>
      </c>
      <c r="G311">
        <v>20</v>
      </c>
      <c r="H311">
        <v>19</v>
      </c>
      <c r="I311">
        <v>10</v>
      </c>
      <c r="J311" t="s">
        <v>341</v>
      </c>
      <c r="K311">
        <v>123.344</v>
      </c>
      <c r="L311">
        <v>34.645</v>
      </c>
      <c r="M311">
        <v>29.822</v>
      </c>
      <c r="N311">
        <v>34.266</v>
      </c>
      <c r="O311">
        <v>24.611</v>
      </c>
      <c r="P311">
        <v>332.7</v>
      </c>
      <c r="Q311">
        <v>1241.668</v>
      </c>
      <c r="R311" t="b">
        <v>0</v>
      </c>
      <c r="S311" t="b">
        <v>0</v>
      </c>
      <c r="T311" t="b">
        <v>0</v>
      </c>
    </row>
    <row r="312" spans="1:20">
      <c r="A312" t="s">
        <v>445</v>
      </c>
      <c r="B312">
        <v>43</v>
      </c>
      <c r="C312">
        <v>16</v>
      </c>
      <c r="D312" t="s">
        <v>314</v>
      </c>
      <c r="E312" t="s">
        <v>315</v>
      </c>
      <c r="F312" t="s">
        <v>334</v>
      </c>
      <c r="G312">
        <v>20</v>
      </c>
      <c r="H312">
        <v>19</v>
      </c>
      <c r="I312">
        <v>11</v>
      </c>
      <c r="J312" t="s">
        <v>266</v>
      </c>
      <c r="K312">
        <v>123.828</v>
      </c>
      <c r="L312">
        <v>34.681</v>
      </c>
      <c r="M312">
        <v>30.032</v>
      </c>
      <c r="N312">
        <v>34.458</v>
      </c>
      <c r="O312">
        <v>24.657</v>
      </c>
      <c r="P312">
        <v>332.7</v>
      </c>
      <c r="Q312">
        <v>1365.496</v>
      </c>
      <c r="R312" t="b">
        <v>0</v>
      </c>
      <c r="S312" t="b">
        <v>0</v>
      </c>
      <c r="T312" t="b">
        <v>0</v>
      </c>
    </row>
    <row r="313" spans="1:20">
      <c r="A313" t="s">
        <v>445</v>
      </c>
      <c r="B313">
        <v>43</v>
      </c>
      <c r="C313">
        <v>16</v>
      </c>
      <c r="D313" t="s">
        <v>314</v>
      </c>
      <c r="E313" t="s">
        <v>315</v>
      </c>
      <c r="F313" t="s">
        <v>334</v>
      </c>
      <c r="G313">
        <v>20</v>
      </c>
      <c r="H313">
        <v>19</v>
      </c>
      <c r="I313">
        <v>12</v>
      </c>
      <c r="J313" t="s">
        <v>342</v>
      </c>
      <c r="K313">
        <v>123.415</v>
      </c>
      <c r="L313">
        <v>34.769</v>
      </c>
      <c r="M313">
        <v>29.757</v>
      </c>
      <c r="N313">
        <v>34.264</v>
      </c>
      <c r="O313">
        <v>24.625</v>
      </c>
      <c r="P313">
        <v>333.7</v>
      </c>
      <c r="Q313">
        <v>1488.911</v>
      </c>
      <c r="R313" t="b">
        <v>0</v>
      </c>
      <c r="S313" t="b">
        <v>0</v>
      </c>
      <c r="T313" t="b">
        <v>0</v>
      </c>
    </row>
    <row r="314" spans="1:20">
      <c r="A314" t="s">
        <v>445</v>
      </c>
      <c r="B314">
        <v>43</v>
      </c>
      <c r="C314">
        <v>16</v>
      </c>
      <c r="D314" t="s">
        <v>314</v>
      </c>
      <c r="E314" t="s">
        <v>315</v>
      </c>
      <c r="F314" t="s">
        <v>334</v>
      </c>
      <c r="G314">
        <v>20</v>
      </c>
      <c r="H314">
        <v>19</v>
      </c>
      <c r="I314">
        <v>13</v>
      </c>
      <c r="J314" t="s">
        <v>343</v>
      </c>
      <c r="K314">
        <v>123.547</v>
      </c>
      <c r="L314">
        <v>34.776</v>
      </c>
      <c r="M314">
        <v>29.876</v>
      </c>
      <c r="N314">
        <v>34.267</v>
      </c>
      <c r="O314">
        <v>24.628</v>
      </c>
      <c r="P314">
        <v>330.6</v>
      </c>
      <c r="Q314">
        <v>1612.458</v>
      </c>
      <c r="R314" t="b">
        <v>0</v>
      </c>
      <c r="S314" t="b">
        <v>0</v>
      </c>
      <c r="T314" t="b">
        <v>0</v>
      </c>
    </row>
    <row r="315" spans="1:20">
      <c r="A315" t="s">
        <v>445</v>
      </c>
      <c r="B315">
        <v>43</v>
      </c>
      <c r="C315">
        <v>16</v>
      </c>
      <c r="D315" t="s">
        <v>314</v>
      </c>
      <c r="E315" t="s">
        <v>315</v>
      </c>
      <c r="F315" t="s">
        <v>334</v>
      </c>
      <c r="G315">
        <v>20</v>
      </c>
      <c r="H315">
        <v>19</v>
      </c>
      <c r="I315">
        <v>14</v>
      </c>
      <c r="J315" t="s">
        <v>344</v>
      </c>
      <c r="K315">
        <v>123.578</v>
      </c>
      <c r="L315">
        <v>34.864</v>
      </c>
      <c r="M315">
        <v>29.691</v>
      </c>
      <c r="N315">
        <v>34.435</v>
      </c>
      <c r="O315">
        <v>24.588</v>
      </c>
      <c r="P315">
        <v>330.6</v>
      </c>
      <c r="Q315">
        <v>1736.036</v>
      </c>
      <c r="R315" t="b">
        <v>0</v>
      </c>
      <c r="S315" t="b">
        <v>0</v>
      </c>
      <c r="T315" t="b">
        <v>0</v>
      </c>
    </row>
    <row r="316" spans="1:20">
      <c r="A316" t="s">
        <v>445</v>
      </c>
      <c r="B316">
        <v>43</v>
      </c>
      <c r="C316">
        <v>16</v>
      </c>
      <c r="D316" t="s">
        <v>314</v>
      </c>
      <c r="E316" t="s">
        <v>315</v>
      </c>
      <c r="F316" t="s">
        <v>334</v>
      </c>
      <c r="G316">
        <v>20</v>
      </c>
      <c r="H316">
        <v>19</v>
      </c>
      <c r="I316">
        <v>15</v>
      </c>
      <c r="J316" t="s">
        <v>47</v>
      </c>
      <c r="K316">
        <v>123.611</v>
      </c>
      <c r="L316">
        <v>34.663</v>
      </c>
      <c r="M316">
        <v>29.946</v>
      </c>
      <c r="N316">
        <v>34.355</v>
      </c>
      <c r="O316">
        <v>24.647</v>
      </c>
      <c r="P316">
        <v>329.6</v>
      </c>
      <c r="Q316">
        <v>1859.647</v>
      </c>
      <c r="R316" t="b">
        <v>0</v>
      </c>
      <c r="S316" t="b">
        <v>0</v>
      </c>
      <c r="T316" t="b">
        <v>0</v>
      </c>
    </row>
    <row r="317" spans="1:20">
      <c r="A317" t="s">
        <v>445</v>
      </c>
      <c r="B317">
        <v>43</v>
      </c>
      <c r="C317">
        <v>16</v>
      </c>
      <c r="D317" t="s">
        <v>314</v>
      </c>
      <c r="E317" t="s">
        <v>315</v>
      </c>
      <c r="F317" t="s">
        <v>334</v>
      </c>
      <c r="G317">
        <v>20</v>
      </c>
      <c r="H317">
        <v>19</v>
      </c>
      <c r="I317">
        <v>16</v>
      </c>
      <c r="J317" t="s">
        <v>345</v>
      </c>
      <c r="K317">
        <v>123.516</v>
      </c>
      <c r="L317">
        <v>34.793</v>
      </c>
      <c r="M317">
        <v>29.777</v>
      </c>
      <c r="N317">
        <v>34.26</v>
      </c>
      <c r="O317">
        <v>24.686</v>
      </c>
      <c r="P317">
        <v>330.6</v>
      </c>
      <c r="Q317">
        <v>1983.163</v>
      </c>
      <c r="R317" t="b">
        <v>0</v>
      </c>
      <c r="S317" t="b">
        <v>0</v>
      </c>
      <c r="T317" t="b">
        <v>0</v>
      </c>
    </row>
    <row r="318" spans="1:20">
      <c r="A318" t="s">
        <v>445</v>
      </c>
      <c r="B318">
        <v>43</v>
      </c>
      <c r="C318">
        <v>16</v>
      </c>
      <c r="D318" t="s">
        <v>314</v>
      </c>
      <c r="E318" t="s">
        <v>315</v>
      </c>
      <c r="F318" t="s">
        <v>334</v>
      </c>
      <c r="G318">
        <v>20</v>
      </c>
      <c r="H318">
        <v>19</v>
      </c>
      <c r="I318">
        <v>17</v>
      </c>
      <c r="J318" t="s">
        <v>346</v>
      </c>
      <c r="K318">
        <v>123.356</v>
      </c>
      <c r="L318">
        <v>34.84</v>
      </c>
      <c r="M318">
        <v>29.634</v>
      </c>
      <c r="N318">
        <v>34.292</v>
      </c>
      <c r="O318">
        <v>24.59</v>
      </c>
      <c r="P318">
        <v>330.6</v>
      </c>
      <c r="Q318">
        <v>2106.519</v>
      </c>
      <c r="R318" t="b">
        <v>0</v>
      </c>
      <c r="S318" t="b">
        <v>0</v>
      </c>
      <c r="T318" t="b">
        <v>0</v>
      </c>
    </row>
    <row r="319" spans="1:20">
      <c r="A319" t="s">
        <v>445</v>
      </c>
      <c r="B319">
        <v>43</v>
      </c>
      <c r="C319">
        <v>16</v>
      </c>
      <c r="D319" t="s">
        <v>314</v>
      </c>
      <c r="E319" t="s">
        <v>315</v>
      </c>
      <c r="F319" t="s">
        <v>334</v>
      </c>
      <c r="G319">
        <v>20</v>
      </c>
      <c r="H319">
        <v>19</v>
      </c>
      <c r="I319">
        <v>18</v>
      </c>
      <c r="J319" t="s">
        <v>347</v>
      </c>
      <c r="K319">
        <v>123.402</v>
      </c>
      <c r="L319">
        <v>34.862</v>
      </c>
      <c r="M319">
        <v>29.712</v>
      </c>
      <c r="N319">
        <v>34.282</v>
      </c>
      <c r="O319">
        <v>24.546</v>
      </c>
      <c r="P319">
        <v>333.7</v>
      </c>
      <c r="Q319">
        <v>2229.921</v>
      </c>
      <c r="R319" t="b">
        <v>0</v>
      </c>
      <c r="S319" t="b">
        <v>0</v>
      </c>
      <c r="T319" t="b">
        <v>0</v>
      </c>
    </row>
    <row r="320" spans="1:20">
      <c r="A320" t="s">
        <v>445</v>
      </c>
      <c r="B320">
        <v>43</v>
      </c>
      <c r="C320">
        <v>16</v>
      </c>
      <c r="D320" t="s">
        <v>314</v>
      </c>
      <c r="E320" t="s">
        <v>315</v>
      </c>
      <c r="F320" t="s">
        <v>334</v>
      </c>
      <c r="G320">
        <v>20</v>
      </c>
      <c r="H320">
        <v>19</v>
      </c>
      <c r="I320">
        <v>19</v>
      </c>
      <c r="J320" t="s">
        <v>348</v>
      </c>
      <c r="K320">
        <v>123.484</v>
      </c>
      <c r="L320">
        <v>34.633</v>
      </c>
      <c r="M320">
        <v>29.673</v>
      </c>
      <c r="N320">
        <v>34.505</v>
      </c>
      <c r="O320">
        <v>24.673</v>
      </c>
      <c r="P320">
        <v>340.2</v>
      </c>
      <c r="Q320">
        <v>2353.405</v>
      </c>
      <c r="R320" t="b">
        <v>0</v>
      </c>
      <c r="S320" t="b">
        <v>0</v>
      </c>
      <c r="T320" t="b">
        <v>0</v>
      </c>
    </row>
    <row r="321" spans="1:20">
      <c r="A321" t="s">
        <v>445</v>
      </c>
      <c r="B321">
        <v>43</v>
      </c>
      <c r="C321">
        <v>16</v>
      </c>
      <c r="D321" t="s">
        <v>314</v>
      </c>
      <c r="E321" t="s">
        <v>315</v>
      </c>
      <c r="F321" t="s">
        <v>334</v>
      </c>
      <c r="G321">
        <v>20</v>
      </c>
      <c r="H321">
        <v>19</v>
      </c>
      <c r="I321">
        <v>20</v>
      </c>
      <c r="J321" t="s">
        <v>349</v>
      </c>
      <c r="K321">
        <v>123.557</v>
      </c>
      <c r="L321">
        <v>34.879</v>
      </c>
      <c r="M321">
        <v>29.767</v>
      </c>
      <c r="N321">
        <v>34.298</v>
      </c>
      <c r="O321">
        <v>24.613</v>
      </c>
      <c r="P321">
        <v>329.6</v>
      </c>
      <c r="Q321">
        <v>2476.962</v>
      </c>
      <c r="R321" t="b">
        <v>0</v>
      </c>
      <c r="S321" t="b">
        <v>0</v>
      </c>
      <c r="T321" t="b">
        <v>0</v>
      </c>
    </row>
    <row r="322" spans="1:20">
      <c r="A322" t="s">
        <v>446</v>
      </c>
      <c r="B322">
        <v>20</v>
      </c>
      <c r="C322">
        <v>17</v>
      </c>
      <c r="D322" t="s">
        <v>351</v>
      </c>
      <c r="E322" t="s">
        <v>315</v>
      </c>
      <c r="F322" t="s">
        <v>352</v>
      </c>
      <c r="G322">
        <v>20</v>
      </c>
      <c r="H322">
        <v>19</v>
      </c>
      <c r="I322">
        <v>1</v>
      </c>
      <c r="J322" t="s">
        <v>353</v>
      </c>
      <c r="K322">
        <v>126.977</v>
      </c>
      <c r="L322">
        <v>36.919</v>
      </c>
      <c r="M322">
        <v>30.594</v>
      </c>
      <c r="N322">
        <v>34.771</v>
      </c>
      <c r="O322">
        <v>24.693</v>
      </c>
      <c r="P322">
        <v>333.7</v>
      </c>
      <c r="Q322">
        <v>126.977</v>
      </c>
      <c r="R322" t="b">
        <v>0</v>
      </c>
      <c r="S322" t="b">
        <v>0</v>
      </c>
      <c r="T322" t="b">
        <v>0</v>
      </c>
    </row>
    <row r="323" spans="1:20">
      <c r="A323" t="s">
        <v>446</v>
      </c>
      <c r="B323">
        <v>20</v>
      </c>
      <c r="C323">
        <v>17</v>
      </c>
      <c r="D323" t="s">
        <v>351</v>
      </c>
      <c r="E323" t="s">
        <v>315</v>
      </c>
      <c r="F323" t="s">
        <v>352</v>
      </c>
      <c r="G323">
        <v>20</v>
      </c>
      <c r="H323">
        <v>19</v>
      </c>
      <c r="I323">
        <v>2</v>
      </c>
      <c r="J323" t="s">
        <v>354</v>
      </c>
      <c r="K323">
        <v>125.881</v>
      </c>
      <c r="L323">
        <v>35.487</v>
      </c>
      <c r="M323">
        <v>31.481</v>
      </c>
      <c r="N323">
        <v>34.333</v>
      </c>
      <c r="O323">
        <v>24.58</v>
      </c>
      <c r="P323">
        <v>330.6</v>
      </c>
      <c r="Q323">
        <v>252.858</v>
      </c>
      <c r="R323" t="b">
        <v>0</v>
      </c>
      <c r="S323" t="b">
        <v>0</v>
      </c>
      <c r="T323" t="b">
        <v>0</v>
      </c>
    </row>
    <row r="324" spans="1:20">
      <c r="A324" t="s">
        <v>446</v>
      </c>
      <c r="B324">
        <v>20</v>
      </c>
      <c r="C324">
        <v>17</v>
      </c>
      <c r="D324" t="s">
        <v>351</v>
      </c>
      <c r="E324" t="s">
        <v>315</v>
      </c>
      <c r="F324" t="s">
        <v>352</v>
      </c>
      <c r="G324">
        <v>20</v>
      </c>
      <c r="H324">
        <v>19</v>
      </c>
      <c r="I324">
        <v>3</v>
      </c>
      <c r="J324" t="s">
        <v>284</v>
      </c>
      <c r="K324">
        <v>123.49</v>
      </c>
      <c r="L324">
        <v>34.839</v>
      </c>
      <c r="M324">
        <v>29.89</v>
      </c>
      <c r="N324">
        <v>34.246</v>
      </c>
      <c r="O324">
        <v>24.515</v>
      </c>
      <c r="P324">
        <v>328.5</v>
      </c>
      <c r="Q324">
        <v>376.348</v>
      </c>
      <c r="R324" t="b">
        <v>0</v>
      </c>
      <c r="S324" t="b">
        <v>0</v>
      </c>
      <c r="T324" t="b">
        <v>0</v>
      </c>
    </row>
    <row r="325" spans="1:20">
      <c r="A325" t="s">
        <v>446</v>
      </c>
      <c r="B325">
        <v>20</v>
      </c>
      <c r="C325">
        <v>17</v>
      </c>
      <c r="D325" t="s">
        <v>351</v>
      </c>
      <c r="E325" t="s">
        <v>315</v>
      </c>
      <c r="F325" t="s">
        <v>352</v>
      </c>
      <c r="G325">
        <v>20</v>
      </c>
      <c r="H325">
        <v>19</v>
      </c>
      <c r="I325">
        <v>4</v>
      </c>
      <c r="J325" t="s">
        <v>355</v>
      </c>
      <c r="K325">
        <v>123.419</v>
      </c>
      <c r="L325">
        <v>34.807</v>
      </c>
      <c r="M325">
        <v>29.787</v>
      </c>
      <c r="N325">
        <v>34.226</v>
      </c>
      <c r="O325">
        <v>24.599</v>
      </c>
      <c r="P325">
        <v>329.6</v>
      </c>
      <c r="Q325">
        <v>499.767</v>
      </c>
      <c r="R325" t="b">
        <v>0</v>
      </c>
      <c r="S325" t="b">
        <v>0</v>
      </c>
      <c r="T325" t="b">
        <v>0</v>
      </c>
    </row>
    <row r="326" spans="1:20">
      <c r="A326" t="s">
        <v>446</v>
      </c>
      <c r="B326">
        <v>20</v>
      </c>
      <c r="C326">
        <v>17</v>
      </c>
      <c r="D326" t="s">
        <v>351</v>
      </c>
      <c r="E326" t="s">
        <v>315</v>
      </c>
      <c r="F326" t="s">
        <v>352</v>
      </c>
      <c r="G326">
        <v>20</v>
      </c>
      <c r="H326">
        <v>19</v>
      </c>
      <c r="I326">
        <v>5</v>
      </c>
      <c r="J326" t="s">
        <v>356</v>
      </c>
      <c r="K326">
        <v>123.468</v>
      </c>
      <c r="L326">
        <v>34.757</v>
      </c>
      <c r="M326">
        <v>29.704</v>
      </c>
      <c r="N326">
        <v>34.441</v>
      </c>
      <c r="O326">
        <v>24.566</v>
      </c>
      <c r="P326">
        <v>330.6</v>
      </c>
      <c r="Q326">
        <v>623.235</v>
      </c>
      <c r="R326" t="b">
        <v>0</v>
      </c>
      <c r="S326" t="b">
        <v>0</v>
      </c>
      <c r="T326" t="b">
        <v>0</v>
      </c>
    </row>
    <row r="327" spans="1:20">
      <c r="A327" t="s">
        <v>446</v>
      </c>
      <c r="B327">
        <v>20</v>
      </c>
      <c r="C327">
        <v>17</v>
      </c>
      <c r="D327" t="s">
        <v>351</v>
      </c>
      <c r="E327" t="s">
        <v>315</v>
      </c>
      <c r="F327" t="s">
        <v>352</v>
      </c>
      <c r="G327">
        <v>20</v>
      </c>
      <c r="H327">
        <v>19</v>
      </c>
      <c r="I327">
        <v>6</v>
      </c>
      <c r="J327" t="s">
        <v>357</v>
      </c>
      <c r="K327">
        <v>123.441</v>
      </c>
      <c r="L327">
        <v>34.813</v>
      </c>
      <c r="M327">
        <v>29.894</v>
      </c>
      <c r="N327">
        <v>34.203</v>
      </c>
      <c r="O327">
        <v>24.531</v>
      </c>
      <c r="P327">
        <v>329.6</v>
      </c>
      <c r="Q327">
        <v>746.676</v>
      </c>
      <c r="R327" t="b">
        <v>0</v>
      </c>
      <c r="S327" t="b">
        <v>0</v>
      </c>
      <c r="T327" t="b">
        <v>0</v>
      </c>
    </row>
    <row r="328" spans="1:20">
      <c r="A328" t="s">
        <v>446</v>
      </c>
      <c r="B328">
        <v>20</v>
      </c>
      <c r="C328">
        <v>17</v>
      </c>
      <c r="D328" t="s">
        <v>351</v>
      </c>
      <c r="E328" t="s">
        <v>315</v>
      </c>
      <c r="F328" t="s">
        <v>352</v>
      </c>
      <c r="G328">
        <v>20</v>
      </c>
      <c r="H328">
        <v>19</v>
      </c>
      <c r="I328">
        <v>7</v>
      </c>
      <c r="J328" t="s">
        <v>357</v>
      </c>
      <c r="K328">
        <v>123.441</v>
      </c>
      <c r="L328">
        <v>34.816</v>
      </c>
      <c r="M328">
        <v>29.916</v>
      </c>
      <c r="N328">
        <v>34.177</v>
      </c>
      <c r="O328">
        <v>24.532</v>
      </c>
      <c r="P328">
        <v>335.9</v>
      </c>
      <c r="Q328">
        <v>870.117</v>
      </c>
      <c r="R328" t="b">
        <v>0</v>
      </c>
      <c r="S328" t="b">
        <v>0</v>
      </c>
      <c r="T328" t="b">
        <v>0</v>
      </c>
    </row>
    <row r="329" spans="1:20">
      <c r="A329" t="s">
        <v>446</v>
      </c>
      <c r="B329">
        <v>20</v>
      </c>
      <c r="C329">
        <v>17</v>
      </c>
      <c r="D329" t="s">
        <v>351</v>
      </c>
      <c r="E329" t="s">
        <v>315</v>
      </c>
      <c r="F329" t="s">
        <v>352</v>
      </c>
      <c r="G329">
        <v>20</v>
      </c>
      <c r="H329">
        <v>19</v>
      </c>
      <c r="I329">
        <v>8</v>
      </c>
      <c r="J329" t="s">
        <v>358</v>
      </c>
      <c r="K329">
        <v>123.624</v>
      </c>
      <c r="L329">
        <v>34.75</v>
      </c>
      <c r="M329">
        <v>29.767</v>
      </c>
      <c r="N329">
        <v>34.454</v>
      </c>
      <c r="O329">
        <v>24.653</v>
      </c>
      <c r="P329">
        <v>335.9</v>
      </c>
      <c r="Q329">
        <v>993.741</v>
      </c>
      <c r="R329" t="b">
        <v>0</v>
      </c>
      <c r="S329" t="b">
        <v>0</v>
      </c>
      <c r="T329" t="b">
        <v>0</v>
      </c>
    </row>
    <row r="330" spans="1:20">
      <c r="A330" t="s">
        <v>446</v>
      </c>
      <c r="B330">
        <v>20</v>
      </c>
      <c r="C330">
        <v>17</v>
      </c>
      <c r="D330" t="s">
        <v>351</v>
      </c>
      <c r="E330" t="s">
        <v>315</v>
      </c>
      <c r="F330" t="s">
        <v>352</v>
      </c>
      <c r="G330">
        <v>20</v>
      </c>
      <c r="H330">
        <v>19</v>
      </c>
      <c r="I330">
        <v>9</v>
      </c>
      <c r="J330" t="s">
        <v>223</v>
      </c>
      <c r="K330">
        <v>123.341</v>
      </c>
      <c r="L330">
        <v>34.768</v>
      </c>
      <c r="M330">
        <v>29.815</v>
      </c>
      <c r="N330">
        <v>34.18</v>
      </c>
      <c r="O330">
        <v>24.578</v>
      </c>
      <c r="P330">
        <v>334.8</v>
      </c>
      <c r="Q330">
        <v>1117.082</v>
      </c>
      <c r="R330" t="b">
        <v>0</v>
      </c>
      <c r="S330" t="b">
        <v>0</v>
      </c>
      <c r="T330" t="b">
        <v>0</v>
      </c>
    </row>
    <row r="331" spans="1:20">
      <c r="A331" t="s">
        <v>446</v>
      </c>
      <c r="B331">
        <v>20</v>
      </c>
      <c r="C331">
        <v>17</v>
      </c>
      <c r="D331" t="s">
        <v>351</v>
      </c>
      <c r="E331" t="s">
        <v>315</v>
      </c>
      <c r="F331" t="s">
        <v>352</v>
      </c>
      <c r="G331">
        <v>20</v>
      </c>
      <c r="H331">
        <v>19</v>
      </c>
      <c r="I331">
        <v>10</v>
      </c>
      <c r="J331" t="s">
        <v>107</v>
      </c>
      <c r="K331">
        <v>123.275</v>
      </c>
      <c r="L331">
        <v>34.733</v>
      </c>
      <c r="M331">
        <v>29.782</v>
      </c>
      <c r="N331">
        <v>34.231</v>
      </c>
      <c r="O331">
        <v>24.529</v>
      </c>
      <c r="P331">
        <v>329.6</v>
      </c>
      <c r="Q331">
        <v>1240.357</v>
      </c>
      <c r="R331" t="b">
        <v>0</v>
      </c>
      <c r="S331" t="b">
        <v>0</v>
      </c>
      <c r="T331" t="b">
        <v>0</v>
      </c>
    </row>
    <row r="332" spans="1:20">
      <c r="A332" t="s">
        <v>446</v>
      </c>
      <c r="B332">
        <v>20</v>
      </c>
      <c r="C332">
        <v>17</v>
      </c>
      <c r="D332" t="s">
        <v>351</v>
      </c>
      <c r="E332" t="s">
        <v>315</v>
      </c>
      <c r="F332" t="s">
        <v>352</v>
      </c>
      <c r="G332">
        <v>20</v>
      </c>
      <c r="H332">
        <v>19</v>
      </c>
      <c r="I332">
        <v>11</v>
      </c>
      <c r="J332" t="s">
        <v>359</v>
      </c>
      <c r="K332">
        <v>123.237</v>
      </c>
      <c r="L332">
        <v>34.738</v>
      </c>
      <c r="M332">
        <v>29.761</v>
      </c>
      <c r="N332">
        <v>34.159</v>
      </c>
      <c r="O332">
        <v>24.579</v>
      </c>
      <c r="P332">
        <v>334.8</v>
      </c>
      <c r="Q332">
        <v>1363.594</v>
      </c>
      <c r="R332" t="b">
        <v>0</v>
      </c>
      <c r="S332" t="b">
        <v>0</v>
      </c>
      <c r="T332" t="b">
        <v>0</v>
      </c>
    </row>
    <row r="333" spans="1:20">
      <c r="A333" t="s">
        <v>446</v>
      </c>
      <c r="B333">
        <v>20</v>
      </c>
      <c r="C333">
        <v>17</v>
      </c>
      <c r="D333" t="s">
        <v>351</v>
      </c>
      <c r="E333" t="s">
        <v>315</v>
      </c>
      <c r="F333" t="s">
        <v>352</v>
      </c>
      <c r="G333">
        <v>20</v>
      </c>
      <c r="H333">
        <v>19</v>
      </c>
      <c r="I333">
        <v>12</v>
      </c>
      <c r="J333" t="s">
        <v>360</v>
      </c>
      <c r="K333">
        <v>123.481</v>
      </c>
      <c r="L333">
        <v>34.853</v>
      </c>
      <c r="M333">
        <v>29.792</v>
      </c>
      <c r="N333">
        <v>34.183</v>
      </c>
      <c r="O333">
        <v>24.653</v>
      </c>
      <c r="P333">
        <v>332.7</v>
      </c>
      <c r="Q333">
        <v>1487.075</v>
      </c>
      <c r="R333" t="b">
        <v>0</v>
      </c>
      <c r="S333" t="b">
        <v>0</v>
      </c>
      <c r="T333" t="b">
        <v>0</v>
      </c>
    </row>
    <row r="334" spans="1:20">
      <c r="A334" t="s">
        <v>446</v>
      </c>
      <c r="B334">
        <v>20</v>
      </c>
      <c r="C334">
        <v>17</v>
      </c>
      <c r="D334" t="s">
        <v>351</v>
      </c>
      <c r="E334" t="s">
        <v>315</v>
      </c>
      <c r="F334" t="s">
        <v>352</v>
      </c>
      <c r="G334">
        <v>20</v>
      </c>
      <c r="H334">
        <v>19</v>
      </c>
      <c r="I334">
        <v>13</v>
      </c>
      <c r="J334" t="s">
        <v>361</v>
      </c>
      <c r="K334">
        <v>123.384</v>
      </c>
      <c r="L334">
        <v>34.765</v>
      </c>
      <c r="M334">
        <v>29.795</v>
      </c>
      <c r="N334">
        <v>34.233</v>
      </c>
      <c r="O334">
        <v>24.591</v>
      </c>
      <c r="P334">
        <v>331.6</v>
      </c>
      <c r="Q334">
        <v>1610.459</v>
      </c>
      <c r="R334" t="b">
        <v>0</v>
      </c>
      <c r="S334" t="b">
        <v>0</v>
      </c>
      <c r="T334" t="b">
        <v>0</v>
      </c>
    </row>
    <row r="335" spans="1:20">
      <c r="A335" t="s">
        <v>446</v>
      </c>
      <c r="B335">
        <v>20</v>
      </c>
      <c r="C335">
        <v>17</v>
      </c>
      <c r="D335" t="s">
        <v>351</v>
      </c>
      <c r="E335" t="s">
        <v>315</v>
      </c>
      <c r="F335" t="s">
        <v>352</v>
      </c>
      <c r="G335">
        <v>20</v>
      </c>
      <c r="H335">
        <v>19</v>
      </c>
      <c r="I335">
        <v>14</v>
      </c>
      <c r="J335" t="s">
        <v>362</v>
      </c>
      <c r="K335">
        <v>123.369</v>
      </c>
      <c r="L335">
        <v>34.804</v>
      </c>
      <c r="M335">
        <v>29.717</v>
      </c>
      <c r="N335">
        <v>34.265</v>
      </c>
      <c r="O335">
        <v>24.583</v>
      </c>
      <c r="P335">
        <v>332.7</v>
      </c>
      <c r="Q335">
        <v>1733.828</v>
      </c>
      <c r="R335" t="b">
        <v>0</v>
      </c>
      <c r="S335" t="b">
        <v>0</v>
      </c>
      <c r="T335" t="b">
        <v>0</v>
      </c>
    </row>
    <row r="336" spans="1:20">
      <c r="A336" t="s">
        <v>446</v>
      </c>
      <c r="B336">
        <v>20</v>
      </c>
      <c r="C336">
        <v>17</v>
      </c>
      <c r="D336" t="s">
        <v>351</v>
      </c>
      <c r="E336" t="s">
        <v>315</v>
      </c>
      <c r="F336" t="s">
        <v>352</v>
      </c>
      <c r="G336">
        <v>20</v>
      </c>
      <c r="H336">
        <v>19</v>
      </c>
      <c r="I336">
        <v>15</v>
      </c>
      <c r="J336" t="s">
        <v>363</v>
      </c>
      <c r="K336">
        <v>123.789</v>
      </c>
      <c r="L336">
        <v>34.888</v>
      </c>
      <c r="M336">
        <v>29.83</v>
      </c>
      <c r="N336">
        <v>34.373</v>
      </c>
      <c r="O336">
        <v>24.698</v>
      </c>
      <c r="P336">
        <v>330.6</v>
      </c>
      <c r="Q336">
        <v>1857.617</v>
      </c>
      <c r="R336" t="b">
        <v>0</v>
      </c>
      <c r="S336" t="b">
        <v>0</v>
      </c>
      <c r="T336" t="b">
        <v>0</v>
      </c>
    </row>
    <row r="337" spans="1:20">
      <c r="A337" t="s">
        <v>446</v>
      </c>
      <c r="B337">
        <v>20</v>
      </c>
      <c r="C337">
        <v>17</v>
      </c>
      <c r="D337" t="s">
        <v>351</v>
      </c>
      <c r="E337" t="s">
        <v>315</v>
      </c>
      <c r="F337" t="s">
        <v>352</v>
      </c>
      <c r="G337">
        <v>20</v>
      </c>
      <c r="H337">
        <v>19</v>
      </c>
      <c r="I337">
        <v>16</v>
      </c>
      <c r="J337" t="s">
        <v>364</v>
      </c>
      <c r="K337">
        <v>123.44</v>
      </c>
      <c r="L337">
        <v>34.79</v>
      </c>
      <c r="M337">
        <v>29.724</v>
      </c>
      <c r="N337">
        <v>34.262</v>
      </c>
      <c r="O337">
        <v>24.664</v>
      </c>
      <c r="P337">
        <v>331.6</v>
      </c>
      <c r="Q337">
        <v>1981.057</v>
      </c>
      <c r="R337" t="b">
        <v>0</v>
      </c>
      <c r="S337" t="b">
        <v>0</v>
      </c>
      <c r="T337" t="b">
        <v>0</v>
      </c>
    </row>
    <row r="338" spans="1:20">
      <c r="A338" t="s">
        <v>446</v>
      </c>
      <c r="B338">
        <v>20</v>
      </c>
      <c r="C338">
        <v>17</v>
      </c>
      <c r="D338" t="s">
        <v>351</v>
      </c>
      <c r="E338" t="s">
        <v>315</v>
      </c>
      <c r="F338" t="s">
        <v>352</v>
      </c>
      <c r="G338">
        <v>20</v>
      </c>
      <c r="H338">
        <v>19</v>
      </c>
      <c r="I338">
        <v>17</v>
      </c>
      <c r="J338" t="s">
        <v>365</v>
      </c>
      <c r="K338">
        <v>123.556</v>
      </c>
      <c r="L338">
        <v>34.815</v>
      </c>
      <c r="M338">
        <v>29.8</v>
      </c>
      <c r="N338">
        <v>34.311</v>
      </c>
      <c r="O338">
        <v>24.63</v>
      </c>
      <c r="P338">
        <v>332.7</v>
      </c>
      <c r="Q338">
        <v>2104.613</v>
      </c>
      <c r="R338" t="b">
        <v>0</v>
      </c>
      <c r="S338" t="b">
        <v>0</v>
      </c>
      <c r="T338" t="b">
        <v>0</v>
      </c>
    </row>
    <row r="339" spans="1:20">
      <c r="A339" t="s">
        <v>446</v>
      </c>
      <c r="B339">
        <v>20</v>
      </c>
      <c r="C339">
        <v>17</v>
      </c>
      <c r="D339" t="s">
        <v>351</v>
      </c>
      <c r="E339" t="s">
        <v>315</v>
      </c>
      <c r="F339" t="s">
        <v>352</v>
      </c>
      <c r="G339">
        <v>20</v>
      </c>
      <c r="H339">
        <v>19</v>
      </c>
      <c r="I339">
        <v>18</v>
      </c>
      <c r="J339" t="s">
        <v>366</v>
      </c>
      <c r="K339">
        <v>124.364</v>
      </c>
      <c r="L339">
        <v>34.832</v>
      </c>
      <c r="M339">
        <v>30.243</v>
      </c>
      <c r="N339">
        <v>34.478</v>
      </c>
      <c r="O339">
        <v>24.811</v>
      </c>
      <c r="P339">
        <v>332.7</v>
      </c>
      <c r="Q339">
        <v>2228.977</v>
      </c>
      <c r="R339" t="b">
        <v>0</v>
      </c>
      <c r="S339" t="b">
        <v>0</v>
      </c>
      <c r="T339" t="b">
        <v>0</v>
      </c>
    </row>
    <row r="340" spans="1:20">
      <c r="A340" t="s">
        <v>446</v>
      </c>
      <c r="B340">
        <v>20</v>
      </c>
      <c r="C340">
        <v>17</v>
      </c>
      <c r="D340" t="s">
        <v>351</v>
      </c>
      <c r="E340" t="s">
        <v>315</v>
      </c>
      <c r="F340" t="s">
        <v>352</v>
      </c>
      <c r="G340">
        <v>20</v>
      </c>
      <c r="H340">
        <v>19</v>
      </c>
      <c r="I340">
        <v>19</v>
      </c>
      <c r="J340" t="s">
        <v>367</v>
      </c>
      <c r="K340">
        <v>124.222</v>
      </c>
      <c r="L340">
        <v>35.07</v>
      </c>
      <c r="M340">
        <v>29.927</v>
      </c>
      <c r="N340">
        <v>34.506</v>
      </c>
      <c r="O340">
        <v>24.719</v>
      </c>
      <c r="P340">
        <v>333.7</v>
      </c>
      <c r="Q340">
        <v>2353.199</v>
      </c>
      <c r="R340" t="b">
        <v>0</v>
      </c>
      <c r="S340" t="b">
        <v>0</v>
      </c>
      <c r="T340" t="b">
        <v>0</v>
      </c>
    </row>
    <row r="341" spans="1:20">
      <c r="A341" t="s">
        <v>446</v>
      </c>
      <c r="B341">
        <v>20</v>
      </c>
      <c r="C341">
        <v>17</v>
      </c>
      <c r="D341" t="s">
        <v>351</v>
      </c>
      <c r="E341" t="s">
        <v>315</v>
      </c>
      <c r="F341" t="s">
        <v>352</v>
      </c>
      <c r="G341">
        <v>20</v>
      </c>
      <c r="H341">
        <v>19</v>
      </c>
      <c r="I341">
        <v>20</v>
      </c>
      <c r="J341" t="s">
        <v>368</v>
      </c>
      <c r="K341">
        <v>124.59</v>
      </c>
      <c r="L341">
        <v>34.914</v>
      </c>
      <c r="M341">
        <v>30.155</v>
      </c>
      <c r="N341">
        <v>34.579</v>
      </c>
      <c r="O341">
        <v>24.942</v>
      </c>
      <c r="P341">
        <v>333.7</v>
      </c>
      <c r="Q341">
        <v>2477.789</v>
      </c>
      <c r="R341" t="b">
        <v>0</v>
      </c>
      <c r="S341" t="b">
        <v>0</v>
      </c>
      <c r="T341" t="b">
        <v>0</v>
      </c>
    </row>
    <row r="342" spans="1:20">
      <c r="A342" t="s">
        <v>447</v>
      </c>
      <c r="B342">
        <v>42</v>
      </c>
      <c r="C342">
        <v>18</v>
      </c>
      <c r="D342" t="s">
        <v>351</v>
      </c>
      <c r="E342" t="s">
        <v>315</v>
      </c>
      <c r="F342" t="s">
        <v>46</v>
      </c>
      <c r="G342">
        <v>20</v>
      </c>
      <c r="H342">
        <v>19</v>
      </c>
      <c r="I342">
        <v>1</v>
      </c>
      <c r="J342" t="s">
        <v>370</v>
      </c>
      <c r="K342">
        <v>127.887</v>
      </c>
      <c r="L342">
        <v>37.593</v>
      </c>
      <c r="M342">
        <v>30.579</v>
      </c>
      <c r="N342">
        <v>34.919</v>
      </c>
      <c r="O342">
        <v>24.796</v>
      </c>
      <c r="P342">
        <v>340.2</v>
      </c>
      <c r="Q342">
        <v>127.887</v>
      </c>
      <c r="R342" t="b">
        <v>0</v>
      </c>
      <c r="S342" t="b">
        <v>0</v>
      </c>
      <c r="T342" t="b">
        <v>0</v>
      </c>
    </row>
    <row r="343" spans="1:20">
      <c r="A343" t="s">
        <v>447</v>
      </c>
      <c r="B343">
        <v>42</v>
      </c>
      <c r="C343">
        <v>18</v>
      </c>
      <c r="D343" t="s">
        <v>351</v>
      </c>
      <c r="E343" t="s">
        <v>315</v>
      </c>
      <c r="F343" t="s">
        <v>46</v>
      </c>
      <c r="G343">
        <v>20</v>
      </c>
      <c r="H343">
        <v>19</v>
      </c>
      <c r="I343">
        <v>2</v>
      </c>
      <c r="J343" t="s">
        <v>371</v>
      </c>
      <c r="K343">
        <v>125.773</v>
      </c>
      <c r="L343">
        <v>34.898</v>
      </c>
      <c r="M343">
        <v>31.712</v>
      </c>
      <c r="N343">
        <v>34.554</v>
      </c>
      <c r="O343">
        <v>24.609</v>
      </c>
      <c r="P343">
        <v>342.4</v>
      </c>
      <c r="Q343">
        <v>253.66</v>
      </c>
      <c r="R343" t="b">
        <v>0</v>
      </c>
      <c r="S343" t="b">
        <v>0</v>
      </c>
      <c r="T343" t="b">
        <v>0</v>
      </c>
    </row>
    <row r="344" spans="1:20">
      <c r="A344" t="s">
        <v>447</v>
      </c>
      <c r="B344">
        <v>42</v>
      </c>
      <c r="C344">
        <v>18</v>
      </c>
      <c r="D344" t="s">
        <v>351</v>
      </c>
      <c r="E344" t="s">
        <v>315</v>
      </c>
      <c r="F344" t="s">
        <v>46</v>
      </c>
      <c r="G344">
        <v>20</v>
      </c>
      <c r="H344">
        <v>19</v>
      </c>
      <c r="I344">
        <v>3</v>
      </c>
      <c r="J344" t="s">
        <v>372</v>
      </c>
      <c r="K344">
        <v>123.734</v>
      </c>
      <c r="L344">
        <v>34.896</v>
      </c>
      <c r="M344">
        <v>29.929</v>
      </c>
      <c r="N344">
        <v>34.351</v>
      </c>
      <c r="O344">
        <v>24.558</v>
      </c>
      <c r="P344">
        <v>336.9</v>
      </c>
      <c r="Q344">
        <v>377.394</v>
      </c>
      <c r="R344" t="b">
        <v>0</v>
      </c>
      <c r="S344" t="b">
        <v>0</v>
      </c>
      <c r="T344" t="b">
        <v>0</v>
      </c>
    </row>
    <row r="345" spans="1:20">
      <c r="A345" t="s">
        <v>447</v>
      </c>
      <c r="B345">
        <v>42</v>
      </c>
      <c r="C345">
        <v>18</v>
      </c>
      <c r="D345" t="s">
        <v>351</v>
      </c>
      <c r="E345" t="s">
        <v>315</v>
      </c>
      <c r="F345" t="s">
        <v>46</v>
      </c>
      <c r="G345">
        <v>20</v>
      </c>
      <c r="H345">
        <v>19</v>
      </c>
      <c r="I345">
        <v>4</v>
      </c>
      <c r="J345" t="s">
        <v>373</v>
      </c>
      <c r="K345">
        <v>123.188</v>
      </c>
      <c r="L345">
        <v>34.777</v>
      </c>
      <c r="M345">
        <v>29.661</v>
      </c>
      <c r="N345">
        <v>34.188</v>
      </c>
      <c r="O345">
        <v>24.562</v>
      </c>
      <c r="P345">
        <v>338</v>
      </c>
      <c r="Q345">
        <v>500.582</v>
      </c>
      <c r="R345" t="b">
        <v>0</v>
      </c>
      <c r="S345" t="b">
        <v>0</v>
      </c>
      <c r="T345" t="b">
        <v>0</v>
      </c>
    </row>
    <row r="346" spans="1:20">
      <c r="A346" t="s">
        <v>447</v>
      </c>
      <c r="B346">
        <v>42</v>
      </c>
      <c r="C346">
        <v>18</v>
      </c>
      <c r="D346" t="s">
        <v>351</v>
      </c>
      <c r="E346" t="s">
        <v>315</v>
      </c>
      <c r="F346" t="s">
        <v>46</v>
      </c>
      <c r="G346">
        <v>20</v>
      </c>
      <c r="H346">
        <v>19</v>
      </c>
      <c r="I346">
        <v>5</v>
      </c>
      <c r="J346" t="s">
        <v>374</v>
      </c>
      <c r="K346">
        <v>123.084</v>
      </c>
      <c r="L346">
        <v>34.642</v>
      </c>
      <c r="M346">
        <v>29.76</v>
      </c>
      <c r="N346">
        <v>34.107</v>
      </c>
      <c r="O346">
        <v>24.575</v>
      </c>
      <c r="P346">
        <v>335.9</v>
      </c>
      <c r="Q346">
        <v>623.6660000000001</v>
      </c>
      <c r="R346" t="b">
        <v>0</v>
      </c>
      <c r="S346" t="b">
        <v>0</v>
      </c>
      <c r="T346" t="b">
        <v>0</v>
      </c>
    </row>
    <row r="347" spans="1:20">
      <c r="A347" t="s">
        <v>447</v>
      </c>
      <c r="B347">
        <v>42</v>
      </c>
      <c r="C347">
        <v>18</v>
      </c>
      <c r="D347" t="s">
        <v>351</v>
      </c>
      <c r="E347" t="s">
        <v>315</v>
      </c>
      <c r="F347" t="s">
        <v>46</v>
      </c>
      <c r="G347">
        <v>20</v>
      </c>
      <c r="H347">
        <v>19</v>
      </c>
      <c r="I347">
        <v>6</v>
      </c>
      <c r="J347" t="s">
        <v>375</v>
      </c>
      <c r="K347">
        <v>123.508</v>
      </c>
      <c r="L347">
        <v>34.732</v>
      </c>
      <c r="M347">
        <v>29.879</v>
      </c>
      <c r="N347">
        <v>34.334</v>
      </c>
      <c r="O347">
        <v>24.563</v>
      </c>
      <c r="P347">
        <v>340.2</v>
      </c>
      <c r="Q347">
        <v>747.174</v>
      </c>
      <c r="R347" t="b">
        <v>0</v>
      </c>
      <c r="S347" t="b">
        <v>0</v>
      </c>
      <c r="T347" t="b">
        <v>0</v>
      </c>
    </row>
    <row r="348" spans="1:20">
      <c r="A348" t="s">
        <v>447</v>
      </c>
      <c r="B348">
        <v>42</v>
      </c>
      <c r="C348">
        <v>18</v>
      </c>
      <c r="D348" t="s">
        <v>351</v>
      </c>
      <c r="E348" t="s">
        <v>315</v>
      </c>
      <c r="F348" t="s">
        <v>46</v>
      </c>
      <c r="G348">
        <v>20</v>
      </c>
      <c r="H348">
        <v>19</v>
      </c>
      <c r="I348">
        <v>7</v>
      </c>
      <c r="J348" t="s">
        <v>376</v>
      </c>
      <c r="K348">
        <v>123.532</v>
      </c>
      <c r="L348">
        <v>34.669</v>
      </c>
      <c r="M348">
        <v>29.93</v>
      </c>
      <c r="N348">
        <v>34.268</v>
      </c>
      <c r="O348">
        <v>24.665</v>
      </c>
      <c r="P348">
        <v>340.2</v>
      </c>
      <c r="Q348">
        <v>870.706</v>
      </c>
      <c r="R348" t="b">
        <v>0</v>
      </c>
      <c r="S348" t="b">
        <v>0</v>
      </c>
      <c r="T348" t="b">
        <v>0</v>
      </c>
    </row>
    <row r="349" spans="1:20">
      <c r="A349" t="s">
        <v>447</v>
      </c>
      <c r="B349">
        <v>42</v>
      </c>
      <c r="C349">
        <v>18</v>
      </c>
      <c r="D349" t="s">
        <v>351</v>
      </c>
      <c r="E349" t="s">
        <v>315</v>
      </c>
      <c r="F349" t="s">
        <v>46</v>
      </c>
      <c r="G349">
        <v>20</v>
      </c>
      <c r="H349">
        <v>19</v>
      </c>
      <c r="I349">
        <v>8</v>
      </c>
      <c r="J349" t="s">
        <v>377</v>
      </c>
      <c r="K349">
        <v>124.806</v>
      </c>
      <c r="L349">
        <v>34.78</v>
      </c>
      <c r="M349">
        <v>29.835</v>
      </c>
      <c r="N349">
        <v>35.389</v>
      </c>
      <c r="O349">
        <v>24.802</v>
      </c>
      <c r="P349">
        <v>338</v>
      </c>
      <c r="Q349">
        <v>995.5119999999999</v>
      </c>
      <c r="R349" t="b">
        <v>0</v>
      </c>
      <c r="S349" t="b">
        <v>0</v>
      </c>
      <c r="T349" t="b">
        <v>0</v>
      </c>
    </row>
    <row r="350" spans="1:20">
      <c r="A350" t="s">
        <v>447</v>
      </c>
      <c r="B350">
        <v>42</v>
      </c>
      <c r="C350">
        <v>18</v>
      </c>
      <c r="D350" t="s">
        <v>351</v>
      </c>
      <c r="E350" t="s">
        <v>315</v>
      </c>
      <c r="F350" t="s">
        <v>46</v>
      </c>
      <c r="G350">
        <v>20</v>
      </c>
      <c r="H350">
        <v>19</v>
      </c>
      <c r="I350">
        <v>9</v>
      </c>
      <c r="J350" t="s">
        <v>378</v>
      </c>
      <c r="K350">
        <v>124.27</v>
      </c>
      <c r="L350">
        <v>35.262</v>
      </c>
      <c r="M350">
        <v>29.882</v>
      </c>
      <c r="N350">
        <v>34.437</v>
      </c>
      <c r="O350">
        <v>24.689</v>
      </c>
      <c r="P350">
        <v>333.7</v>
      </c>
      <c r="Q350">
        <v>1119.782</v>
      </c>
      <c r="R350" t="b">
        <v>0</v>
      </c>
      <c r="S350" t="b">
        <v>0</v>
      </c>
      <c r="T350" t="b">
        <v>0</v>
      </c>
    </row>
    <row r="351" spans="1:20">
      <c r="A351" t="s">
        <v>447</v>
      </c>
      <c r="B351">
        <v>42</v>
      </c>
      <c r="C351">
        <v>18</v>
      </c>
      <c r="D351" t="s">
        <v>351</v>
      </c>
      <c r="E351" t="s">
        <v>315</v>
      </c>
      <c r="F351" t="s">
        <v>46</v>
      </c>
      <c r="G351">
        <v>20</v>
      </c>
      <c r="H351">
        <v>19</v>
      </c>
      <c r="I351">
        <v>10</v>
      </c>
      <c r="J351" t="s">
        <v>379</v>
      </c>
      <c r="K351">
        <v>124.209</v>
      </c>
      <c r="L351">
        <v>34.903</v>
      </c>
      <c r="M351">
        <v>30.026</v>
      </c>
      <c r="N351">
        <v>34.622</v>
      </c>
      <c r="O351">
        <v>24.658</v>
      </c>
      <c r="P351">
        <v>332.7</v>
      </c>
      <c r="Q351">
        <v>1243.991</v>
      </c>
      <c r="R351" t="b">
        <v>0</v>
      </c>
      <c r="S351" t="b">
        <v>0</v>
      </c>
      <c r="T351" t="b">
        <v>0</v>
      </c>
    </row>
    <row r="352" spans="1:20">
      <c r="A352" t="s">
        <v>447</v>
      </c>
      <c r="B352">
        <v>42</v>
      </c>
      <c r="C352">
        <v>18</v>
      </c>
      <c r="D352" t="s">
        <v>351</v>
      </c>
      <c r="E352" t="s">
        <v>315</v>
      </c>
      <c r="F352" t="s">
        <v>46</v>
      </c>
      <c r="G352">
        <v>20</v>
      </c>
      <c r="H352">
        <v>19</v>
      </c>
      <c r="I352">
        <v>11</v>
      </c>
      <c r="J352" t="s">
        <v>380</v>
      </c>
      <c r="K352">
        <v>123.629</v>
      </c>
      <c r="L352">
        <v>34.823</v>
      </c>
      <c r="M352">
        <v>29.757</v>
      </c>
      <c r="N352">
        <v>34.379</v>
      </c>
      <c r="O352">
        <v>24.67</v>
      </c>
      <c r="P352">
        <v>332.7</v>
      </c>
      <c r="Q352">
        <v>1367.62</v>
      </c>
      <c r="R352" t="b">
        <v>0</v>
      </c>
      <c r="S352" t="b">
        <v>0</v>
      </c>
      <c r="T352" t="b">
        <v>0</v>
      </c>
    </row>
    <row r="353" spans="1:20">
      <c r="A353" t="s">
        <v>447</v>
      </c>
      <c r="B353">
        <v>42</v>
      </c>
      <c r="C353">
        <v>18</v>
      </c>
      <c r="D353" t="s">
        <v>351</v>
      </c>
      <c r="E353" t="s">
        <v>315</v>
      </c>
      <c r="F353" t="s">
        <v>46</v>
      </c>
      <c r="G353">
        <v>20</v>
      </c>
      <c r="H353">
        <v>19</v>
      </c>
      <c r="I353">
        <v>12</v>
      </c>
      <c r="J353" t="s">
        <v>381</v>
      </c>
      <c r="K353">
        <v>123.805</v>
      </c>
      <c r="L353">
        <v>34.85</v>
      </c>
      <c r="M353">
        <v>29.908</v>
      </c>
      <c r="N353">
        <v>34.374</v>
      </c>
      <c r="O353">
        <v>24.673</v>
      </c>
      <c r="P353">
        <v>333.7</v>
      </c>
      <c r="Q353">
        <v>1491.425</v>
      </c>
      <c r="R353" t="b">
        <v>0</v>
      </c>
      <c r="S353" t="b">
        <v>0</v>
      </c>
      <c r="T353" t="b">
        <v>0</v>
      </c>
    </row>
    <row r="354" spans="1:20">
      <c r="A354" t="s">
        <v>447</v>
      </c>
      <c r="B354">
        <v>42</v>
      </c>
      <c r="C354">
        <v>18</v>
      </c>
      <c r="D354" t="s">
        <v>351</v>
      </c>
      <c r="E354" t="s">
        <v>315</v>
      </c>
      <c r="F354" t="s">
        <v>46</v>
      </c>
      <c r="G354">
        <v>20</v>
      </c>
      <c r="H354">
        <v>19</v>
      </c>
      <c r="I354">
        <v>13</v>
      </c>
      <c r="J354" t="s">
        <v>382</v>
      </c>
      <c r="K354">
        <v>124.026</v>
      </c>
      <c r="L354">
        <v>34.993</v>
      </c>
      <c r="M354">
        <v>30.051</v>
      </c>
      <c r="N354">
        <v>34.313</v>
      </c>
      <c r="O354">
        <v>24.669</v>
      </c>
      <c r="P354">
        <v>329.6</v>
      </c>
      <c r="Q354">
        <v>1615.451</v>
      </c>
      <c r="R354" t="b">
        <v>0</v>
      </c>
      <c r="S354" t="b">
        <v>0</v>
      </c>
      <c r="T354" t="b">
        <v>0</v>
      </c>
    </row>
    <row r="355" spans="1:20">
      <c r="A355" t="s">
        <v>447</v>
      </c>
      <c r="B355">
        <v>42</v>
      </c>
      <c r="C355">
        <v>18</v>
      </c>
      <c r="D355" t="s">
        <v>351</v>
      </c>
      <c r="E355" t="s">
        <v>315</v>
      </c>
      <c r="F355" t="s">
        <v>46</v>
      </c>
      <c r="G355">
        <v>20</v>
      </c>
      <c r="H355">
        <v>19</v>
      </c>
      <c r="I355">
        <v>14</v>
      </c>
      <c r="J355" t="s">
        <v>383</v>
      </c>
      <c r="K355">
        <v>124.098</v>
      </c>
      <c r="L355">
        <v>35.043</v>
      </c>
      <c r="M355">
        <v>29.973</v>
      </c>
      <c r="N355">
        <v>34.261</v>
      </c>
      <c r="O355">
        <v>24.821</v>
      </c>
      <c r="P355">
        <v>329.6</v>
      </c>
      <c r="Q355">
        <v>1739.549</v>
      </c>
      <c r="R355" t="b">
        <v>0</v>
      </c>
      <c r="S355" t="b">
        <v>0</v>
      </c>
      <c r="T355" t="b">
        <v>0</v>
      </c>
    </row>
    <row r="356" spans="1:20">
      <c r="A356" t="s">
        <v>447</v>
      </c>
      <c r="B356">
        <v>42</v>
      </c>
      <c r="C356">
        <v>18</v>
      </c>
      <c r="D356" t="s">
        <v>351</v>
      </c>
      <c r="E356" t="s">
        <v>315</v>
      </c>
      <c r="F356" t="s">
        <v>46</v>
      </c>
      <c r="G356">
        <v>20</v>
      </c>
      <c r="H356">
        <v>19</v>
      </c>
      <c r="I356">
        <v>15</v>
      </c>
      <c r="J356" t="s">
        <v>384</v>
      </c>
      <c r="K356">
        <v>124.111</v>
      </c>
      <c r="L356">
        <v>34.96</v>
      </c>
      <c r="M356">
        <v>29.948</v>
      </c>
      <c r="N356">
        <v>34.476</v>
      </c>
      <c r="O356">
        <v>24.727</v>
      </c>
      <c r="P356">
        <v>329.6</v>
      </c>
      <c r="Q356">
        <v>1863.66</v>
      </c>
      <c r="R356" t="b">
        <v>0</v>
      </c>
      <c r="S356" t="b">
        <v>0</v>
      </c>
      <c r="T356" t="b">
        <v>0</v>
      </c>
    </row>
    <row r="357" spans="1:20">
      <c r="A357" t="s">
        <v>447</v>
      </c>
      <c r="B357">
        <v>42</v>
      </c>
      <c r="C357">
        <v>18</v>
      </c>
      <c r="D357" t="s">
        <v>351</v>
      </c>
      <c r="E357" t="s">
        <v>315</v>
      </c>
      <c r="F357" t="s">
        <v>46</v>
      </c>
      <c r="G357">
        <v>20</v>
      </c>
      <c r="H357">
        <v>19</v>
      </c>
      <c r="I357">
        <v>16</v>
      </c>
      <c r="J357" t="s">
        <v>385</v>
      </c>
      <c r="K357">
        <v>124.701</v>
      </c>
      <c r="L357">
        <v>35.21</v>
      </c>
      <c r="M357">
        <v>30.176</v>
      </c>
      <c r="N357">
        <v>34.463</v>
      </c>
      <c r="O357">
        <v>24.852</v>
      </c>
      <c r="P357">
        <v>329.6</v>
      </c>
      <c r="Q357">
        <v>1988.361</v>
      </c>
      <c r="R357" t="b">
        <v>0</v>
      </c>
      <c r="S357" t="b">
        <v>0</v>
      </c>
      <c r="T357" t="b">
        <v>0</v>
      </c>
    </row>
    <row r="358" spans="1:20">
      <c r="A358" t="s">
        <v>447</v>
      </c>
      <c r="B358">
        <v>42</v>
      </c>
      <c r="C358">
        <v>18</v>
      </c>
      <c r="D358" t="s">
        <v>351</v>
      </c>
      <c r="E358" t="s">
        <v>315</v>
      </c>
      <c r="F358" t="s">
        <v>46</v>
      </c>
      <c r="G358">
        <v>20</v>
      </c>
      <c r="H358">
        <v>19</v>
      </c>
      <c r="I358">
        <v>17</v>
      </c>
      <c r="J358" t="s">
        <v>386</v>
      </c>
      <c r="K358">
        <v>124.574</v>
      </c>
      <c r="L358">
        <v>34.994</v>
      </c>
      <c r="M358">
        <v>30.038</v>
      </c>
      <c r="N358">
        <v>34.57</v>
      </c>
      <c r="O358">
        <v>24.972</v>
      </c>
      <c r="P358">
        <v>328.5</v>
      </c>
      <c r="Q358">
        <v>2112.935</v>
      </c>
      <c r="R358" t="b">
        <v>0</v>
      </c>
      <c r="S358" t="b">
        <v>0</v>
      </c>
      <c r="T358" t="b">
        <v>0</v>
      </c>
    </row>
    <row r="359" spans="1:20">
      <c r="A359" t="s">
        <v>447</v>
      </c>
      <c r="B359">
        <v>42</v>
      </c>
      <c r="C359">
        <v>18</v>
      </c>
      <c r="D359" t="s">
        <v>351</v>
      </c>
      <c r="E359" t="s">
        <v>315</v>
      </c>
      <c r="F359" t="s">
        <v>46</v>
      </c>
      <c r="G359">
        <v>20</v>
      </c>
      <c r="H359">
        <v>19</v>
      </c>
      <c r="I359">
        <v>18</v>
      </c>
      <c r="J359" t="s">
        <v>387</v>
      </c>
      <c r="K359">
        <v>125.181</v>
      </c>
      <c r="L359">
        <v>35.475</v>
      </c>
      <c r="M359">
        <v>30.137</v>
      </c>
      <c r="N359">
        <v>34.571</v>
      </c>
      <c r="O359">
        <v>24.998</v>
      </c>
      <c r="P359">
        <v>330.6</v>
      </c>
      <c r="Q359">
        <v>2238.116</v>
      </c>
      <c r="R359" t="b">
        <v>0</v>
      </c>
      <c r="S359" t="b">
        <v>0</v>
      </c>
      <c r="T359" t="b">
        <v>0</v>
      </c>
    </row>
    <row r="360" spans="1:20">
      <c r="A360" t="s">
        <v>447</v>
      </c>
      <c r="B360">
        <v>42</v>
      </c>
      <c r="C360">
        <v>18</v>
      </c>
      <c r="D360" t="s">
        <v>351</v>
      </c>
      <c r="E360" t="s">
        <v>315</v>
      </c>
      <c r="F360" t="s">
        <v>46</v>
      </c>
      <c r="G360">
        <v>20</v>
      </c>
      <c r="H360">
        <v>19</v>
      </c>
      <c r="I360">
        <v>19</v>
      </c>
      <c r="J360" t="s">
        <v>388</v>
      </c>
      <c r="K360">
        <v>125.265</v>
      </c>
      <c r="L360">
        <v>35.403</v>
      </c>
      <c r="M360">
        <v>30.151</v>
      </c>
      <c r="N360">
        <v>34.732</v>
      </c>
      <c r="O360">
        <v>24.979</v>
      </c>
      <c r="P360">
        <v>329.6</v>
      </c>
      <c r="Q360">
        <v>2363.381</v>
      </c>
      <c r="R360" t="b">
        <v>0</v>
      </c>
      <c r="S360" t="b">
        <v>0</v>
      </c>
      <c r="T360" t="b">
        <v>0</v>
      </c>
    </row>
    <row r="361" spans="1:20">
      <c r="A361" t="s">
        <v>447</v>
      </c>
      <c r="B361">
        <v>42</v>
      </c>
      <c r="C361">
        <v>18</v>
      </c>
      <c r="D361" t="s">
        <v>351</v>
      </c>
      <c r="E361" t="s">
        <v>315</v>
      </c>
      <c r="F361" t="s">
        <v>46</v>
      </c>
      <c r="G361">
        <v>20</v>
      </c>
      <c r="H361">
        <v>19</v>
      </c>
      <c r="I361">
        <v>20</v>
      </c>
      <c r="J361" t="s">
        <v>389</v>
      </c>
      <c r="K361">
        <v>125.973</v>
      </c>
      <c r="L361">
        <v>35.619</v>
      </c>
      <c r="M361">
        <v>30.258</v>
      </c>
      <c r="N361">
        <v>34.963</v>
      </c>
      <c r="O361">
        <v>25.133</v>
      </c>
      <c r="P361">
        <v>329.6</v>
      </c>
      <c r="Q361">
        <v>2489.354</v>
      </c>
      <c r="R361" t="b">
        <v>0</v>
      </c>
      <c r="S361" t="b">
        <v>0</v>
      </c>
      <c r="T361" t="b">
        <v>0</v>
      </c>
    </row>
    <row r="362" spans="1:20">
      <c r="A362" t="s">
        <v>448</v>
      </c>
      <c r="B362">
        <v>5</v>
      </c>
      <c r="C362">
        <v>19</v>
      </c>
      <c r="D362" t="s">
        <v>391</v>
      </c>
      <c r="E362" t="s">
        <v>193</v>
      </c>
      <c r="F362" t="s">
        <v>352</v>
      </c>
      <c r="G362">
        <v>18</v>
      </c>
      <c r="H362">
        <v>16</v>
      </c>
      <c r="I362">
        <v>1</v>
      </c>
      <c r="J362" t="s">
        <v>392</v>
      </c>
      <c r="K362">
        <v>126.434</v>
      </c>
      <c r="L362">
        <v>36.719</v>
      </c>
      <c r="M362">
        <v>30.203</v>
      </c>
      <c r="N362">
        <v>35.049</v>
      </c>
      <c r="O362">
        <v>24.463</v>
      </c>
      <c r="P362">
        <v>336.9</v>
      </c>
      <c r="Q362">
        <v>126.434</v>
      </c>
      <c r="R362" t="b">
        <v>0</v>
      </c>
      <c r="S362" t="b">
        <v>0</v>
      </c>
      <c r="T362" t="b">
        <v>0</v>
      </c>
    </row>
    <row r="363" spans="1:20">
      <c r="A363" t="s">
        <v>448</v>
      </c>
      <c r="B363">
        <v>5</v>
      </c>
      <c r="C363">
        <v>19</v>
      </c>
      <c r="D363" t="s">
        <v>391</v>
      </c>
      <c r="E363" t="s">
        <v>193</v>
      </c>
      <c r="F363" t="s">
        <v>352</v>
      </c>
      <c r="G363">
        <v>18</v>
      </c>
      <c r="H363">
        <v>16</v>
      </c>
      <c r="I363">
        <v>2</v>
      </c>
      <c r="J363" t="s">
        <v>393</v>
      </c>
      <c r="K363">
        <v>226.246</v>
      </c>
      <c r="L363">
        <v>34.52</v>
      </c>
      <c r="M363">
        <v>10.825</v>
      </c>
      <c r="N363">
        <v>35.902</v>
      </c>
      <c r="O363">
        <v>24.999</v>
      </c>
      <c r="P363">
        <v>322.5</v>
      </c>
      <c r="Q363">
        <v>352.68</v>
      </c>
      <c r="R363" t="b">
        <v>0</v>
      </c>
      <c r="S363" t="b">
        <v>0</v>
      </c>
      <c r="T363" t="b">
        <v>0</v>
      </c>
    </row>
    <row r="364" spans="1:20">
      <c r="A364" t="s">
        <v>448</v>
      </c>
      <c r="B364">
        <v>5</v>
      </c>
      <c r="C364">
        <v>19</v>
      </c>
      <c r="D364" t="s">
        <v>391</v>
      </c>
      <c r="E364" t="s">
        <v>193</v>
      </c>
      <c r="F364" t="s">
        <v>352</v>
      </c>
      <c r="G364">
        <v>18</v>
      </c>
      <c r="H364">
        <v>16</v>
      </c>
      <c r="I364">
        <v>3</v>
      </c>
      <c r="J364" t="s">
        <v>394</v>
      </c>
      <c r="K364">
        <v>125.063</v>
      </c>
      <c r="L364">
        <v>35.703</v>
      </c>
      <c r="M364">
        <v>30.127</v>
      </c>
      <c r="N364">
        <v>34.585</v>
      </c>
      <c r="O364">
        <v>24.648</v>
      </c>
      <c r="P364">
        <v>334.8</v>
      </c>
      <c r="Q364">
        <v>477.743</v>
      </c>
      <c r="R364" t="b">
        <v>0</v>
      </c>
      <c r="S364" t="b">
        <v>0</v>
      </c>
      <c r="T364" t="b">
        <v>0</v>
      </c>
    </row>
    <row r="365" spans="1:20">
      <c r="A365" t="s">
        <v>448</v>
      </c>
      <c r="B365">
        <v>5</v>
      </c>
      <c r="C365">
        <v>19</v>
      </c>
      <c r="D365" t="s">
        <v>391</v>
      </c>
      <c r="E365" t="s">
        <v>193</v>
      </c>
      <c r="F365" t="s">
        <v>352</v>
      </c>
      <c r="G365">
        <v>18</v>
      </c>
      <c r="H365">
        <v>16</v>
      </c>
      <c r="I365">
        <v>4</v>
      </c>
      <c r="J365" t="s">
        <v>395</v>
      </c>
      <c r="K365">
        <v>123.92</v>
      </c>
      <c r="L365">
        <v>35.158</v>
      </c>
      <c r="M365">
        <v>29.864</v>
      </c>
      <c r="N365">
        <v>34.183</v>
      </c>
      <c r="O365">
        <v>24.715</v>
      </c>
      <c r="P365">
        <v>334.8</v>
      </c>
      <c r="Q365">
        <v>601.663</v>
      </c>
      <c r="R365" t="b">
        <v>0</v>
      </c>
      <c r="S365" t="b">
        <v>0</v>
      </c>
      <c r="T365" t="b">
        <v>0</v>
      </c>
    </row>
    <row r="366" spans="1:20">
      <c r="A366" t="s">
        <v>448</v>
      </c>
      <c r="B366">
        <v>5</v>
      </c>
      <c r="C366">
        <v>19</v>
      </c>
      <c r="D366" t="s">
        <v>391</v>
      </c>
      <c r="E366" t="s">
        <v>193</v>
      </c>
      <c r="F366" t="s">
        <v>352</v>
      </c>
      <c r="G366">
        <v>18</v>
      </c>
      <c r="H366">
        <v>16</v>
      </c>
      <c r="I366">
        <v>5</v>
      </c>
      <c r="J366" t="s">
        <v>396</v>
      </c>
      <c r="K366">
        <v>122.753</v>
      </c>
      <c r="L366">
        <v>34.704</v>
      </c>
      <c r="M366">
        <v>29.61</v>
      </c>
      <c r="N366">
        <v>34.024</v>
      </c>
      <c r="O366">
        <v>24.415</v>
      </c>
      <c r="P366">
        <v>336.9</v>
      </c>
      <c r="Q366">
        <v>724.4160000000001</v>
      </c>
      <c r="R366" t="b">
        <v>0</v>
      </c>
      <c r="S366" t="b">
        <v>0</v>
      </c>
      <c r="T366" t="b">
        <v>0</v>
      </c>
    </row>
    <row r="367" spans="1:20">
      <c r="A367" t="s">
        <v>448</v>
      </c>
      <c r="B367">
        <v>5</v>
      </c>
      <c r="C367">
        <v>19</v>
      </c>
      <c r="D367" t="s">
        <v>391</v>
      </c>
      <c r="E367" t="s">
        <v>193</v>
      </c>
      <c r="F367" t="s">
        <v>352</v>
      </c>
      <c r="G367">
        <v>18</v>
      </c>
      <c r="H367">
        <v>16</v>
      </c>
      <c r="I367">
        <v>6</v>
      </c>
      <c r="J367" t="s">
        <v>155</v>
      </c>
      <c r="K367">
        <v>122.856</v>
      </c>
      <c r="L367">
        <v>34.385</v>
      </c>
      <c r="M367">
        <v>29.752</v>
      </c>
      <c r="N367">
        <v>34.196</v>
      </c>
      <c r="O367">
        <v>24.523</v>
      </c>
      <c r="P367">
        <v>336.9</v>
      </c>
      <c r="Q367">
        <v>847.272</v>
      </c>
      <c r="R367" t="b">
        <v>0</v>
      </c>
      <c r="S367" t="b">
        <v>0</v>
      </c>
      <c r="T367" t="b">
        <v>0</v>
      </c>
    </row>
    <row r="368" spans="1:20">
      <c r="A368" t="s">
        <v>448</v>
      </c>
      <c r="B368">
        <v>5</v>
      </c>
      <c r="C368">
        <v>19</v>
      </c>
      <c r="D368" t="s">
        <v>391</v>
      </c>
      <c r="E368" t="s">
        <v>193</v>
      </c>
      <c r="F368" t="s">
        <v>352</v>
      </c>
      <c r="G368">
        <v>18</v>
      </c>
      <c r="H368">
        <v>16</v>
      </c>
      <c r="I368">
        <v>7</v>
      </c>
      <c r="J368" t="s">
        <v>397</v>
      </c>
      <c r="K368">
        <v>122.705</v>
      </c>
      <c r="L368">
        <v>34.598</v>
      </c>
      <c r="M368">
        <v>29.68</v>
      </c>
      <c r="N368">
        <v>33.919</v>
      </c>
      <c r="O368">
        <v>24.508</v>
      </c>
      <c r="P368">
        <v>336.9</v>
      </c>
      <c r="Q368">
        <v>969.977</v>
      </c>
      <c r="R368" t="b">
        <v>0</v>
      </c>
      <c r="S368" t="b">
        <v>0</v>
      </c>
      <c r="T368" t="b">
        <v>0</v>
      </c>
    </row>
    <row r="369" spans="1:20">
      <c r="A369" t="s">
        <v>448</v>
      </c>
      <c r="B369">
        <v>5</v>
      </c>
      <c r="C369">
        <v>19</v>
      </c>
      <c r="D369" t="s">
        <v>391</v>
      </c>
      <c r="E369" t="s">
        <v>193</v>
      </c>
      <c r="F369" t="s">
        <v>352</v>
      </c>
      <c r="G369">
        <v>18</v>
      </c>
      <c r="H369">
        <v>16</v>
      </c>
      <c r="I369">
        <v>8</v>
      </c>
      <c r="J369" t="s">
        <v>398</v>
      </c>
      <c r="K369">
        <v>123.315</v>
      </c>
      <c r="L369">
        <v>34.757</v>
      </c>
      <c r="M369">
        <v>29.962</v>
      </c>
      <c r="N369">
        <v>34.042</v>
      </c>
      <c r="O369">
        <v>24.554</v>
      </c>
      <c r="P369">
        <v>338</v>
      </c>
      <c r="Q369">
        <v>1093.292</v>
      </c>
      <c r="R369" t="b">
        <v>0</v>
      </c>
      <c r="S369" t="b">
        <v>0</v>
      </c>
      <c r="T369" t="b">
        <v>0</v>
      </c>
    </row>
    <row r="370" spans="1:20">
      <c r="A370" t="s">
        <v>448</v>
      </c>
      <c r="B370">
        <v>5</v>
      </c>
      <c r="C370">
        <v>19</v>
      </c>
      <c r="D370" t="s">
        <v>391</v>
      </c>
      <c r="E370" t="s">
        <v>193</v>
      </c>
      <c r="F370" t="s">
        <v>352</v>
      </c>
      <c r="G370">
        <v>18</v>
      </c>
      <c r="H370">
        <v>16</v>
      </c>
      <c r="I370">
        <v>9</v>
      </c>
      <c r="J370" t="s">
        <v>399</v>
      </c>
      <c r="K370">
        <v>122.664</v>
      </c>
      <c r="L370">
        <v>34.622</v>
      </c>
      <c r="M370">
        <v>29.546</v>
      </c>
      <c r="N370">
        <v>34.005</v>
      </c>
      <c r="O370">
        <v>24.491</v>
      </c>
      <c r="P370">
        <v>336.9</v>
      </c>
      <c r="Q370">
        <v>1215.956</v>
      </c>
      <c r="R370" t="b">
        <v>0</v>
      </c>
      <c r="S370" t="b">
        <v>0</v>
      </c>
      <c r="T370" t="b">
        <v>0</v>
      </c>
    </row>
    <row r="371" spans="1:20">
      <c r="A371" t="s">
        <v>448</v>
      </c>
      <c r="B371">
        <v>5</v>
      </c>
      <c r="C371">
        <v>19</v>
      </c>
      <c r="D371" t="s">
        <v>391</v>
      </c>
      <c r="E371" t="s">
        <v>193</v>
      </c>
      <c r="F371" t="s">
        <v>352</v>
      </c>
      <c r="G371">
        <v>18</v>
      </c>
      <c r="H371">
        <v>16</v>
      </c>
      <c r="I371">
        <v>10</v>
      </c>
      <c r="J371" t="s">
        <v>400</v>
      </c>
      <c r="K371">
        <v>122.073</v>
      </c>
      <c r="L371">
        <v>34.439</v>
      </c>
      <c r="M371">
        <v>29.484</v>
      </c>
      <c r="N371">
        <v>33.835</v>
      </c>
      <c r="O371">
        <v>24.315</v>
      </c>
      <c r="P371">
        <v>338</v>
      </c>
      <c r="Q371">
        <v>1338.029</v>
      </c>
      <c r="R371" t="b">
        <v>0</v>
      </c>
      <c r="S371" t="b">
        <v>0</v>
      </c>
      <c r="T371" t="b">
        <v>0</v>
      </c>
    </row>
    <row r="372" spans="1:20">
      <c r="A372" t="s">
        <v>448</v>
      </c>
      <c r="B372">
        <v>5</v>
      </c>
      <c r="C372">
        <v>19</v>
      </c>
      <c r="D372" t="s">
        <v>391</v>
      </c>
      <c r="E372" t="s">
        <v>193</v>
      </c>
      <c r="F372" t="s">
        <v>352</v>
      </c>
      <c r="G372">
        <v>18</v>
      </c>
      <c r="H372">
        <v>16</v>
      </c>
      <c r="I372">
        <v>11</v>
      </c>
      <c r="J372" t="s">
        <v>401</v>
      </c>
      <c r="K372">
        <v>123.932</v>
      </c>
      <c r="L372">
        <v>35.101</v>
      </c>
      <c r="M372">
        <v>29.894</v>
      </c>
      <c r="N372">
        <v>34.231</v>
      </c>
      <c r="O372">
        <v>24.706</v>
      </c>
      <c r="P372">
        <v>338</v>
      </c>
      <c r="Q372">
        <v>1461.961</v>
      </c>
      <c r="R372" t="b">
        <v>0</v>
      </c>
      <c r="S372" t="b">
        <v>0</v>
      </c>
      <c r="T372" t="b">
        <v>0</v>
      </c>
    </row>
    <row r="373" spans="1:20">
      <c r="A373" t="s">
        <v>448</v>
      </c>
      <c r="B373">
        <v>5</v>
      </c>
      <c r="C373">
        <v>19</v>
      </c>
      <c r="D373" t="s">
        <v>391</v>
      </c>
      <c r="E373" t="s">
        <v>193</v>
      </c>
      <c r="F373" t="s">
        <v>352</v>
      </c>
      <c r="G373">
        <v>18</v>
      </c>
      <c r="H373">
        <v>16</v>
      </c>
      <c r="I373">
        <v>12</v>
      </c>
      <c r="J373" t="s">
        <v>276</v>
      </c>
      <c r="K373">
        <v>123.097</v>
      </c>
      <c r="L373">
        <v>34.46</v>
      </c>
      <c r="M373">
        <v>29.732</v>
      </c>
      <c r="N373">
        <v>34.281</v>
      </c>
      <c r="O373">
        <v>24.624</v>
      </c>
      <c r="P373">
        <v>336.9</v>
      </c>
      <c r="Q373">
        <v>1585.058</v>
      </c>
      <c r="R373" t="b">
        <v>0</v>
      </c>
      <c r="S373" t="b">
        <v>0</v>
      </c>
      <c r="T373" t="b">
        <v>0</v>
      </c>
    </row>
    <row r="374" spans="1:20">
      <c r="A374" t="s">
        <v>448</v>
      </c>
      <c r="B374">
        <v>5</v>
      </c>
      <c r="C374">
        <v>19</v>
      </c>
      <c r="D374" t="s">
        <v>391</v>
      </c>
      <c r="E374" t="s">
        <v>193</v>
      </c>
      <c r="F374" t="s">
        <v>352</v>
      </c>
      <c r="G374">
        <v>18</v>
      </c>
      <c r="H374">
        <v>16</v>
      </c>
      <c r="I374">
        <v>13</v>
      </c>
      <c r="J374" t="s">
        <v>402</v>
      </c>
      <c r="K374">
        <v>123.083</v>
      </c>
      <c r="L374">
        <v>34.539</v>
      </c>
      <c r="M374">
        <v>29.693</v>
      </c>
      <c r="N374">
        <v>34.147</v>
      </c>
      <c r="O374">
        <v>24.704</v>
      </c>
      <c r="P374">
        <v>335.9</v>
      </c>
      <c r="Q374">
        <v>1708.141</v>
      </c>
      <c r="R374" t="b">
        <v>0</v>
      </c>
      <c r="S374" t="b">
        <v>0</v>
      </c>
      <c r="T374" t="b">
        <v>0</v>
      </c>
    </row>
    <row r="375" spans="1:20">
      <c r="A375" t="s">
        <v>448</v>
      </c>
      <c r="B375">
        <v>5</v>
      </c>
      <c r="C375">
        <v>19</v>
      </c>
      <c r="D375" t="s">
        <v>391</v>
      </c>
      <c r="E375" t="s">
        <v>193</v>
      </c>
      <c r="F375" t="s">
        <v>352</v>
      </c>
      <c r="G375">
        <v>18</v>
      </c>
      <c r="H375">
        <v>16</v>
      </c>
      <c r="I375">
        <v>14</v>
      </c>
      <c r="J375" t="s">
        <v>403</v>
      </c>
      <c r="K375">
        <v>123.212</v>
      </c>
      <c r="L375">
        <v>34.557</v>
      </c>
      <c r="M375">
        <v>29.707</v>
      </c>
      <c r="N375">
        <v>34.323</v>
      </c>
      <c r="O375">
        <v>24.625</v>
      </c>
      <c r="P375">
        <v>333.7</v>
      </c>
      <c r="Q375">
        <v>1831.353</v>
      </c>
      <c r="R375" t="b">
        <v>0</v>
      </c>
      <c r="S375" t="b">
        <v>0</v>
      </c>
      <c r="T375" t="b">
        <v>0</v>
      </c>
    </row>
    <row r="376" spans="1:20">
      <c r="A376" t="s">
        <v>448</v>
      </c>
      <c r="B376">
        <v>5</v>
      </c>
      <c r="C376">
        <v>19</v>
      </c>
      <c r="D376" t="s">
        <v>391</v>
      </c>
      <c r="E376" t="s">
        <v>193</v>
      </c>
      <c r="F376" t="s">
        <v>352</v>
      </c>
      <c r="G376">
        <v>18</v>
      </c>
      <c r="H376">
        <v>16</v>
      </c>
      <c r="I376">
        <v>15</v>
      </c>
      <c r="J376" t="s">
        <v>404</v>
      </c>
      <c r="K376">
        <v>123.117</v>
      </c>
      <c r="L376">
        <v>34.575</v>
      </c>
      <c r="M376">
        <v>29.741</v>
      </c>
      <c r="N376">
        <v>34.195</v>
      </c>
      <c r="O376">
        <v>24.606</v>
      </c>
      <c r="P376">
        <v>334.8</v>
      </c>
      <c r="Q376">
        <v>1954.47</v>
      </c>
      <c r="R376" t="b">
        <v>0</v>
      </c>
      <c r="S376" t="b">
        <v>0</v>
      </c>
      <c r="T376" t="b">
        <v>0</v>
      </c>
    </row>
    <row r="377" spans="1:20">
      <c r="A377" t="s">
        <v>448</v>
      </c>
      <c r="B377">
        <v>5</v>
      </c>
      <c r="C377">
        <v>19</v>
      </c>
      <c r="D377" t="s">
        <v>391</v>
      </c>
      <c r="E377" t="s">
        <v>193</v>
      </c>
      <c r="F377" t="s">
        <v>352</v>
      </c>
      <c r="G377">
        <v>18</v>
      </c>
      <c r="H377">
        <v>16</v>
      </c>
      <c r="I377">
        <v>16</v>
      </c>
      <c r="J377" t="s">
        <v>405</v>
      </c>
      <c r="K377">
        <v>122.82</v>
      </c>
      <c r="L377">
        <v>34.486</v>
      </c>
      <c r="M377">
        <v>29.773</v>
      </c>
      <c r="N377">
        <v>34.032</v>
      </c>
      <c r="O377">
        <v>24.529</v>
      </c>
      <c r="P377">
        <v>334.8</v>
      </c>
      <c r="Q377">
        <v>2077.29</v>
      </c>
      <c r="R377" t="b">
        <v>0</v>
      </c>
      <c r="S377" t="b">
        <v>0</v>
      </c>
      <c r="T377" t="b">
        <v>0</v>
      </c>
    </row>
    <row r="378" spans="1:20">
      <c r="A378" t="s">
        <v>448</v>
      </c>
      <c r="B378">
        <v>5</v>
      </c>
      <c r="C378">
        <v>19</v>
      </c>
      <c r="D378" t="s">
        <v>391</v>
      </c>
      <c r="E378" t="s">
        <v>193</v>
      </c>
      <c r="F378" t="s">
        <v>352</v>
      </c>
      <c r="G378">
        <v>18</v>
      </c>
      <c r="H378">
        <v>16</v>
      </c>
      <c r="I378">
        <v>17</v>
      </c>
      <c r="J378" t="s">
        <v>238</v>
      </c>
      <c r="K378">
        <v>122.918</v>
      </c>
      <c r="L378">
        <v>34.521</v>
      </c>
      <c r="M378">
        <v>29.748</v>
      </c>
      <c r="N378">
        <v>34.13</v>
      </c>
      <c r="O378">
        <v>24.519</v>
      </c>
      <c r="P378">
        <v>336.9</v>
      </c>
      <c r="Q378">
        <v>2200.208</v>
      </c>
      <c r="R378" t="b">
        <v>0</v>
      </c>
      <c r="S378" t="b">
        <v>0</v>
      </c>
      <c r="T378" t="b">
        <v>0</v>
      </c>
    </row>
    <row r="379" spans="1:20">
      <c r="A379" t="s">
        <v>448</v>
      </c>
      <c r="B379">
        <v>5</v>
      </c>
      <c r="C379">
        <v>19</v>
      </c>
      <c r="D379" t="s">
        <v>391</v>
      </c>
      <c r="E379" t="s">
        <v>193</v>
      </c>
      <c r="F379" t="s">
        <v>352</v>
      </c>
      <c r="G379">
        <v>18</v>
      </c>
      <c r="H379">
        <v>16</v>
      </c>
      <c r="I379">
        <v>18</v>
      </c>
      <c r="J379" t="s">
        <v>406</v>
      </c>
      <c r="K379">
        <v>131.759</v>
      </c>
      <c r="L379">
        <v>34.615</v>
      </c>
      <c r="M379">
        <v>29.687</v>
      </c>
      <c r="N379">
        <v>34.165</v>
      </c>
      <c r="O379">
        <v>33.292</v>
      </c>
      <c r="P379">
        <v>338</v>
      </c>
      <c r="Q379">
        <v>2331.967</v>
      </c>
      <c r="R379" t="b">
        <v>0</v>
      </c>
      <c r="S379" t="b">
        <v>1</v>
      </c>
      <c r="T379" t="b">
        <v>0</v>
      </c>
    </row>
    <row r="380" spans="1:20">
      <c r="A380" t="s">
        <v>449</v>
      </c>
      <c r="B380">
        <v>79</v>
      </c>
      <c r="C380">
        <v>20</v>
      </c>
      <c r="D380" t="s">
        <v>171</v>
      </c>
      <c r="E380" t="s">
        <v>4</v>
      </c>
      <c r="F380" t="s">
        <v>408</v>
      </c>
      <c r="G380">
        <v>15</v>
      </c>
      <c r="H380">
        <v>13</v>
      </c>
      <c r="I380">
        <v>1</v>
      </c>
      <c r="J380" t="s">
        <v>409</v>
      </c>
      <c r="K380">
        <v>125.733</v>
      </c>
      <c r="L380">
        <v>35.986</v>
      </c>
      <c r="M380">
        <v>30.383</v>
      </c>
      <c r="N380">
        <v>34.85</v>
      </c>
      <c r="O380">
        <v>24.514</v>
      </c>
      <c r="P380">
        <v>341.3</v>
      </c>
      <c r="Q380">
        <v>125.733</v>
      </c>
      <c r="R380" t="b">
        <v>0</v>
      </c>
      <c r="S380" t="b">
        <v>0</v>
      </c>
      <c r="T380" t="b">
        <v>0</v>
      </c>
    </row>
    <row r="381" spans="1:20">
      <c r="A381" t="s">
        <v>449</v>
      </c>
      <c r="B381">
        <v>79</v>
      </c>
      <c r="C381">
        <v>20</v>
      </c>
      <c r="D381" t="s">
        <v>171</v>
      </c>
      <c r="E381" t="s">
        <v>4</v>
      </c>
      <c r="F381" t="s">
        <v>408</v>
      </c>
      <c r="G381">
        <v>15</v>
      </c>
      <c r="H381">
        <v>13</v>
      </c>
      <c r="I381">
        <v>2</v>
      </c>
      <c r="J381" t="s">
        <v>304</v>
      </c>
      <c r="K381">
        <v>123.429</v>
      </c>
      <c r="L381">
        <v>34.892</v>
      </c>
      <c r="M381">
        <v>29.731</v>
      </c>
      <c r="N381">
        <v>34.303</v>
      </c>
      <c r="O381">
        <v>24.503</v>
      </c>
      <c r="P381">
        <v>344.7</v>
      </c>
      <c r="Q381">
        <v>249.162</v>
      </c>
      <c r="R381" t="b">
        <v>0</v>
      </c>
      <c r="S381" t="b">
        <v>0</v>
      </c>
      <c r="T381" t="b">
        <v>0</v>
      </c>
    </row>
    <row r="382" spans="1:20">
      <c r="A382" t="s">
        <v>449</v>
      </c>
      <c r="B382">
        <v>79</v>
      </c>
      <c r="C382">
        <v>20</v>
      </c>
      <c r="D382" t="s">
        <v>171</v>
      </c>
      <c r="E382" t="s">
        <v>4</v>
      </c>
      <c r="F382" t="s">
        <v>408</v>
      </c>
      <c r="G382">
        <v>15</v>
      </c>
      <c r="H382">
        <v>13</v>
      </c>
      <c r="I382">
        <v>3</v>
      </c>
      <c r="J382" t="s">
        <v>160</v>
      </c>
      <c r="K382">
        <v>122.89</v>
      </c>
      <c r="L382">
        <v>34.751</v>
      </c>
      <c r="M382">
        <v>29.618</v>
      </c>
      <c r="N382">
        <v>34.127</v>
      </c>
      <c r="O382">
        <v>24.394</v>
      </c>
      <c r="P382">
        <v>339.1</v>
      </c>
      <c r="Q382">
        <v>372.052</v>
      </c>
      <c r="R382" t="b">
        <v>0</v>
      </c>
      <c r="S382" t="b">
        <v>0</v>
      </c>
      <c r="T382" t="b">
        <v>0</v>
      </c>
    </row>
    <row r="383" spans="1:20">
      <c r="A383" t="s">
        <v>449</v>
      </c>
      <c r="B383">
        <v>79</v>
      </c>
      <c r="C383">
        <v>20</v>
      </c>
      <c r="D383" t="s">
        <v>171</v>
      </c>
      <c r="E383" t="s">
        <v>4</v>
      </c>
      <c r="F383" t="s">
        <v>408</v>
      </c>
      <c r="G383">
        <v>15</v>
      </c>
      <c r="H383">
        <v>13</v>
      </c>
      <c r="I383">
        <v>4</v>
      </c>
      <c r="J383" t="s">
        <v>410</v>
      </c>
      <c r="K383">
        <v>122.771</v>
      </c>
      <c r="L383">
        <v>34.527</v>
      </c>
      <c r="M383">
        <v>29.543</v>
      </c>
      <c r="N383">
        <v>34.124</v>
      </c>
      <c r="O383">
        <v>24.577</v>
      </c>
      <c r="P383">
        <v>340.2</v>
      </c>
      <c r="Q383">
        <v>494.823</v>
      </c>
      <c r="R383" t="b">
        <v>0</v>
      </c>
      <c r="S383" t="b">
        <v>0</v>
      </c>
      <c r="T383" t="b">
        <v>0</v>
      </c>
    </row>
    <row r="384" spans="1:20">
      <c r="A384" t="s">
        <v>449</v>
      </c>
      <c r="B384">
        <v>79</v>
      </c>
      <c r="C384">
        <v>20</v>
      </c>
      <c r="D384" t="s">
        <v>171</v>
      </c>
      <c r="E384" t="s">
        <v>4</v>
      </c>
      <c r="F384" t="s">
        <v>408</v>
      </c>
      <c r="G384">
        <v>15</v>
      </c>
      <c r="H384">
        <v>13</v>
      </c>
      <c r="I384">
        <v>5</v>
      </c>
      <c r="J384" t="s">
        <v>411</v>
      </c>
      <c r="K384">
        <v>122.332</v>
      </c>
      <c r="L384">
        <v>34.365</v>
      </c>
      <c r="M384">
        <v>29.511</v>
      </c>
      <c r="N384">
        <v>34.078</v>
      </c>
      <c r="O384">
        <v>24.378</v>
      </c>
      <c r="P384">
        <v>340.2</v>
      </c>
      <c r="Q384">
        <v>617.155</v>
      </c>
      <c r="R384" t="b">
        <v>0</v>
      </c>
      <c r="S384" t="b">
        <v>0</v>
      </c>
      <c r="T384" t="b">
        <v>0</v>
      </c>
    </row>
    <row r="385" spans="1:20">
      <c r="A385" t="s">
        <v>449</v>
      </c>
      <c r="B385">
        <v>79</v>
      </c>
      <c r="C385">
        <v>20</v>
      </c>
      <c r="D385" t="s">
        <v>171</v>
      </c>
      <c r="E385" t="s">
        <v>4</v>
      </c>
      <c r="F385" t="s">
        <v>408</v>
      </c>
      <c r="G385">
        <v>15</v>
      </c>
      <c r="H385">
        <v>13</v>
      </c>
      <c r="I385">
        <v>6</v>
      </c>
      <c r="J385" t="s">
        <v>412</v>
      </c>
      <c r="K385">
        <v>122.415</v>
      </c>
      <c r="L385">
        <v>34.436</v>
      </c>
      <c r="M385">
        <v>29.779</v>
      </c>
      <c r="N385">
        <v>33.826</v>
      </c>
      <c r="O385">
        <v>24.374</v>
      </c>
      <c r="P385">
        <v>346.9</v>
      </c>
      <c r="Q385">
        <v>739.5700000000001</v>
      </c>
      <c r="R385" t="b">
        <v>0</v>
      </c>
      <c r="S385" t="b">
        <v>0</v>
      </c>
      <c r="T385" t="b">
        <v>0</v>
      </c>
    </row>
    <row r="386" spans="1:20">
      <c r="A386" t="s">
        <v>449</v>
      </c>
      <c r="B386">
        <v>79</v>
      </c>
      <c r="C386">
        <v>20</v>
      </c>
      <c r="D386" t="s">
        <v>171</v>
      </c>
      <c r="E386" t="s">
        <v>4</v>
      </c>
      <c r="F386" t="s">
        <v>408</v>
      </c>
      <c r="G386">
        <v>15</v>
      </c>
      <c r="H386">
        <v>13</v>
      </c>
      <c r="I386">
        <v>7</v>
      </c>
      <c r="J386" t="s">
        <v>413</v>
      </c>
      <c r="K386">
        <v>122.258</v>
      </c>
      <c r="L386">
        <v>34.417</v>
      </c>
      <c r="M386">
        <v>29.523</v>
      </c>
      <c r="N386">
        <v>33.944</v>
      </c>
      <c r="O386">
        <v>24.374</v>
      </c>
      <c r="P386">
        <v>342.4</v>
      </c>
      <c r="Q386">
        <v>861.828</v>
      </c>
      <c r="R386" t="b">
        <v>0</v>
      </c>
      <c r="S386" t="b">
        <v>0</v>
      </c>
      <c r="T386" t="b">
        <v>0</v>
      </c>
    </row>
    <row r="387" spans="1:20">
      <c r="A387" t="s">
        <v>449</v>
      </c>
      <c r="B387">
        <v>79</v>
      </c>
      <c r="C387">
        <v>20</v>
      </c>
      <c r="D387" t="s">
        <v>171</v>
      </c>
      <c r="E387" t="s">
        <v>4</v>
      </c>
      <c r="F387" t="s">
        <v>408</v>
      </c>
      <c r="G387">
        <v>15</v>
      </c>
      <c r="H387">
        <v>13</v>
      </c>
      <c r="I387">
        <v>8</v>
      </c>
      <c r="J387" t="s">
        <v>414</v>
      </c>
      <c r="K387">
        <v>122.158</v>
      </c>
      <c r="L387">
        <v>34.331</v>
      </c>
      <c r="M387">
        <v>29.518</v>
      </c>
      <c r="N387">
        <v>33.844</v>
      </c>
      <c r="O387">
        <v>24.465</v>
      </c>
      <c r="P387">
        <v>342.4</v>
      </c>
      <c r="Q387">
        <v>983.986</v>
      </c>
      <c r="R387" t="b">
        <v>0</v>
      </c>
      <c r="S387" t="b">
        <v>0</v>
      </c>
      <c r="T387" t="b">
        <v>0</v>
      </c>
    </row>
    <row r="388" spans="1:20">
      <c r="A388" t="s">
        <v>449</v>
      </c>
      <c r="B388">
        <v>79</v>
      </c>
      <c r="C388">
        <v>20</v>
      </c>
      <c r="D388" t="s">
        <v>171</v>
      </c>
      <c r="E388" t="s">
        <v>4</v>
      </c>
      <c r="F388" t="s">
        <v>408</v>
      </c>
      <c r="G388">
        <v>15</v>
      </c>
      <c r="H388">
        <v>13</v>
      </c>
      <c r="I388">
        <v>9</v>
      </c>
      <c r="J388" t="s">
        <v>415</v>
      </c>
      <c r="K388">
        <v>122.037</v>
      </c>
      <c r="L388">
        <v>34.383</v>
      </c>
      <c r="M388">
        <v>29.532</v>
      </c>
      <c r="N388">
        <v>33.835</v>
      </c>
      <c r="O388">
        <v>24.287</v>
      </c>
      <c r="P388">
        <v>343.5</v>
      </c>
      <c r="Q388">
        <v>1106.023</v>
      </c>
      <c r="R388" t="b">
        <v>0</v>
      </c>
      <c r="S388" t="b">
        <v>0</v>
      </c>
      <c r="T388" t="b">
        <v>0</v>
      </c>
    </row>
    <row r="389" spans="1:20">
      <c r="A389" t="s">
        <v>449</v>
      </c>
      <c r="B389">
        <v>79</v>
      </c>
      <c r="C389">
        <v>20</v>
      </c>
      <c r="D389" t="s">
        <v>171</v>
      </c>
      <c r="E389" t="s">
        <v>4</v>
      </c>
      <c r="F389" t="s">
        <v>408</v>
      </c>
      <c r="G389">
        <v>15</v>
      </c>
      <c r="H389">
        <v>13</v>
      </c>
      <c r="I389">
        <v>10</v>
      </c>
      <c r="J389" t="s">
        <v>416</v>
      </c>
      <c r="K389">
        <v>122.328</v>
      </c>
      <c r="L389">
        <v>34.445</v>
      </c>
      <c r="M389">
        <v>29.481</v>
      </c>
      <c r="N389">
        <v>33.987</v>
      </c>
      <c r="O389">
        <v>24.415</v>
      </c>
      <c r="P389">
        <v>343.5</v>
      </c>
      <c r="Q389">
        <v>1228.351</v>
      </c>
      <c r="R389" t="b">
        <v>0</v>
      </c>
      <c r="S389" t="b">
        <v>0</v>
      </c>
      <c r="T389" t="b">
        <v>0</v>
      </c>
    </row>
    <row r="390" spans="1:20">
      <c r="A390" t="s">
        <v>449</v>
      </c>
      <c r="B390">
        <v>79</v>
      </c>
      <c r="C390">
        <v>20</v>
      </c>
      <c r="D390" t="s">
        <v>171</v>
      </c>
      <c r="E390" t="s">
        <v>4</v>
      </c>
      <c r="F390" t="s">
        <v>408</v>
      </c>
      <c r="G390">
        <v>15</v>
      </c>
      <c r="H390">
        <v>13</v>
      </c>
      <c r="I390">
        <v>11</v>
      </c>
      <c r="J390" t="s">
        <v>417</v>
      </c>
      <c r="K390">
        <v>122.058</v>
      </c>
      <c r="L390">
        <v>34.264</v>
      </c>
      <c r="M390">
        <v>29.438</v>
      </c>
      <c r="N390">
        <v>33.924</v>
      </c>
      <c r="O390">
        <v>24.432</v>
      </c>
      <c r="P390">
        <v>343.5</v>
      </c>
      <c r="Q390">
        <v>1350.409</v>
      </c>
      <c r="R390" t="b">
        <v>0</v>
      </c>
      <c r="S390" t="b">
        <v>0</v>
      </c>
      <c r="T390" t="b">
        <v>0</v>
      </c>
    </row>
    <row r="391" spans="1:20">
      <c r="A391" t="s">
        <v>449</v>
      </c>
      <c r="B391">
        <v>79</v>
      </c>
      <c r="C391">
        <v>20</v>
      </c>
      <c r="D391" t="s">
        <v>171</v>
      </c>
      <c r="E391" t="s">
        <v>4</v>
      </c>
      <c r="F391" t="s">
        <v>408</v>
      </c>
      <c r="G391">
        <v>15</v>
      </c>
      <c r="H391">
        <v>13</v>
      </c>
      <c r="I391">
        <v>12</v>
      </c>
      <c r="J391" t="s">
        <v>124</v>
      </c>
      <c r="K391">
        <v>122.294</v>
      </c>
      <c r="L391">
        <v>34.292</v>
      </c>
      <c r="M391">
        <v>29.448</v>
      </c>
      <c r="N391">
        <v>34.009</v>
      </c>
      <c r="O391">
        <v>24.545</v>
      </c>
      <c r="P391">
        <v>345.8</v>
      </c>
      <c r="Q391">
        <v>1472.703</v>
      </c>
      <c r="R391" t="b">
        <v>0</v>
      </c>
      <c r="S391" t="b">
        <v>0</v>
      </c>
      <c r="T391" t="b">
        <v>0</v>
      </c>
    </row>
    <row r="392" spans="1:20">
      <c r="A392" t="s">
        <v>449</v>
      </c>
      <c r="B392">
        <v>79</v>
      </c>
      <c r="C392">
        <v>20</v>
      </c>
      <c r="D392" t="s">
        <v>171</v>
      </c>
      <c r="E392" t="s">
        <v>4</v>
      </c>
      <c r="F392" t="s">
        <v>408</v>
      </c>
      <c r="G392">
        <v>15</v>
      </c>
      <c r="H392">
        <v>13</v>
      </c>
      <c r="I392">
        <v>13</v>
      </c>
      <c r="J392" t="s">
        <v>418</v>
      </c>
      <c r="K392">
        <v>122.306</v>
      </c>
      <c r="L392">
        <v>34.47</v>
      </c>
      <c r="M392">
        <v>29.505</v>
      </c>
      <c r="N392">
        <v>34.019</v>
      </c>
      <c r="O392">
        <v>24.312</v>
      </c>
      <c r="P392">
        <v>344.7</v>
      </c>
      <c r="Q392">
        <v>1595.009</v>
      </c>
      <c r="R392" t="b">
        <v>0</v>
      </c>
      <c r="S392" t="b">
        <v>0</v>
      </c>
      <c r="T392" t="b">
        <v>0</v>
      </c>
    </row>
    <row r="393" spans="1:20">
      <c r="A393" t="s">
        <v>449</v>
      </c>
      <c r="B393">
        <v>79</v>
      </c>
      <c r="C393">
        <v>20</v>
      </c>
      <c r="D393" t="s">
        <v>171</v>
      </c>
      <c r="E393" t="s">
        <v>4</v>
      </c>
      <c r="F393" t="s">
        <v>408</v>
      </c>
      <c r="G393">
        <v>15</v>
      </c>
      <c r="H393">
        <v>13</v>
      </c>
      <c r="I393">
        <v>14</v>
      </c>
      <c r="J393" t="s">
        <v>419</v>
      </c>
      <c r="K393">
        <v>122.326</v>
      </c>
      <c r="L393">
        <v>34.447</v>
      </c>
      <c r="M393">
        <v>29.522</v>
      </c>
      <c r="N393">
        <v>33.932</v>
      </c>
      <c r="O393">
        <v>24.425</v>
      </c>
      <c r="P393">
        <v>341.3</v>
      </c>
      <c r="Q393">
        <v>1717.335</v>
      </c>
      <c r="R393" t="b">
        <v>0</v>
      </c>
      <c r="S393" t="b">
        <v>0</v>
      </c>
      <c r="T393" t="b">
        <v>0</v>
      </c>
    </row>
    <row r="394" spans="1:20">
      <c r="A394" t="s">
        <v>449</v>
      </c>
      <c r="B394">
        <v>79</v>
      </c>
      <c r="C394">
        <v>20</v>
      </c>
      <c r="D394" t="s">
        <v>171</v>
      </c>
      <c r="E394" t="s">
        <v>4</v>
      </c>
      <c r="F394" t="s">
        <v>408</v>
      </c>
      <c r="G394">
        <v>15</v>
      </c>
      <c r="H394">
        <v>13</v>
      </c>
      <c r="I394">
        <v>15</v>
      </c>
      <c r="J394" t="s">
        <v>420</v>
      </c>
      <c r="K394">
        <v>165.885</v>
      </c>
      <c r="L394">
        <v>34.442</v>
      </c>
      <c r="M394">
        <v>31.115</v>
      </c>
      <c r="N394">
        <v>44.509</v>
      </c>
      <c r="O394">
        <v>55.819</v>
      </c>
      <c r="P394">
        <v>249.3</v>
      </c>
      <c r="Q394">
        <v>1883.22</v>
      </c>
      <c r="R394" t="b">
        <v>0</v>
      </c>
      <c r="S394" t="b">
        <v>1</v>
      </c>
      <c r="T394" t="b">
        <v>0</v>
      </c>
    </row>
    <row r="395" spans="1:20">
      <c r="A395" t="s">
        <v>450</v>
      </c>
      <c r="B395">
        <v>36</v>
      </c>
      <c r="C395">
        <v>21</v>
      </c>
      <c r="D395" t="s">
        <v>192</v>
      </c>
      <c r="E395" t="s">
        <v>193</v>
      </c>
      <c r="F395" t="s">
        <v>46</v>
      </c>
      <c r="G395">
        <v>5</v>
      </c>
      <c r="H395">
        <v>3</v>
      </c>
      <c r="I395">
        <v>1</v>
      </c>
      <c r="J395" t="s">
        <v>422</v>
      </c>
      <c r="K395">
        <v>124.609</v>
      </c>
      <c r="L395">
        <v>35.514</v>
      </c>
      <c r="M395">
        <v>29.955</v>
      </c>
      <c r="N395">
        <v>34.643</v>
      </c>
      <c r="O395">
        <v>24.497</v>
      </c>
      <c r="P395">
        <v>330.6</v>
      </c>
      <c r="Q395">
        <v>124.609</v>
      </c>
      <c r="R395" t="b">
        <v>0</v>
      </c>
      <c r="S395" t="b">
        <v>0</v>
      </c>
      <c r="T395" t="b">
        <v>0</v>
      </c>
    </row>
    <row r="396" spans="1:20">
      <c r="A396" t="s">
        <v>450</v>
      </c>
      <c r="B396">
        <v>36</v>
      </c>
      <c r="C396">
        <v>21</v>
      </c>
      <c r="D396" t="s">
        <v>192</v>
      </c>
      <c r="E396" t="s">
        <v>193</v>
      </c>
      <c r="F396" t="s">
        <v>46</v>
      </c>
      <c r="G396">
        <v>5</v>
      </c>
      <c r="H396">
        <v>3</v>
      </c>
      <c r="I396">
        <v>2</v>
      </c>
      <c r="J396" t="s">
        <v>423</v>
      </c>
      <c r="K396">
        <v>123.323</v>
      </c>
      <c r="L396">
        <v>34.955</v>
      </c>
      <c r="M396">
        <v>29.93</v>
      </c>
      <c r="N396">
        <v>34.077</v>
      </c>
      <c r="O396">
        <v>24.361</v>
      </c>
      <c r="P396">
        <v>339.1</v>
      </c>
      <c r="Q396">
        <v>247.932</v>
      </c>
      <c r="R396" t="b">
        <v>0</v>
      </c>
      <c r="S396" t="b">
        <v>0</v>
      </c>
      <c r="T396" t="b">
        <v>0</v>
      </c>
    </row>
    <row r="397" spans="1:20">
      <c r="A397" t="s">
        <v>450</v>
      </c>
      <c r="B397">
        <v>36</v>
      </c>
      <c r="C397">
        <v>21</v>
      </c>
      <c r="D397" t="s">
        <v>192</v>
      </c>
      <c r="E397" t="s">
        <v>193</v>
      </c>
      <c r="F397" t="s">
        <v>46</v>
      </c>
      <c r="G397">
        <v>5</v>
      </c>
      <c r="H397">
        <v>3</v>
      </c>
      <c r="I397">
        <v>3</v>
      </c>
      <c r="J397" t="s">
        <v>424</v>
      </c>
      <c r="K397">
        <v>122.647</v>
      </c>
      <c r="L397">
        <v>34.5</v>
      </c>
      <c r="M397">
        <v>29.769</v>
      </c>
      <c r="N397">
        <v>33.969</v>
      </c>
      <c r="O397">
        <v>24.409</v>
      </c>
      <c r="P397">
        <v>339.1</v>
      </c>
      <c r="Q397">
        <v>370.579</v>
      </c>
      <c r="R397" t="b">
        <v>1</v>
      </c>
      <c r="S397" t="b">
        <v>0</v>
      </c>
      <c r="T397" t="b">
        <v>0</v>
      </c>
    </row>
    <row r="398" spans="1:20">
      <c r="A398" t="s">
        <v>450</v>
      </c>
      <c r="B398">
        <v>36</v>
      </c>
      <c r="C398">
        <v>21</v>
      </c>
      <c r="D398" t="s">
        <v>192</v>
      </c>
      <c r="E398" t="s">
        <v>193</v>
      </c>
      <c r="F398" t="s">
        <v>46</v>
      </c>
      <c r="G398">
        <v>5</v>
      </c>
      <c r="H398">
        <v>3</v>
      </c>
      <c r="I398">
        <v>4</v>
      </c>
      <c r="J398" t="s">
        <v>425</v>
      </c>
      <c r="K398">
        <v>122.985</v>
      </c>
      <c r="L398">
        <v>34.627</v>
      </c>
      <c r="M398">
        <v>29.794</v>
      </c>
      <c r="N398">
        <v>33.973</v>
      </c>
      <c r="O398">
        <v>24.591</v>
      </c>
      <c r="P398">
        <v>338</v>
      </c>
      <c r="Q398">
        <v>493.564</v>
      </c>
      <c r="R398" t="b">
        <v>0</v>
      </c>
      <c r="S398" t="b">
        <v>0</v>
      </c>
      <c r="T398" t="b">
        <v>0</v>
      </c>
    </row>
    <row r="399" spans="1:20">
      <c r="A399" t="s">
        <v>450</v>
      </c>
      <c r="B399">
        <v>36</v>
      </c>
      <c r="C399">
        <v>21</v>
      </c>
      <c r="D399" t="s">
        <v>192</v>
      </c>
      <c r="E399" t="s">
        <v>193</v>
      </c>
      <c r="F399" t="s">
        <v>46</v>
      </c>
      <c r="G399">
        <v>5</v>
      </c>
      <c r="H399">
        <v>3</v>
      </c>
      <c r="I399">
        <v>5</v>
      </c>
      <c r="J399" t="s">
        <v>426</v>
      </c>
      <c r="K399">
        <v>122.709</v>
      </c>
      <c r="L399">
        <v>34.538</v>
      </c>
      <c r="M399">
        <v>29.708</v>
      </c>
      <c r="N399">
        <v>33.916</v>
      </c>
      <c r="O399">
        <v>24.547</v>
      </c>
      <c r="P399">
        <v>336.9</v>
      </c>
      <c r="Q399">
        <v>616.273</v>
      </c>
      <c r="R399" t="b">
        <v>0</v>
      </c>
      <c r="S399" t="b">
        <v>0</v>
      </c>
      <c r="T399" t="b">
        <v>0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>
  <dimension ref="A1:Z24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2" width="26.7109375" customWidth="1"/>
    <col min="3" max="3" width="14.7109375" customWidth="1"/>
    <col min="5" max="26" width="14.7109375" style="10" customWidth="1"/>
  </cols>
  <sheetData>
    <row r="1" spans="1:26">
      <c r="A1" s="1" t="s">
        <v>451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t="s">
        <v>452</v>
      </c>
      <c r="B2" t="s">
        <v>453</v>
      </c>
    </row>
    <row r="3" spans="1:26">
      <c r="A3" s="3" t="s">
        <v>454</v>
      </c>
      <c r="B3" s="3" t="s">
        <v>427</v>
      </c>
      <c r="C3" s="3" t="s">
        <v>455</v>
      </c>
      <c r="E3" s="3" t="s">
        <v>12</v>
      </c>
      <c r="F3" s="3" t="s">
        <v>430</v>
      </c>
      <c r="G3" s="3" t="s">
        <v>431</v>
      </c>
      <c r="H3" s="3" t="s">
        <v>432</v>
      </c>
      <c r="I3" s="3" t="s">
        <v>433</v>
      </c>
      <c r="J3" s="3" t="s">
        <v>434</v>
      </c>
      <c r="K3" s="3" t="s">
        <v>435</v>
      </c>
      <c r="L3" s="3" t="s">
        <v>436</v>
      </c>
      <c r="M3" s="3" t="s">
        <v>437</v>
      </c>
      <c r="N3" s="3" t="s">
        <v>438</v>
      </c>
      <c r="O3" s="3" t="s">
        <v>439</v>
      </c>
      <c r="P3" s="3" t="s">
        <v>440</v>
      </c>
      <c r="Q3" s="3" t="s">
        <v>441</v>
      </c>
      <c r="R3" s="3" t="s">
        <v>442</v>
      </c>
      <c r="S3" s="3" t="s">
        <v>443</v>
      </c>
      <c r="T3" s="3" t="s">
        <v>444</v>
      </c>
      <c r="U3" s="3" t="s">
        <v>445</v>
      </c>
      <c r="V3" s="3" t="s">
        <v>446</v>
      </c>
      <c r="W3" s="3" t="s">
        <v>447</v>
      </c>
      <c r="X3" s="3" t="s">
        <v>448</v>
      </c>
      <c r="Y3" s="3" t="s">
        <v>449</v>
      </c>
      <c r="Z3" s="3" t="s">
        <v>450</v>
      </c>
    </row>
    <row r="4" spans="1:26">
      <c r="A4" s="11" t="b">
        <v>1</v>
      </c>
      <c r="B4" t="s">
        <v>430</v>
      </c>
      <c r="C4" s="12" t="s">
        <v>456</v>
      </c>
      <c r="E4" s="10">
        <v>1</v>
      </c>
      <c r="F4" s="10" t="e">
        <f>IF($A$4,'Marco Bezzecchi'!J6,NA())</f>
        <v>#N/A</v>
      </c>
      <c r="G4" s="10" t="e">
        <f>IF($A$5,'Jorge Martin'!J6,NA())</f>
        <v>#N/A</v>
      </c>
      <c r="H4" s="10" t="e">
        <f>IF($A$6,'Pedro Acosta'!J6,NA())</f>
        <v>#N/A</v>
      </c>
      <c r="I4" s="10" t="e">
        <f>IF($A$7,'Fabio Di Giannantonio'!J6,NA())</f>
        <v>#N/A</v>
      </c>
      <c r="J4" s="10" t="e">
        <f>IF($A$8,'Marc Marquez'!J6,NA())</f>
        <v>#N/A</v>
      </c>
      <c r="K4" s="10" t="e">
        <f>IF($A$9,'Enea Bastianini'!J6,NA())</f>
        <v>#N/A</v>
      </c>
      <c r="L4" s="10" t="e">
        <f>IF($A$10,'Alex Marquez'!J6,NA())</f>
        <v>#N/A</v>
      </c>
      <c r="M4" s="10" t="e">
        <f>IF($A$11,'Raul Fernandez'!J6,NA())</f>
        <v>#N/A</v>
      </c>
      <c r="N4" s="10" t="e">
        <f>IF($A$12,'Luca Marini'!J6,NA())</f>
        <v>#N/A</v>
      </c>
      <c r="O4" s="10" t="e">
        <f>IF($A$13,'Francesco Bagnaia'!J6,NA())</f>
        <v>#N/A</v>
      </c>
      <c r="P4" s="10" t="e">
        <f>IF($A$14,'Fermin Aldeguer'!J6,NA())</f>
        <v>#N/A</v>
      </c>
      <c r="Q4" s="10" t="e">
        <f>IF($A$15,'Brad Binder'!J6,NA())</f>
        <v>#N/A</v>
      </c>
      <c r="R4" s="10" t="e">
        <f>IF($A$16,'Diogo Moreira'!J6,NA())</f>
        <v>#N/A</v>
      </c>
      <c r="S4" s="10" t="e">
        <f>IF($A$17,'Franco Morbidelli'!J6,NA())</f>
        <v>#N/A</v>
      </c>
      <c r="T4" s="10" t="e">
        <f>IF($A$18,'Toprak Razgatlioglu'!J6,NA())</f>
        <v>#N/A</v>
      </c>
      <c r="U4" s="10" t="e">
        <f>IF($A$19,'Jack Miller'!J6,NA())</f>
        <v>#N/A</v>
      </c>
      <c r="V4" s="10" t="e">
        <f>IF($A$20,'Fabio Quartararo'!J6,NA())</f>
        <v>#N/A</v>
      </c>
      <c r="W4" s="10" t="e">
        <f>IF($A$21,'Alex Rins'!J6,NA())</f>
        <v>#N/A</v>
      </c>
      <c r="X4" s="10" t="e">
        <f>IF($A$22,'Johann Zarco'!J6,NA())</f>
        <v>#N/A</v>
      </c>
      <c r="Y4" s="10" t="e">
        <f>IF($A$23,'Ai Ogura'!J6,NA())</f>
        <v>#N/A</v>
      </c>
      <c r="Z4" s="10" t="e">
        <f>IF($A$24,'Joan Mir'!J6,NA())</f>
        <v>#N/A</v>
      </c>
    </row>
    <row r="5" spans="1:26">
      <c r="A5" s="11" t="b">
        <v>1</v>
      </c>
      <c r="B5" t="s">
        <v>431</v>
      </c>
      <c r="C5" s="13" t="s">
        <v>457</v>
      </c>
      <c r="E5" s="10">
        <v>2</v>
      </c>
      <c r="F5" s="10" t="e">
        <f>IF($A$4,'Marco Bezzecchi'!J7,NA())</f>
        <v>#N/A</v>
      </c>
      <c r="G5" s="10" t="e">
        <f>IF($A$5,'Jorge Martin'!J7,NA())</f>
        <v>#N/A</v>
      </c>
      <c r="H5" s="10" t="e">
        <f>IF($A$6,'Pedro Acosta'!J7,NA())</f>
        <v>#N/A</v>
      </c>
      <c r="I5" s="10" t="e">
        <f>IF($A$7,'Fabio Di Giannantonio'!J7,NA())</f>
        <v>#N/A</v>
      </c>
      <c r="J5" s="10" t="e">
        <f>IF($A$8,'Marc Marquez'!J7,NA())</f>
        <v>#N/A</v>
      </c>
      <c r="K5" s="10" t="e">
        <f>IF($A$9,'Enea Bastianini'!J7,NA())</f>
        <v>#N/A</v>
      </c>
      <c r="L5" s="10" t="e">
        <f>IF($A$10,'Alex Marquez'!J7,NA())</f>
        <v>#N/A</v>
      </c>
      <c r="M5" s="10" t="e">
        <f>IF($A$11,'Raul Fernandez'!J7,NA())</f>
        <v>#N/A</v>
      </c>
      <c r="N5" s="10" t="e">
        <f>IF($A$12,'Luca Marini'!J7,NA())</f>
        <v>#N/A</v>
      </c>
      <c r="O5" s="10" t="e">
        <f>IF($A$13,'Francesco Bagnaia'!J7,NA())</f>
        <v>#N/A</v>
      </c>
      <c r="P5" s="10" t="e">
        <f>IF($A$14,'Fermin Aldeguer'!J7,NA())</f>
        <v>#N/A</v>
      </c>
      <c r="Q5" s="10" t="e">
        <f>IF($A$15,'Brad Binder'!J7,NA())</f>
        <v>#N/A</v>
      </c>
      <c r="R5" s="10" t="e">
        <f>IF($A$16,'Diogo Moreira'!J7,NA())</f>
        <v>#N/A</v>
      </c>
      <c r="S5" s="10" t="e">
        <f>IF($A$17,'Franco Morbidelli'!J7,NA())</f>
        <v>#N/A</v>
      </c>
      <c r="T5" s="10" t="e">
        <f>IF($A$18,'Toprak Razgatlioglu'!J7,NA())</f>
        <v>#N/A</v>
      </c>
      <c r="U5" s="10" t="e">
        <f>IF($A$19,'Jack Miller'!J7,NA())</f>
        <v>#N/A</v>
      </c>
      <c r="V5" s="10" t="e">
        <f>IF($A$20,'Fabio Quartararo'!J7,NA())</f>
        <v>#N/A</v>
      </c>
      <c r="W5" s="10" t="e">
        <f>IF($A$21,'Alex Rins'!J7,NA())</f>
        <v>#N/A</v>
      </c>
      <c r="X5" s="10" t="e">
        <f>IF($A$22,'Johann Zarco'!J7,NA())</f>
        <v>#N/A</v>
      </c>
      <c r="Y5" s="10" t="e">
        <f>IF($A$23,'Ai Ogura'!J7,NA())</f>
        <v>#N/A</v>
      </c>
      <c r="Z5" s="10" t="e">
        <f>IF($A$24,'Joan Mir'!J7,NA())</f>
        <v>#N/A</v>
      </c>
    </row>
    <row r="6" spans="1:26">
      <c r="A6" s="11" t="b">
        <v>1</v>
      </c>
      <c r="B6" t="s">
        <v>432</v>
      </c>
      <c r="C6" s="14" t="s">
        <v>458</v>
      </c>
      <c r="E6" s="10">
        <v>3</v>
      </c>
      <c r="F6" s="10" t="e">
        <f>IF($A$4,'Marco Bezzecchi'!J8,NA())</f>
        <v>#N/A</v>
      </c>
      <c r="G6" s="10" t="e">
        <f>IF($A$5,'Jorge Martin'!J8,NA())</f>
        <v>#N/A</v>
      </c>
      <c r="H6" s="10" t="e">
        <f>IF($A$6,'Pedro Acosta'!J8,NA())</f>
        <v>#N/A</v>
      </c>
      <c r="I6" s="10" t="e">
        <f>IF($A$7,'Fabio Di Giannantonio'!J8,NA())</f>
        <v>#N/A</v>
      </c>
      <c r="J6" s="10" t="e">
        <f>IF($A$8,'Marc Marquez'!J8,NA())</f>
        <v>#N/A</v>
      </c>
      <c r="K6" s="10" t="e">
        <f>IF($A$9,'Enea Bastianini'!J8,NA())</f>
        <v>#N/A</v>
      </c>
      <c r="L6" s="10" t="e">
        <f>IF($A$10,'Alex Marquez'!J8,NA())</f>
        <v>#N/A</v>
      </c>
      <c r="M6" s="10" t="e">
        <f>IF($A$11,'Raul Fernandez'!J8,NA())</f>
        <v>#N/A</v>
      </c>
      <c r="N6" s="10" t="e">
        <f>IF($A$12,'Luca Marini'!J8,NA())</f>
        <v>#N/A</v>
      </c>
      <c r="O6" s="10" t="e">
        <f>IF($A$13,'Francesco Bagnaia'!J8,NA())</f>
        <v>#N/A</v>
      </c>
      <c r="P6" s="10" t="e">
        <f>IF($A$14,'Fermin Aldeguer'!J8,NA())</f>
        <v>#N/A</v>
      </c>
      <c r="Q6" s="10" t="e">
        <f>IF($A$15,'Brad Binder'!J8,NA())</f>
        <v>#N/A</v>
      </c>
      <c r="R6" s="10" t="e">
        <f>IF($A$16,'Diogo Moreira'!J8,NA())</f>
        <v>#N/A</v>
      </c>
      <c r="S6" s="10" t="e">
        <f>IF($A$17,'Franco Morbidelli'!J8,NA())</f>
        <v>#N/A</v>
      </c>
      <c r="T6" s="10" t="e">
        <f>IF($A$18,'Toprak Razgatlioglu'!J8,NA())</f>
        <v>#N/A</v>
      </c>
      <c r="U6" s="10" t="e">
        <f>IF($A$19,'Jack Miller'!J8,NA())</f>
        <v>#N/A</v>
      </c>
      <c r="V6" s="10" t="e">
        <f>IF($A$20,'Fabio Quartararo'!J8,NA())</f>
        <v>#N/A</v>
      </c>
      <c r="W6" s="10" t="e">
        <f>IF($A$21,'Alex Rins'!J8,NA())</f>
        <v>#N/A</v>
      </c>
      <c r="X6" s="10" t="e">
        <f>IF($A$22,'Johann Zarco'!J8,NA())</f>
        <v>#N/A</v>
      </c>
      <c r="Y6" s="10" t="e">
        <f>IF($A$23,'Ai Ogura'!J8,NA())</f>
        <v>#N/A</v>
      </c>
      <c r="Z6" s="10" t="e">
        <f>IF($A$24,'Joan Mir'!J8,NA())</f>
        <v>#N/A</v>
      </c>
    </row>
    <row r="7" spans="1:26">
      <c r="A7" s="11" t="b">
        <v>1</v>
      </c>
      <c r="B7" t="s">
        <v>433</v>
      </c>
      <c r="C7" s="15" t="s">
        <v>459</v>
      </c>
      <c r="E7" s="10">
        <v>4</v>
      </c>
      <c r="F7" s="10" t="e">
        <f>IF($A$4,'Marco Bezzecchi'!J9,NA())</f>
        <v>#N/A</v>
      </c>
      <c r="G7" s="10" t="e">
        <f>IF($A$5,'Jorge Martin'!J9,NA())</f>
        <v>#N/A</v>
      </c>
      <c r="H7" s="10" t="e">
        <f>IF($A$6,'Pedro Acosta'!J9,NA())</f>
        <v>#N/A</v>
      </c>
      <c r="I7" s="10" t="e">
        <f>IF($A$7,'Fabio Di Giannantonio'!J9,NA())</f>
        <v>#N/A</v>
      </c>
      <c r="J7" s="10" t="e">
        <f>IF($A$8,'Marc Marquez'!J9,NA())</f>
        <v>#N/A</v>
      </c>
      <c r="K7" s="10" t="e">
        <f>IF($A$9,'Enea Bastianini'!J9,NA())</f>
        <v>#N/A</v>
      </c>
      <c r="L7" s="10" t="e">
        <f>IF($A$10,'Alex Marquez'!J9,NA())</f>
        <v>#N/A</v>
      </c>
      <c r="M7" s="10" t="e">
        <f>IF($A$11,'Raul Fernandez'!J9,NA())</f>
        <v>#N/A</v>
      </c>
      <c r="N7" s="10" t="e">
        <f>IF($A$12,'Luca Marini'!J9,NA())</f>
        <v>#N/A</v>
      </c>
      <c r="O7" s="10" t="e">
        <f>IF($A$13,'Francesco Bagnaia'!J9,NA())</f>
        <v>#N/A</v>
      </c>
      <c r="P7" s="10" t="e">
        <f>IF($A$14,'Fermin Aldeguer'!J9,NA())</f>
        <v>#N/A</v>
      </c>
      <c r="Q7" s="10" t="e">
        <f>IF($A$15,'Brad Binder'!J9,NA())</f>
        <v>#N/A</v>
      </c>
      <c r="R7" s="10" t="e">
        <f>IF($A$16,'Diogo Moreira'!J9,NA())</f>
        <v>#N/A</v>
      </c>
      <c r="S7" s="10" t="e">
        <f>IF($A$17,'Franco Morbidelli'!J9,NA())</f>
        <v>#N/A</v>
      </c>
      <c r="T7" s="10" t="e">
        <f>IF($A$18,'Toprak Razgatlioglu'!J9,NA())</f>
        <v>#N/A</v>
      </c>
      <c r="U7" s="10" t="e">
        <f>IF($A$19,'Jack Miller'!J9,NA())</f>
        <v>#N/A</v>
      </c>
      <c r="V7" s="10" t="e">
        <f>IF($A$20,'Fabio Quartararo'!J9,NA())</f>
        <v>#N/A</v>
      </c>
      <c r="W7" s="10" t="e">
        <f>IF($A$21,'Alex Rins'!J9,NA())</f>
        <v>#N/A</v>
      </c>
      <c r="X7" s="10" t="e">
        <f>IF($A$22,'Johann Zarco'!J9,NA())</f>
        <v>#N/A</v>
      </c>
      <c r="Y7" s="10" t="e">
        <f>IF($A$23,'Ai Ogura'!J9,NA())</f>
        <v>#N/A</v>
      </c>
      <c r="Z7" s="10" t="e">
        <f>IF($A$24,'Joan Mir'!J9,NA())</f>
        <v>#N/A</v>
      </c>
    </row>
    <row r="8" spans="1:26">
      <c r="A8" s="11" t="b">
        <v>1</v>
      </c>
      <c r="B8" t="s">
        <v>434</v>
      </c>
      <c r="C8" s="16" t="s">
        <v>460</v>
      </c>
      <c r="E8" s="10">
        <v>5</v>
      </c>
      <c r="F8" s="10" t="e">
        <f>IF($A$4,'Marco Bezzecchi'!J10,NA())</f>
        <v>#N/A</v>
      </c>
      <c r="G8" s="10" t="e">
        <f>IF($A$5,'Jorge Martin'!J10,NA())</f>
        <v>#N/A</v>
      </c>
      <c r="H8" s="10" t="e">
        <f>IF($A$6,'Pedro Acosta'!J10,NA())</f>
        <v>#N/A</v>
      </c>
      <c r="I8" s="10" t="e">
        <f>IF($A$7,'Fabio Di Giannantonio'!J10,NA())</f>
        <v>#N/A</v>
      </c>
      <c r="J8" s="10" t="e">
        <f>IF($A$8,'Marc Marquez'!J10,NA())</f>
        <v>#N/A</v>
      </c>
      <c r="K8" s="10" t="e">
        <f>IF($A$9,'Enea Bastianini'!J10,NA())</f>
        <v>#N/A</v>
      </c>
      <c r="L8" s="10" t="e">
        <f>IF($A$10,'Alex Marquez'!J10,NA())</f>
        <v>#N/A</v>
      </c>
      <c r="M8" s="10" t="e">
        <f>IF($A$11,'Raul Fernandez'!J10,NA())</f>
        <v>#N/A</v>
      </c>
      <c r="N8" s="10" t="e">
        <f>IF($A$12,'Luca Marini'!J10,NA())</f>
        <v>#N/A</v>
      </c>
      <c r="O8" s="10" t="e">
        <f>IF($A$13,'Francesco Bagnaia'!J10,NA())</f>
        <v>#N/A</v>
      </c>
      <c r="P8" s="10" t="e">
        <f>IF($A$14,'Fermin Aldeguer'!J10,NA())</f>
        <v>#N/A</v>
      </c>
      <c r="Q8" s="10" t="e">
        <f>IF($A$15,'Brad Binder'!J10,NA())</f>
        <v>#N/A</v>
      </c>
      <c r="R8" s="10" t="e">
        <f>IF($A$16,'Diogo Moreira'!J10,NA())</f>
        <v>#N/A</v>
      </c>
      <c r="S8" s="10" t="e">
        <f>IF($A$17,'Franco Morbidelli'!J10,NA())</f>
        <v>#N/A</v>
      </c>
      <c r="T8" s="10" t="e">
        <f>IF($A$18,'Toprak Razgatlioglu'!J10,NA())</f>
        <v>#N/A</v>
      </c>
      <c r="U8" s="10" t="e">
        <f>IF($A$19,'Jack Miller'!J10,NA())</f>
        <v>#N/A</v>
      </c>
      <c r="V8" s="10" t="e">
        <f>IF($A$20,'Fabio Quartararo'!J10,NA())</f>
        <v>#N/A</v>
      </c>
      <c r="W8" s="10" t="e">
        <f>IF($A$21,'Alex Rins'!J10,NA())</f>
        <v>#N/A</v>
      </c>
      <c r="X8" s="10" t="e">
        <f>IF($A$22,'Johann Zarco'!J10,NA())</f>
        <v>#N/A</v>
      </c>
      <c r="Y8" s="10" t="e">
        <f>IF($A$23,'Ai Ogura'!J10,NA())</f>
        <v>#N/A</v>
      </c>
      <c r="Z8" s="10" t="e">
        <f>IF($A$24,'Joan Mir'!J10,NA())</f>
        <v>#N/A</v>
      </c>
    </row>
    <row r="9" spans="1:26">
      <c r="A9" s="11" t="b">
        <v>1</v>
      </c>
      <c r="B9" t="s">
        <v>435</v>
      </c>
      <c r="C9" s="17" t="s">
        <v>461</v>
      </c>
      <c r="E9" s="10">
        <v>6</v>
      </c>
      <c r="F9" s="10" t="e">
        <f>IF($A$4,'Marco Bezzecchi'!J11,NA())</f>
        <v>#N/A</v>
      </c>
      <c r="G9" s="10" t="e">
        <f>IF($A$5,'Jorge Martin'!J11,NA())</f>
        <v>#N/A</v>
      </c>
      <c r="H9" s="10" t="e">
        <f>IF($A$6,'Pedro Acosta'!J11,NA())</f>
        <v>#N/A</v>
      </c>
      <c r="I9" s="10" t="e">
        <f>IF($A$7,'Fabio Di Giannantonio'!J11,NA())</f>
        <v>#N/A</v>
      </c>
      <c r="J9" s="10" t="e">
        <f>IF($A$8,'Marc Marquez'!J11,NA())</f>
        <v>#N/A</v>
      </c>
      <c r="K9" s="10" t="e">
        <f>IF($A$9,'Enea Bastianini'!J11,NA())</f>
        <v>#N/A</v>
      </c>
      <c r="L9" s="10" t="e">
        <f>IF($A$10,'Alex Marquez'!J11,NA())</f>
        <v>#N/A</v>
      </c>
      <c r="M9" s="10" t="e">
        <f>IF($A$11,'Raul Fernandez'!J11,NA())</f>
        <v>#N/A</v>
      </c>
      <c r="N9" s="10" t="e">
        <f>IF($A$12,'Luca Marini'!J11,NA())</f>
        <v>#N/A</v>
      </c>
      <c r="O9" s="10" t="e">
        <f>IF($A$13,'Francesco Bagnaia'!J11,NA())</f>
        <v>#N/A</v>
      </c>
      <c r="P9" s="10" t="e">
        <f>IF($A$14,'Fermin Aldeguer'!J11,NA())</f>
        <v>#N/A</v>
      </c>
      <c r="Q9" s="10" t="e">
        <f>IF($A$15,'Brad Binder'!J11,NA())</f>
        <v>#N/A</v>
      </c>
      <c r="R9" s="10" t="e">
        <f>IF($A$16,'Diogo Moreira'!J11,NA())</f>
        <v>#N/A</v>
      </c>
      <c r="S9" s="10" t="e">
        <f>IF($A$17,'Franco Morbidelli'!J11,NA())</f>
        <v>#N/A</v>
      </c>
      <c r="T9" s="10" t="e">
        <f>IF($A$18,'Toprak Razgatlioglu'!J11,NA())</f>
        <v>#N/A</v>
      </c>
      <c r="U9" s="10" t="e">
        <f>IF($A$19,'Jack Miller'!J11,NA())</f>
        <v>#N/A</v>
      </c>
      <c r="V9" s="10" t="e">
        <f>IF($A$20,'Fabio Quartararo'!J11,NA())</f>
        <v>#N/A</v>
      </c>
      <c r="W9" s="10" t="e">
        <f>IF($A$21,'Alex Rins'!J11,NA())</f>
        <v>#N/A</v>
      </c>
      <c r="X9" s="10" t="e">
        <f>IF($A$22,'Johann Zarco'!J11,NA())</f>
        <v>#N/A</v>
      </c>
      <c r="Y9" s="10" t="e">
        <f>IF($A$23,'Ai Ogura'!J11,NA())</f>
        <v>#N/A</v>
      </c>
      <c r="Z9" s="10" t="e">
        <f>NA()</f>
        <v>#N/A</v>
      </c>
    </row>
    <row r="10" spans="1:26">
      <c r="A10" s="11" t="b">
        <v>1</v>
      </c>
      <c r="B10" t="s">
        <v>436</v>
      </c>
      <c r="C10" s="18" t="s">
        <v>462</v>
      </c>
      <c r="E10" s="10">
        <v>7</v>
      </c>
      <c r="F10" s="10" t="e">
        <f>IF($A$4,'Marco Bezzecchi'!J12,NA())</f>
        <v>#N/A</v>
      </c>
      <c r="G10" s="10" t="e">
        <f>IF($A$5,'Jorge Martin'!J12,NA())</f>
        <v>#N/A</v>
      </c>
      <c r="H10" s="10" t="e">
        <f>IF($A$6,'Pedro Acosta'!J12,NA())</f>
        <v>#N/A</v>
      </c>
      <c r="I10" s="10" t="e">
        <f>IF($A$7,'Fabio Di Giannantonio'!J12,NA())</f>
        <v>#N/A</v>
      </c>
      <c r="J10" s="10" t="e">
        <f>IF($A$8,'Marc Marquez'!J12,NA())</f>
        <v>#N/A</v>
      </c>
      <c r="K10" s="10" t="e">
        <f>IF($A$9,'Enea Bastianini'!J12,NA())</f>
        <v>#N/A</v>
      </c>
      <c r="L10" s="10" t="e">
        <f>IF($A$10,'Alex Marquez'!J12,NA())</f>
        <v>#N/A</v>
      </c>
      <c r="M10" s="10" t="e">
        <f>IF($A$11,'Raul Fernandez'!J12,NA())</f>
        <v>#N/A</v>
      </c>
      <c r="N10" s="10" t="e">
        <f>IF($A$12,'Luca Marini'!J12,NA())</f>
        <v>#N/A</v>
      </c>
      <c r="O10" s="10" t="e">
        <f>IF($A$13,'Francesco Bagnaia'!J12,NA())</f>
        <v>#N/A</v>
      </c>
      <c r="P10" s="10" t="e">
        <f>IF($A$14,'Fermin Aldeguer'!J12,NA())</f>
        <v>#N/A</v>
      </c>
      <c r="Q10" s="10" t="e">
        <f>IF($A$15,'Brad Binder'!J12,NA())</f>
        <v>#N/A</v>
      </c>
      <c r="R10" s="10" t="e">
        <f>IF($A$16,'Diogo Moreira'!J12,NA())</f>
        <v>#N/A</v>
      </c>
      <c r="S10" s="10" t="e">
        <f>IF($A$17,'Franco Morbidelli'!J12,NA())</f>
        <v>#N/A</v>
      </c>
      <c r="T10" s="10" t="e">
        <f>IF($A$18,'Toprak Razgatlioglu'!J12,NA())</f>
        <v>#N/A</v>
      </c>
      <c r="U10" s="10" t="e">
        <f>IF($A$19,'Jack Miller'!J12,NA())</f>
        <v>#N/A</v>
      </c>
      <c r="V10" s="10" t="e">
        <f>IF($A$20,'Fabio Quartararo'!J12,NA())</f>
        <v>#N/A</v>
      </c>
      <c r="W10" s="10" t="e">
        <f>IF($A$21,'Alex Rins'!J12,NA())</f>
        <v>#N/A</v>
      </c>
      <c r="X10" s="10" t="e">
        <f>IF($A$22,'Johann Zarco'!J12,NA())</f>
        <v>#N/A</v>
      </c>
      <c r="Y10" s="10" t="e">
        <f>IF($A$23,'Ai Ogura'!J12,NA())</f>
        <v>#N/A</v>
      </c>
      <c r="Z10" s="10" t="e">
        <f>NA()</f>
        <v>#N/A</v>
      </c>
    </row>
    <row r="11" spans="1:26">
      <c r="A11" s="11" t="b">
        <v>1</v>
      </c>
      <c r="B11" t="s">
        <v>437</v>
      </c>
      <c r="C11" s="19" t="s">
        <v>463</v>
      </c>
      <c r="E11" s="10">
        <v>8</v>
      </c>
      <c r="F11" s="10" t="e">
        <f>IF($A$4,'Marco Bezzecchi'!J13,NA())</f>
        <v>#N/A</v>
      </c>
      <c r="G11" s="10" t="e">
        <f>IF($A$5,'Jorge Martin'!J13,NA())</f>
        <v>#N/A</v>
      </c>
      <c r="H11" s="10" t="e">
        <f>IF($A$6,'Pedro Acosta'!J13,NA())</f>
        <v>#N/A</v>
      </c>
      <c r="I11" s="10" t="e">
        <f>IF($A$7,'Fabio Di Giannantonio'!J13,NA())</f>
        <v>#N/A</v>
      </c>
      <c r="J11" s="10" t="e">
        <f>IF($A$8,'Marc Marquez'!J13,NA())</f>
        <v>#N/A</v>
      </c>
      <c r="K11" s="10" t="e">
        <f>IF($A$9,'Enea Bastianini'!J13,NA())</f>
        <v>#N/A</v>
      </c>
      <c r="L11" s="10" t="e">
        <f>IF($A$10,'Alex Marquez'!J13,NA())</f>
        <v>#N/A</v>
      </c>
      <c r="M11" s="10" t="e">
        <f>IF($A$11,'Raul Fernandez'!J13,NA())</f>
        <v>#N/A</v>
      </c>
      <c r="N11" s="10" t="e">
        <f>IF($A$12,'Luca Marini'!J13,NA())</f>
        <v>#N/A</v>
      </c>
      <c r="O11" s="10" t="e">
        <f>IF($A$13,'Francesco Bagnaia'!J13,NA())</f>
        <v>#N/A</v>
      </c>
      <c r="P11" s="10" t="e">
        <f>IF($A$14,'Fermin Aldeguer'!J13,NA())</f>
        <v>#N/A</v>
      </c>
      <c r="Q11" s="10" t="e">
        <f>IF($A$15,'Brad Binder'!J13,NA())</f>
        <v>#N/A</v>
      </c>
      <c r="R11" s="10" t="e">
        <f>IF($A$16,'Diogo Moreira'!J13,NA())</f>
        <v>#N/A</v>
      </c>
      <c r="S11" s="10" t="e">
        <f>IF($A$17,'Franco Morbidelli'!J13,NA())</f>
        <v>#N/A</v>
      </c>
      <c r="T11" s="10" t="e">
        <f>IF($A$18,'Toprak Razgatlioglu'!J13,NA())</f>
        <v>#N/A</v>
      </c>
      <c r="U11" s="10" t="e">
        <f>IF($A$19,'Jack Miller'!J13,NA())</f>
        <v>#N/A</v>
      </c>
      <c r="V11" s="10" t="e">
        <f>IF($A$20,'Fabio Quartararo'!J13,NA())</f>
        <v>#N/A</v>
      </c>
      <c r="W11" s="10" t="e">
        <f>IF($A$21,'Alex Rins'!J13,NA())</f>
        <v>#N/A</v>
      </c>
      <c r="X11" s="10" t="e">
        <f>IF($A$22,'Johann Zarco'!J13,NA())</f>
        <v>#N/A</v>
      </c>
      <c r="Y11" s="10" t="e">
        <f>IF($A$23,'Ai Ogura'!J13,NA())</f>
        <v>#N/A</v>
      </c>
      <c r="Z11" s="10" t="e">
        <f>NA()</f>
        <v>#N/A</v>
      </c>
    </row>
    <row r="12" spans="1:26">
      <c r="A12" s="11" t="b">
        <v>1</v>
      </c>
      <c r="B12" t="s">
        <v>438</v>
      </c>
      <c r="C12" s="20" t="s">
        <v>464</v>
      </c>
      <c r="E12" s="10">
        <v>9</v>
      </c>
      <c r="F12" s="10" t="e">
        <f>IF($A$4,'Marco Bezzecchi'!J14,NA())</f>
        <v>#N/A</v>
      </c>
      <c r="G12" s="10" t="e">
        <f>IF($A$5,'Jorge Martin'!J14,NA())</f>
        <v>#N/A</v>
      </c>
      <c r="H12" s="10" t="e">
        <f>IF($A$6,'Pedro Acosta'!J14,NA())</f>
        <v>#N/A</v>
      </c>
      <c r="I12" s="10" t="e">
        <f>IF($A$7,'Fabio Di Giannantonio'!J14,NA())</f>
        <v>#N/A</v>
      </c>
      <c r="J12" s="10" t="e">
        <f>IF($A$8,'Marc Marquez'!J14,NA())</f>
        <v>#N/A</v>
      </c>
      <c r="K12" s="10" t="e">
        <f>IF($A$9,'Enea Bastianini'!J14,NA())</f>
        <v>#N/A</v>
      </c>
      <c r="L12" s="10" t="e">
        <f>IF($A$10,'Alex Marquez'!J14,NA())</f>
        <v>#N/A</v>
      </c>
      <c r="M12" s="10" t="e">
        <f>IF($A$11,'Raul Fernandez'!J14,NA())</f>
        <v>#N/A</v>
      </c>
      <c r="N12" s="10" t="e">
        <f>IF($A$12,'Luca Marini'!J14,NA())</f>
        <v>#N/A</v>
      </c>
      <c r="O12" s="10" t="e">
        <f>IF($A$13,'Francesco Bagnaia'!J14,NA())</f>
        <v>#N/A</v>
      </c>
      <c r="P12" s="10" t="e">
        <f>IF($A$14,'Fermin Aldeguer'!J14,NA())</f>
        <v>#N/A</v>
      </c>
      <c r="Q12" s="10" t="e">
        <f>IF($A$15,'Brad Binder'!J14,NA())</f>
        <v>#N/A</v>
      </c>
      <c r="R12" s="10" t="e">
        <f>IF($A$16,'Diogo Moreira'!J14,NA())</f>
        <v>#N/A</v>
      </c>
      <c r="S12" s="10" t="e">
        <f>IF($A$17,'Franco Morbidelli'!J14,NA())</f>
        <v>#N/A</v>
      </c>
      <c r="T12" s="10" t="e">
        <f>IF($A$18,'Toprak Razgatlioglu'!J14,NA())</f>
        <v>#N/A</v>
      </c>
      <c r="U12" s="10" t="e">
        <f>IF($A$19,'Jack Miller'!J14,NA())</f>
        <v>#N/A</v>
      </c>
      <c r="V12" s="10" t="e">
        <f>IF($A$20,'Fabio Quartararo'!J14,NA())</f>
        <v>#N/A</v>
      </c>
      <c r="W12" s="10" t="e">
        <f>IF($A$21,'Alex Rins'!J14,NA())</f>
        <v>#N/A</v>
      </c>
      <c r="X12" s="10" t="e">
        <f>IF($A$22,'Johann Zarco'!J14,NA())</f>
        <v>#N/A</v>
      </c>
      <c r="Y12" s="10" t="e">
        <f>IF($A$23,'Ai Ogura'!J14,NA())</f>
        <v>#N/A</v>
      </c>
      <c r="Z12" s="10" t="e">
        <f>NA()</f>
        <v>#N/A</v>
      </c>
    </row>
    <row r="13" spans="1:26">
      <c r="A13" s="11" t="b">
        <v>1</v>
      </c>
      <c r="B13" t="s">
        <v>439</v>
      </c>
      <c r="C13" s="21" t="s">
        <v>465</v>
      </c>
      <c r="E13" s="10">
        <v>10</v>
      </c>
      <c r="F13" s="10" t="e">
        <f>IF($A$4,'Marco Bezzecchi'!J15,NA())</f>
        <v>#N/A</v>
      </c>
      <c r="G13" s="10" t="e">
        <f>IF($A$5,'Jorge Martin'!J15,NA())</f>
        <v>#N/A</v>
      </c>
      <c r="H13" s="10" t="e">
        <f>IF($A$6,'Pedro Acosta'!J15,NA())</f>
        <v>#N/A</v>
      </c>
      <c r="I13" s="10" t="e">
        <f>IF($A$7,'Fabio Di Giannantonio'!J15,NA())</f>
        <v>#N/A</v>
      </c>
      <c r="J13" s="10" t="e">
        <f>IF($A$8,'Marc Marquez'!J15,NA())</f>
        <v>#N/A</v>
      </c>
      <c r="K13" s="10" t="e">
        <f>IF($A$9,'Enea Bastianini'!J15,NA())</f>
        <v>#N/A</v>
      </c>
      <c r="L13" s="10" t="e">
        <f>IF($A$10,'Alex Marquez'!J15,NA())</f>
        <v>#N/A</v>
      </c>
      <c r="M13" s="10" t="e">
        <f>IF($A$11,'Raul Fernandez'!J15,NA())</f>
        <v>#N/A</v>
      </c>
      <c r="N13" s="10" t="e">
        <f>IF($A$12,'Luca Marini'!J15,NA())</f>
        <v>#N/A</v>
      </c>
      <c r="O13" s="10" t="e">
        <f>IF($A$13,'Francesco Bagnaia'!J15,NA())</f>
        <v>#N/A</v>
      </c>
      <c r="P13" s="10" t="e">
        <f>IF($A$14,'Fermin Aldeguer'!J15,NA())</f>
        <v>#N/A</v>
      </c>
      <c r="Q13" s="10" t="e">
        <f>IF($A$15,'Brad Binder'!J15,NA())</f>
        <v>#N/A</v>
      </c>
      <c r="R13" s="10" t="e">
        <f>IF($A$16,'Diogo Moreira'!J15,NA())</f>
        <v>#N/A</v>
      </c>
      <c r="S13" s="10" t="e">
        <f>IF($A$17,'Franco Morbidelli'!J15,NA())</f>
        <v>#N/A</v>
      </c>
      <c r="T13" s="10" t="e">
        <f>IF($A$18,'Toprak Razgatlioglu'!J15,NA())</f>
        <v>#N/A</v>
      </c>
      <c r="U13" s="10" t="e">
        <f>IF($A$19,'Jack Miller'!J15,NA())</f>
        <v>#N/A</v>
      </c>
      <c r="V13" s="10" t="e">
        <f>IF($A$20,'Fabio Quartararo'!J15,NA())</f>
        <v>#N/A</v>
      </c>
      <c r="W13" s="10" t="e">
        <f>IF($A$21,'Alex Rins'!J15,NA())</f>
        <v>#N/A</v>
      </c>
      <c r="X13" s="10" t="e">
        <f>IF($A$22,'Johann Zarco'!J15,NA())</f>
        <v>#N/A</v>
      </c>
      <c r="Y13" s="10" t="e">
        <f>IF($A$23,'Ai Ogura'!J15,NA())</f>
        <v>#N/A</v>
      </c>
      <c r="Z13" s="10" t="e">
        <f>NA()</f>
        <v>#N/A</v>
      </c>
    </row>
    <row r="14" spans="1:26">
      <c r="A14" s="11" t="b">
        <v>1</v>
      </c>
      <c r="B14" t="s">
        <v>440</v>
      </c>
      <c r="C14" s="22" t="s">
        <v>466</v>
      </c>
      <c r="E14" s="10">
        <v>11</v>
      </c>
      <c r="F14" s="10" t="e">
        <f>IF($A$4,'Marco Bezzecchi'!J16,NA())</f>
        <v>#N/A</v>
      </c>
      <c r="G14" s="10" t="e">
        <f>IF($A$5,'Jorge Martin'!J16,NA())</f>
        <v>#N/A</v>
      </c>
      <c r="H14" s="10" t="e">
        <f>IF($A$6,'Pedro Acosta'!J16,NA())</f>
        <v>#N/A</v>
      </c>
      <c r="I14" s="10" t="e">
        <f>IF($A$7,'Fabio Di Giannantonio'!J16,NA())</f>
        <v>#N/A</v>
      </c>
      <c r="J14" s="10" t="e">
        <f>IF($A$8,'Marc Marquez'!J16,NA())</f>
        <v>#N/A</v>
      </c>
      <c r="K14" s="10" t="e">
        <f>IF($A$9,'Enea Bastianini'!J16,NA())</f>
        <v>#N/A</v>
      </c>
      <c r="L14" s="10" t="e">
        <f>IF($A$10,'Alex Marquez'!J16,NA())</f>
        <v>#N/A</v>
      </c>
      <c r="M14" s="10" t="e">
        <f>IF($A$11,'Raul Fernandez'!J16,NA())</f>
        <v>#N/A</v>
      </c>
      <c r="N14" s="10" t="e">
        <f>IF($A$12,'Luca Marini'!J16,NA())</f>
        <v>#N/A</v>
      </c>
      <c r="O14" s="10" t="e">
        <f>IF($A$13,'Francesco Bagnaia'!J16,NA())</f>
        <v>#N/A</v>
      </c>
      <c r="P14" s="10" t="e">
        <f>IF($A$14,'Fermin Aldeguer'!J16,NA())</f>
        <v>#N/A</v>
      </c>
      <c r="Q14" s="10" t="e">
        <f>IF($A$15,'Brad Binder'!J16,NA())</f>
        <v>#N/A</v>
      </c>
      <c r="R14" s="10" t="e">
        <f>IF($A$16,'Diogo Moreira'!J16,NA())</f>
        <v>#N/A</v>
      </c>
      <c r="S14" s="10" t="e">
        <f>IF($A$17,'Franco Morbidelli'!J16,NA())</f>
        <v>#N/A</v>
      </c>
      <c r="T14" s="10" t="e">
        <f>IF($A$18,'Toprak Razgatlioglu'!J16,NA())</f>
        <v>#N/A</v>
      </c>
      <c r="U14" s="10" t="e">
        <f>IF($A$19,'Jack Miller'!J16,NA())</f>
        <v>#N/A</v>
      </c>
      <c r="V14" s="10" t="e">
        <f>IF($A$20,'Fabio Quartararo'!J16,NA())</f>
        <v>#N/A</v>
      </c>
      <c r="W14" s="10" t="e">
        <f>IF($A$21,'Alex Rins'!J16,NA())</f>
        <v>#N/A</v>
      </c>
      <c r="X14" s="10" t="e">
        <f>IF($A$22,'Johann Zarco'!J16,NA())</f>
        <v>#N/A</v>
      </c>
      <c r="Y14" s="10" t="e">
        <f>IF($A$23,'Ai Ogura'!J16,NA())</f>
        <v>#N/A</v>
      </c>
      <c r="Z14" s="10" t="e">
        <f>NA()</f>
        <v>#N/A</v>
      </c>
    </row>
    <row r="15" spans="1:26">
      <c r="A15" s="11" t="b">
        <v>1</v>
      </c>
      <c r="B15" t="s">
        <v>441</v>
      </c>
      <c r="C15" s="23" t="s">
        <v>467</v>
      </c>
      <c r="E15" s="10">
        <v>12</v>
      </c>
      <c r="F15" s="10" t="e">
        <f>IF($A$4,'Marco Bezzecchi'!J17,NA())</f>
        <v>#N/A</v>
      </c>
      <c r="G15" s="10" t="e">
        <f>IF($A$5,'Jorge Martin'!J17,NA())</f>
        <v>#N/A</v>
      </c>
      <c r="H15" s="10" t="e">
        <f>IF($A$6,'Pedro Acosta'!J17,NA())</f>
        <v>#N/A</v>
      </c>
      <c r="I15" s="10" t="e">
        <f>IF($A$7,'Fabio Di Giannantonio'!J17,NA())</f>
        <v>#N/A</v>
      </c>
      <c r="J15" s="10" t="e">
        <f>IF($A$8,'Marc Marquez'!J17,NA())</f>
        <v>#N/A</v>
      </c>
      <c r="K15" s="10" t="e">
        <f>IF($A$9,'Enea Bastianini'!J17,NA())</f>
        <v>#N/A</v>
      </c>
      <c r="L15" s="10" t="e">
        <f>IF($A$10,'Alex Marquez'!J17,NA())</f>
        <v>#N/A</v>
      </c>
      <c r="M15" s="10" t="e">
        <f>IF($A$11,'Raul Fernandez'!J17,NA())</f>
        <v>#N/A</v>
      </c>
      <c r="N15" s="10" t="e">
        <f>IF($A$12,'Luca Marini'!J17,NA())</f>
        <v>#N/A</v>
      </c>
      <c r="O15" s="10" t="e">
        <f>IF($A$13,'Francesco Bagnaia'!J17,NA())</f>
        <v>#N/A</v>
      </c>
      <c r="P15" s="10" t="e">
        <f>IF($A$14,'Fermin Aldeguer'!J17,NA())</f>
        <v>#N/A</v>
      </c>
      <c r="Q15" s="10" t="e">
        <f>IF($A$15,'Brad Binder'!J17,NA())</f>
        <v>#N/A</v>
      </c>
      <c r="R15" s="10" t="e">
        <f>IF($A$16,'Diogo Moreira'!J17,NA())</f>
        <v>#N/A</v>
      </c>
      <c r="S15" s="10" t="e">
        <f>IF($A$17,'Franco Morbidelli'!J17,NA())</f>
        <v>#N/A</v>
      </c>
      <c r="T15" s="10" t="e">
        <f>IF($A$18,'Toprak Razgatlioglu'!J17,NA())</f>
        <v>#N/A</v>
      </c>
      <c r="U15" s="10" t="e">
        <f>IF($A$19,'Jack Miller'!J17,NA())</f>
        <v>#N/A</v>
      </c>
      <c r="V15" s="10" t="e">
        <f>IF($A$20,'Fabio Quartararo'!J17,NA())</f>
        <v>#N/A</v>
      </c>
      <c r="W15" s="10" t="e">
        <f>IF($A$21,'Alex Rins'!J17,NA())</f>
        <v>#N/A</v>
      </c>
      <c r="X15" s="10" t="e">
        <f>IF($A$22,'Johann Zarco'!J17,NA())</f>
        <v>#N/A</v>
      </c>
      <c r="Y15" s="10" t="e">
        <f>IF($A$23,'Ai Ogura'!J17,NA())</f>
        <v>#N/A</v>
      </c>
      <c r="Z15" s="10" t="e">
        <f>NA()</f>
        <v>#N/A</v>
      </c>
    </row>
    <row r="16" spans="1:26">
      <c r="A16" s="11" t="b">
        <v>1</v>
      </c>
      <c r="B16" t="s">
        <v>442</v>
      </c>
      <c r="C16" s="24" t="s">
        <v>468</v>
      </c>
      <c r="E16" s="10">
        <v>13</v>
      </c>
      <c r="F16" s="10" t="e">
        <f>IF($A$4,'Marco Bezzecchi'!J18,NA())</f>
        <v>#N/A</v>
      </c>
      <c r="G16" s="10" t="e">
        <f>IF($A$5,'Jorge Martin'!J18,NA())</f>
        <v>#N/A</v>
      </c>
      <c r="H16" s="10" t="e">
        <f>IF($A$6,'Pedro Acosta'!J18,NA())</f>
        <v>#N/A</v>
      </c>
      <c r="I16" s="10" t="e">
        <f>IF($A$7,'Fabio Di Giannantonio'!J18,NA())</f>
        <v>#N/A</v>
      </c>
      <c r="J16" s="10" t="e">
        <f>IF($A$8,'Marc Marquez'!J18,NA())</f>
        <v>#N/A</v>
      </c>
      <c r="K16" s="10" t="e">
        <f>IF($A$9,'Enea Bastianini'!J18,NA())</f>
        <v>#N/A</v>
      </c>
      <c r="L16" s="10" t="e">
        <f>IF($A$10,'Alex Marquez'!J18,NA())</f>
        <v>#N/A</v>
      </c>
      <c r="M16" s="10" t="e">
        <f>IF($A$11,'Raul Fernandez'!J18,NA())</f>
        <v>#N/A</v>
      </c>
      <c r="N16" s="10" t="e">
        <f>IF($A$12,'Luca Marini'!J18,NA())</f>
        <v>#N/A</v>
      </c>
      <c r="O16" s="10" t="e">
        <f>IF($A$13,'Francesco Bagnaia'!J18,NA())</f>
        <v>#N/A</v>
      </c>
      <c r="P16" s="10" t="e">
        <f>IF($A$14,'Fermin Aldeguer'!J18,NA())</f>
        <v>#N/A</v>
      </c>
      <c r="Q16" s="10" t="e">
        <f>IF($A$15,'Brad Binder'!J18,NA())</f>
        <v>#N/A</v>
      </c>
      <c r="R16" s="10" t="e">
        <f>IF($A$16,'Diogo Moreira'!J18,NA())</f>
        <v>#N/A</v>
      </c>
      <c r="S16" s="10" t="e">
        <f>IF($A$17,'Franco Morbidelli'!J18,NA())</f>
        <v>#N/A</v>
      </c>
      <c r="T16" s="10" t="e">
        <f>IF($A$18,'Toprak Razgatlioglu'!J18,NA())</f>
        <v>#N/A</v>
      </c>
      <c r="U16" s="10" t="e">
        <f>IF($A$19,'Jack Miller'!J18,NA())</f>
        <v>#N/A</v>
      </c>
      <c r="V16" s="10" t="e">
        <f>IF($A$20,'Fabio Quartararo'!J18,NA())</f>
        <v>#N/A</v>
      </c>
      <c r="W16" s="10" t="e">
        <f>IF($A$21,'Alex Rins'!J18,NA())</f>
        <v>#N/A</v>
      </c>
      <c r="X16" s="10" t="e">
        <f>IF($A$22,'Johann Zarco'!J18,NA())</f>
        <v>#N/A</v>
      </c>
      <c r="Y16" s="10" t="e">
        <f>IF($A$23,'Ai Ogura'!J18,NA())</f>
        <v>#N/A</v>
      </c>
      <c r="Z16" s="10" t="e">
        <f>NA()</f>
        <v>#N/A</v>
      </c>
    </row>
    <row r="17" spans="1:26">
      <c r="A17" s="11" t="b">
        <v>1</v>
      </c>
      <c r="B17" t="s">
        <v>443</v>
      </c>
      <c r="C17" s="25" t="s">
        <v>469</v>
      </c>
      <c r="E17" s="10">
        <v>14</v>
      </c>
      <c r="F17" s="10" t="e">
        <f>IF($A$4,'Marco Bezzecchi'!J19,NA())</f>
        <v>#N/A</v>
      </c>
      <c r="G17" s="10" t="e">
        <f>IF($A$5,'Jorge Martin'!J19,NA())</f>
        <v>#N/A</v>
      </c>
      <c r="H17" s="10" t="e">
        <f>IF($A$6,'Pedro Acosta'!J19,NA())</f>
        <v>#N/A</v>
      </c>
      <c r="I17" s="10" t="e">
        <f>IF($A$7,'Fabio Di Giannantonio'!J19,NA())</f>
        <v>#N/A</v>
      </c>
      <c r="J17" s="10" t="e">
        <f>IF($A$8,'Marc Marquez'!J19,NA())</f>
        <v>#N/A</v>
      </c>
      <c r="K17" s="10" t="e">
        <f>IF($A$9,'Enea Bastianini'!J19,NA())</f>
        <v>#N/A</v>
      </c>
      <c r="L17" s="10" t="e">
        <f>IF($A$10,'Alex Marquez'!J19,NA())</f>
        <v>#N/A</v>
      </c>
      <c r="M17" s="10" t="e">
        <f>IF($A$11,'Raul Fernandez'!J19,NA())</f>
        <v>#N/A</v>
      </c>
      <c r="N17" s="10" t="e">
        <f>IF($A$12,'Luca Marini'!J19,NA())</f>
        <v>#N/A</v>
      </c>
      <c r="O17" s="10" t="e">
        <f>IF($A$13,'Francesco Bagnaia'!J19,NA())</f>
        <v>#N/A</v>
      </c>
      <c r="P17" s="10" t="e">
        <f>IF($A$14,'Fermin Aldeguer'!J19,NA())</f>
        <v>#N/A</v>
      </c>
      <c r="Q17" s="10" t="e">
        <f>IF($A$15,'Brad Binder'!J19,NA())</f>
        <v>#N/A</v>
      </c>
      <c r="R17" s="10" t="e">
        <f>IF($A$16,'Diogo Moreira'!J19,NA())</f>
        <v>#N/A</v>
      </c>
      <c r="S17" s="10" t="e">
        <f>IF($A$17,'Franco Morbidelli'!J19,NA())</f>
        <v>#N/A</v>
      </c>
      <c r="T17" s="10" t="e">
        <f>IF($A$18,'Toprak Razgatlioglu'!J19,NA())</f>
        <v>#N/A</v>
      </c>
      <c r="U17" s="10" t="e">
        <f>IF($A$19,'Jack Miller'!J19,NA())</f>
        <v>#N/A</v>
      </c>
      <c r="V17" s="10" t="e">
        <f>IF($A$20,'Fabio Quartararo'!J19,NA())</f>
        <v>#N/A</v>
      </c>
      <c r="W17" s="10" t="e">
        <f>IF($A$21,'Alex Rins'!J19,NA())</f>
        <v>#N/A</v>
      </c>
      <c r="X17" s="10" t="e">
        <f>IF($A$22,'Johann Zarco'!J19,NA())</f>
        <v>#N/A</v>
      </c>
      <c r="Y17" s="10" t="e">
        <f>IF($A$23,'Ai Ogura'!J19,NA())</f>
        <v>#N/A</v>
      </c>
      <c r="Z17" s="10" t="e">
        <f>NA()</f>
        <v>#N/A</v>
      </c>
    </row>
    <row r="18" spans="1:26">
      <c r="A18" s="11" t="b">
        <v>1</v>
      </c>
      <c r="B18" t="s">
        <v>444</v>
      </c>
      <c r="C18" s="26" t="s">
        <v>470</v>
      </c>
      <c r="E18" s="10">
        <v>15</v>
      </c>
      <c r="F18" s="10" t="e">
        <f>IF($A$4,'Marco Bezzecchi'!J20,NA())</f>
        <v>#N/A</v>
      </c>
      <c r="G18" s="10" t="e">
        <f>IF($A$5,'Jorge Martin'!J20,NA())</f>
        <v>#N/A</v>
      </c>
      <c r="H18" s="10" t="e">
        <f>IF($A$6,'Pedro Acosta'!J20,NA())</f>
        <v>#N/A</v>
      </c>
      <c r="I18" s="10" t="e">
        <f>IF($A$7,'Fabio Di Giannantonio'!J20,NA())</f>
        <v>#N/A</v>
      </c>
      <c r="J18" s="10" t="e">
        <f>IF($A$8,'Marc Marquez'!J20,NA())</f>
        <v>#N/A</v>
      </c>
      <c r="K18" s="10" t="e">
        <f>IF($A$9,'Enea Bastianini'!J20,NA())</f>
        <v>#N/A</v>
      </c>
      <c r="L18" s="10" t="e">
        <f>IF($A$10,'Alex Marquez'!J20,NA())</f>
        <v>#N/A</v>
      </c>
      <c r="M18" s="10" t="e">
        <f>IF($A$11,'Raul Fernandez'!J20,NA())</f>
        <v>#N/A</v>
      </c>
      <c r="N18" s="10" t="e">
        <f>IF($A$12,'Luca Marini'!J20,NA())</f>
        <v>#N/A</v>
      </c>
      <c r="O18" s="10" t="e">
        <f>IF($A$13,'Francesco Bagnaia'!J20,NA())</f>
        <v>#N/A</v>
      </c>
      <c r="P18" s="10" t="e">
        <f>IF($A$14,'Fermin Aldeguer'!J20,NA())</f>
        <v>#N/A</v>
      </c>
      <c r="Q18" s="10" t="e">
        <f>IF($A$15,'Brad Binder'!J20,NA())</f>
        <v>#N/A</v>
      </c>
      <c r="R18" s="10" t="e">
        <f>IF($A$16,'Diogo Moreira'!J20,NA())</f>
        <v>#N/A</v>
      </c>
      <c r="S18" s="10" t="e">
        <f>IF($A$17,'Franco Morbidelli'!J20,NA())</f>
        <v>#N/A</v>
      </c>
      <c r="T18" s="10" t="e">
        <f>IF($A$18,'Toprak Razgatlioglu'!J20,NA())</f>
        <v>#N/A</v>
      </c>
      <c r="U18" s="10" t="e">
        <f>IF($A$19,'Jack Miller'!J20,NA())</f>
        <v>#N/A</v>
      </c>
      <c r="V18" s="10" t="e">
        <f>IF($A$20,'Fabio Quartararo'!J20,NA())</f>
        <v>#N/A</v>
      </c>
      <c r="W18" s="10" t="e">
        <f>IF($A$21,'Alex Rins'!J20,NA())</f>
        <v>#N/A</v>
      </c>
      <c r="X18" s="10" t="e">
        <f>IF($A$22,'Johann Zarco'!J20,NA())</f>
        <v>#N/A</v>
      </c>
      <c r="Y18" s="10" t="e">
        <f>IF($A$23,'Ai Ogura'!J20,NA())</f>
        <v>#N/A</v>
      </c>
      <c r="Z18" s="10" t="e">
        <f>NA()</f>
        <v>#N/A</v>
      </c>
    </row>
    <row r="19" spans="1:26">
      <c r="A19" s="11" t="b">
        <v>1</v>
      </c>
      <c r="B19" t="s">
        <v>445</v>
      </c>
      <c r="C19" s="27" t="s">
        <v>471</v>
      </c>
      <c r="E19" s="10">
        <v>16</v>
      </c>
      <c r="F19" s="10" t="e">
        <f>IF($A$4,'Marco Bezzecchi'!J21,NA())</f>
        <v>#N/A</v>
      </c>
      <c r="G19" s="10" t="e">
        <f>IF($A$5,'Jorge Martin'!J21,NA())</f>
        <v>#N/A</v>
      </c>
      <c r="H19" s="10" t="e">
        <f>IF($A$6,'Pedro Acosta'!J21,NA())</f>
        <v>#N/A</v>
      </c>
      <c r="I19" s="10" t="e">
        <f>IF($A$7,'Fabio Di Giannantonio'!J21,NA())</f>
        <v>#N/A</v>
      </c>
      <c r="J19" s="10" t="e">
        <f>IF($A$8,'Marc Marquez'!J21,NA())</f>
        <v>#N/A</v>
      </c>
      <c r="K19" s="10" t="e">
        <f>IF($A$9,'Enea Bastianini'!J21,NA())</f>
        <v>#N/A</v>
      </c>
      <c r="L19" s="10" t="e">
        <f>IF($A$10,'Alex Marquez'!J21,NA())</f>
        <v>#N/A</v>
      </c>
      <c r="M19" s="10" t="e">
        <f>IF($A$11,'Raul Fernandez'!J21,NA())</f>
        <v>#N/A</v>
      </c>
      <c r="N19" s="10" t="e">
        <f>IF($A$12,'Luca Marini'!J21,NA())</f>
        <v>#N/A</v>
      </c>
      <c r="O19" s="10" t="e">
        <f>IF($A$13,'Francesco Bagnaia'!J21,NA())</f>
        <v>#N/A</v>
      </c>
      <c r="P19" s="10" t="e">
        <f>IF($A$14,'Fermin Aldeguer'!J21,NA())</f>
        <v>#N/A</v>
      </c>
      <c r="Q19" s="10" t="e">
        <f>IF($A$15,'Brad Binder'!J21,NA())</f>
        <v>#N/A</v>
      </c>
      <c r="R19" s="10" t="e">
        <f>IF($A$16,'Diogo Moreira'!J21,NA())</f>
        <v>#N/A</v>
      </c>
      <c r="S19" s="10" t="e">
        <f>IF($A$17,'Franco Morbidelli'!J21,NA())</f>
        <v>#N/A</v>
      </c>
      <c r="T19" s="10" t="e">
        <f>IF($A$18,'Toprak Razgatlioglu'!J21,NA())</f>
        <v>#N/A</v>
      </c>
      <c r="U19" s="10" t="e">
        <f>IF($A$19,'Jack Miller'!J21,NA())</f>
        <v>#N/A</v>
      </c>
      <c r="V19" s="10" t="e">
        <f>IF($A$20,'Fabio Quartararo'!J21,NA())</f>
        <v>#N/A</v>
      </c>
      <c r="W19" s="10" t="e">
        <f>IF($A$21,'Alex Rins'!J21,NA())</f>
        <v>#N/A</v>
      </c>
      <c r="X19" s="10" t="e">
        <f>IF($A$22,'Johann Zarco'!J21,NA())</f>
        <v>#N/A</v>
      </c>
      <c r="Y19" s="10" t="e">
        <f>NA()</f>
        <v>#N/A</v>
      </c>
      <c r="Z19" s="10" t="e">
        <f>NA()</f>
        <v>#N/A</v>
      </c>
    </row>
    <row r="20" spans="1:26">
      <c r="A20" s="11" t="b">
        <v>1</v>
      </c>
      <c r="B20" t="s">
        <v>446</v>
      </c>
      <c r="C20" s="28" t="s">
        <v>472</v>
      </c>
      <c r="E20" s="10">
        <v>17</v>
      </c>
      <c r="F20" s="10" t="e">
        <f>IF($A$4,'Marco Bezzecchi'!J22,NA())</f>
        <v>#N/A</v>
      </c>
      <c r="G20" s="10" t="e">
        <f>IF($A$5,'Jorge Martin'!J22,NA())</f>
        <v>#N/A</v>
      </c>
      <c r="H20" s="10" t="e">
        <f>IF($A$6,'Pedro Acosta'!J22,NA())</f>
        <v>#N/A</v>
      </c>
      <c r="I20" s="10" t="e">
        <f>IF($A$7,'Fabio Di Giannantonio'!J22,NA())</f>
        <v>#N/A</v>
      </c>
      <c r="J20" s="10" t="e">
        <f>IF($A$8,'Marc Marquez'!J22,NA())</f>
        <v>#N/A</v>
      </c>
      <c r="K20" s="10" t="e">
        <f>IF($A$9,'Enea Bastianini'!J22,NA())</f>
        <v>#N/A</v>
      </c>
      <c r="L20" s="10" t="e">
        <f>IF($A$10,'Alex Marquez'!J22,NA())</f>
        <v>#N/A</v>
      </c>
      <c r="M20" s="10" t="e">
        <f>IF($A$11,'Raul Fernandez'!J22,NA())</f>
        <v>#N/A</v>
      </c>
      <c r="N20" s="10" t="e">
        <f>IF($A$12,'Luca Marini'!J22,NA())</f>
        <v>#N/A</v>
      </c>
      <c r="O20" s="10" t="e">
        <f>IF($A$13,'Francesco Bagnaia'!J22,NA())</f>
        <v>#N/A</v>
      </c>
      <c r="P20" s="10" t="e">
        <f>IF($A$14,'Fermin Aldeguer'!J22,NA())</f>
        <v>#N/A</v>
      </c>
      <c r="Q20" s="10" t="e">
        <f>IF($A$15,'Brad Binder'!J22,NA())</f>
        <v>#N/A</v>
      </c>
      <c r="R20" s="10" t="e">
        <f>IF($A$16,'Diogo Moreira'!J22,NA())</f>
        <v>#N/A</v>
      </c>
      <c r="S20" s="10" t="e">
        <f>IF($A$17,'Franco Morbidelli'!J22,NA())</f>
        <v>#N/A</v>
      </c>
      <c r="T20" s="10" t="e">
        <f>IF($A$18,'Toprak Razgatlioglu'!J22,NA())</f>
        <v>#N/A</v>
      </c>
      <c r="U20" s="10" t="e">
        <f>IF($A$19,'Jack Miller'!J22,NA())</f>
        <v>#N/A</v>
      </c>
      <c r="V20" s="10" t="e">
        <f>IF($A$20,'Fabio Quartararo'!J22,NA())</f>
        <v>#N/A</v>
      </c>
      <c r="W20" s="10" t="e">
        <f>IF($A$21,'Alex Rins'!J22,NA())</f>
        <v>#N/A</v>
      </c>
      <c r="X20" s="10" t="e">
        <f>IF($A$22,'Johann Zarco'!J22,NA())</f>
        <v>#N/A</v>
      </c>
      <c r="Y20" s="10" t="e">
        <f>NA()</f>
        <v>#N/A</v>
      </c>
      <c r="Z20" s="10" t="e">
        <f>NA()</f>
        <v>#N/A</v>
      </c>
    </row>
    <row r="21" spans="1:26">
      <c r="A21" s="11" t="b">
        <v>1</v>
      </c>
      <c r="B21" t="s">
        <v>447</v>
      </c>
      <c r="C21" s="29" t="s">
        <v>473</v>
      </c>
      <c r="E21" s="10">
        <v>18</v>
      </c>
      <c r="F21" s="10" t="e">
        <f>IF($A$4,'Marco Bezzecchi'!J23,NA())</f>
        <v>#N/A</v>
      </c>
      <c r="G21" s="10" t="e">
        <f>IF($A$5,'Jorge Martin'!J23,NA())</f>
        <v>#N/A</v>
      </c>
      <c r="H21" s="10" t="e">
        <f>IF($A$6,'Pedro Acosta'!J23,NA())</f>
        <v>#N/A</v>
      </c>
      <c r="I21" s="10" t="e">
        <f>IF($A$7,'Fabio Di Giannantonio'!J23,NA())</f>
        <v>#N/A</v>
      </c>
      <c r="J21" s="10" t="e">
        <f>IF($A$8,'Marc Marquez'!J23,NA())</f>
        <v>#N/A</v>
      </c>
      <c r="K21" s="10" t="e">
        <f>IF($A$9,'Enea Bastianini'!J23,NA())</f>
        <v>#N/A</v>
      </c>
      <c r="L21" s="10" t="e">
        <f>IF($A$10,'Alex Marquez'!J23,NA())</f>
        <v>#N/A</v>
      </c>
      <c r="M21" s="10" t="e">
        <f>IF($A$11,'Raul Fernandez'!J23,NA())</f>
        <v>#N/A</v>
      </c>
      <c r="N21" s="10" t="e">
        <f>IF($A$12,'Luca Marini'!J23,NA())</f>
        <v>#N/A</v>
      </c>
      <c r="O21" s="10" t="e">
        <f>IF($A$13,'Francesco Bagnaia'!J23,NA())</f>
        <v>#N/A</v>
      </c>
      <c r="P21" s="10" t="e">
        <f>IF($A$14,'Fermin Aldeguer'!J23,NA())</f>
        <v>#N/A</v>
      </c>
      <c r="Q21" s="10" t="e">
        <f>IF($A$15,'Brad Binder'!J23,NA())</f>
        <v>#N/A</v>
      </c>
      <c r="R21" s="10" t="e">
        <f>IF($A$16,'Diogo Moreira'!J23,NA())</f>
        <v>#N/A</v>
      </c>
      <c r="S21" s="10" t="e">
        <f>IF($A$17,'Franco Morbidelli'!J23,NA())</f>
        <v>#N/A</v>
      </c>
      <c r="T21" s="10" t="e">
        <f>IF($A$18,'Toprak Razgatlioglu'!J23,NA())</f>
        <v>#N/A</v>
      </c>
      <c r="U21" s="10" t="e">
        <f>IF($A$19,'Jack Miller'!J23,NA())</f>
        <v>#N/A</v>
      </c>
      <c r="V21" s="10" t="e">
        <f>IF($A$20,'Fabio Quartararo'!J23,NA())</f>
        <v>#N/A</v>
      </c>
      <c r="W21" s="10" t="e">
        <f>IF($A$21,'Alex Rins'!J23,NA())</f>
        <v>#N/A</v>
      </c>
      <c r="X21" s="10" t="e">
        <f>IF($A$22,'Johann Zarco'!J23,NA())</f>
        <v>#N/A</v>
      </c>
      <c r="Y21" s="10" t="e">
        <f>NA()</f>
        <v>#N/A</v>
      </c>
      <c r="Z21" s="10" t="e">
        <f>NA()</f>
        <v>#N/A</v>
      </c>
    </row>
    <row r="22" spans="1:26">
      <c r="A22" s="11" t="b">
        <v>1</v>
      </c>
      <c r="B22" t="s">
        <v>448</v>
      </c>
      <c r="C22" s="30" t="s">
        <v>474</v>
      </c>
      <c r="E22" s="10">
        <v>19</v>
      </c>
      <c r="F22" s="10" t="e">
        <f>IF($A$4,'Marco Bezzecchi'!J24,NA())</f>
        <v>#N/A</v>
      </c>
      <c r="G22" s="10" t="e">
        <f>IF($A$5,'Jorge Martin'!J24,NA())</f>
        <v>#N/A</v>
      </c>
      <c r="H22" s="10" t="e">
        <f>IF($A$6,'Pedro Acosta'!J24,NA())</f>
        <v>#N/A</v>
      </c>
      <c r="I22" s="10" t="e">
        <f>IF($A$7,'Fabio Di Giannantonio'!J24,NA())</f>
        <v>#N/A</v>
      </c>
      <c r="J22" s="10" t="e">
        <f>IF($A$8,'Marc Marquez'!J24,NA())</f>
        <v>#N/A</v>
      </c>
      <c r="K22" s="10" t="e">
        <f>IF($A$9,'Enea Bastianini'!J24,NA())</f>
        <v>#N/A</v>
      </c>
      <c r="L22" s="10" t="e">
        <f>IF($A$10,'Alex Marquez'!J24,NA())</f>
        <v>#N/A</v>
      </c>
      <c r="M22" s="10" t="e">
        <f>IF($A$11,'Raul Fernandez'!J24,NA())</f>
        <v>#N/A</v>
      </c>
      <c r="N22" s="10" t="e">
        <f>IF($A$12,'Luca Marini'!J24,NA())</f>
        <v>#N/A</v>
      </c>
      <c r="O22" s="10" t="e">
        <f>IF($A$13,'Francesco Bagnaia'!J24,NA())</f>
        <v>#N/A</v>
      </c>
      <c r="P22" s="10" t="e">
        <f>IF($A$14,'Fermin Aldeguer'!J24,NA())</f>
        <v>#N/A</v>
      </c>
      <c r="Q22" s="10" t="e">
        <f>IF($A$15,'Brad Binder'!J24,NA())</f>
        <v>#N/A</v>
      </c>
      <c r="R22" s="10" t="e">
        <f>IF($A$16,'Diogo Moreira'!J24,NA())</f>
        <v>#N/A</v>
      </c>
      <c r="S22" s="10" t="e">
        <f>IF($A$17,'Franco Morbidelli'!J24,NA())</f>
        <v>#N/A</v>
      </c>
      <c r="T22" s="10" t="e">
        <f>IF($A$18,'Toprak Razgatlioglu'!J24,NA())</f>
        <v>#N/A</v>
      </c>
      <c r="U22" s="10" t="e">
        <f>IF($A$19,'Jack Miller'!J24,NA())</f>
        <v>#N/A</v>
      </c>
      <c r="V22" s="10" t="e">
        <f>IF($A$20,'Fabio Quartararo'!J24,NA())</f>
        <v>#N/A</v>
      </c>
      <c r="W22" s="10" t="e">
        <f>IF($A$21,'Alex Rins'!J24,NA())</f>
        <v>#N/A</v>
      </c>
      <c r="X22" s="10" t="e">
        <f>NA()</f>
        <v>#N/A</v>
      </c>
      <c r="Y22" s="10" t="e">
        <f>NA()</f>
        <v>#N/A</v>
      </c>
      <c r="Z22" s="10" t="e">
        <f>NA()</f>
        <v>#N/A</v>
      </c>
    </row>
    <row r="23" spans="1:26">
      <c r="A23" s="11" t="b">
        <v>1</v>
      </c>
      <c r="B23" t="s">
        <v>449</v>
      </c>
      <c r="C23" s="31" t="s">
        <v>475</v>
      </c>
      <c r="E23" s="10">
        <v>20</v>
      </c>
      <c r="F23" s="10" t="e">
        <f>IF($A$4,'Marco Bezzecchi'!J25,NA())</f>
        <v>#N/A</v>
      </c>
      <c r="G23" s="10" t="e">
        <f>IF($A$5,'Jorge Martin'!J25,NA())</f>
        <v>#N/A</v>
      </c>
      <c r="H23" s="10" t="e">
        <f>IF($A$6,'Pedro Acosta'!J25,NA())</f>
        <v>#N/A</v>
      </c>
      <c r="I23" s="10" t="e">
        <f>IF($A$7,'Fabio Di Giannantonio'!J25,NA())</f>
        <v>#N/A</v>
      </c>
      <c r="J23" s="10" t="e">
        <f>IF($A$8,'Marc Marquez'!J25,NA())</f>
        <v>#N/A</v>
      </c>
      <c r="K23" s="10" t="e">
        <f>IF($A$9,'Enea Bastianini'!J25,NA())</f>
        <v>#N/A</v>
      </c>
      <c r="L23" s="10" t="e">
        <f>IF($A$10,'Alex Marquez'!J25,NA())</f>
        <v>#N/A</v>
      </c>
      <c r="M23" s="10" t="e">
        <f>IF($A$11,'Raul Fernandez'!J25,NA())</f>
        <v>#N/A</v>
      </c>
      <c r="N23" s="10" t="e">
        <f>IF($A$12,'Luca Marini'!J25,NA())</f>
        <v>#N/A</v>
      </c>
      <c r="O23" s="10" t="e">
        <f>IF($A$13,'Francesco Bagnaia'!J25,NA())</f>
        <v>#N/A</v>
      </c>
      <c r="P23" s="10" t="e">
        <f>IF($A$14,'Fermin Aldeguer'!J25,NA())</f>
        <v>#N/A</v>
      </c>
      <c r="Q23" s="10" t="e">
        <f>IF($A$15,'Brad Binder'!J25,NA())</f>
        <v>#N/A</v>
      </c>
      <c r="R23" s="10" t="e">
        <f>IF($A$16,'Diogo Moreira'!J25,NA())</f>
        <v>#N/A</v>
      </c>
      <c r="S23" s="10" t="e">
        <f>IF($A$17,'Franco Morbidelli'!J25,NA())</f>
        <v>#N/A</v>
      </c>
      <c r="T23" s="10" t="e">
        <f>IF($A$18,'Toprak Razgatlioglu'!J25,NA())</f>
        <v>#N/A</v>
      </c>
      <c r="U23" s="10" t="e">
        <f>IF($A$19,'Jack Miller'!J25,NA())</f>
        <v>#N/A</v>
      </c>
      <c r="V23" s="10" t="e">
        <f>IF($A$20,'Fabio Quartararo'!J25,NA())</f>
        <v>#N/A</v>
      </c>
      <c r="W23" s="10" t="e">
        <f>IF($A$21,'Alex Rins'!J25,NA())</f>
        <v>#N/A</v>
      </c>
      <c r="X23" s="10" t="e">
        <f>NA()</f>
        <v>#N/A</v>
      </c>
      <c r="Y23" s="10" t="e">
        <f>NA()</f>
        <v>#N/A</v>
      </c>
      <c r="Z23" s="10" t="e">
        <f>NA()</f>
        <v>#N/A</v>
      </c>
    </row>
    <row r="24" spans="1:26">
      <c r="A24" s="11" t="b">
        <v>1</v>
      </c>
      <c r="B24" t="s">
        <v>450</v>
      </c>
      <c r="C24" s="32" t="s">
        <v>476</v>
      </c>
    </row>
  </sheetData>
  <mergeCells count="1">
    <mergeCell ref="A1:Z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Marco Bezzecchi</vt:lpstr>
      <vt:lpstr>Jorge Martin</vt:lpstr>
      <vt:lpstr>Pedro Acosta</vt:lpstr>
      <vt:lpstr>Fabio Di Giannantonio</vt:lpstr>
      <vt:lpstr>Marc Marquez</vt:lpstr>
      <vt:lpstr>Enea Bastianini</vt:lpstr>
      <vt:lpstr>Alex Marquez</vt:lpstr>
      <vt:lpstr>Raul Fernandez</vt:lpstr>
      <vt:lpstr>Luca Marini</vt:lpstr>
      <vt:lpstr>Francesco Bagnaia</vt:lpstr>
      <vt:lpstr>Fermin Aldeguer</vt:lpstr>
      <vt:lpstr>Brad Binder</vt:lpstr>
      <vt:lpstr>Diogo Moreira</vt:lpstr>
      <vt:lpstr>Franco Morbidelli</vt:lpstr>
      <vt:lpstr>Toprak Razgatlioglu</vt:lpstr>
      <vt:lpstr>Jack Miller</vt:lpstr>
      <vt:lpstr>Fabio Quartararo</vt:lpstr>
      <vt:lpstr>Alex Rins</vt:lpstr>
      <vt:lpstr>Johann Zarco</vt:lpstr>
      <vt:lpstr>Ai Ogura</vt:lpstr>
      <vt:lpstr>Joan Mir</vt:lpstr>
      <vt:lpstr>Race Data</vt:lpstr>
      <vt:lpstr>Race Progress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RED BULL GRAND PRIX OF THE UNITED STATES fl Lap Analysis</dc:title>
  <dc:creator/>
  <dc:description>Generated from Analysis.pdf</dc:description>
  <cp:lastModifiedBy/>
  <dcterms:created xsi:type="dcterms:W3CDTF">2026-10-12T04:39:04Z</dcterms:created>
  <dcterms:modified xsi:type="dcterms:W3CDTF">2026-10-12T04:39:04Z</dcterms:modified>
</cp:coreProperties>
</file>