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021446\Documents\MotoGP\All_Race_Results_2026\Phillip_Island_2026\Sprint\"/>
    </mc:Choice>
  </mc:AlternateContent>
  <xr:revisionPtr revIDLastSave="0" documentId="13_ncr:1_{23438004-4B37-45A7-A7CA-29B82AA3A5D1}" xr6:coauthVersionLast="47" xr6:coauthVersionMax="47" xr10:uidLastSave="{00000000-0000-0000-0000-000000000000}"/>
  <bookViews>
    <workbookView xWindow="-28920" yWindow="-120" windowWidth="29040" windowHeight="17520" firstSheet="14" activeTab="21" xr2:uid="{00000000-000D-0000-FFFF-FFFF00000000}"/>
  </bookViews>
  <sheets>
    <sheet name="Marc Marquez" sheetId="1" r:id="rId1"/>
    <sheet name="Alex Marquez" sheetId="2" r:id="rId2"/>
    <sheet name="Fabio Di Giannantonio" sheetId="3" r:id="rId3"/>
    <sheet name="Marco Bezzecchi" sheetId="4" r:id="rId4"/>
    <sheet name="Pedro Acosta" sheetId="5" r:id="rId5"/>
    <sheet name="Ai Ogura" sheetId="6" r:id="rId6"/>
    <sheet name="Brad Binder" sheetId="7" r:id="rId7"/>
    <sheet name="Jack Miller" sheetId="8" r:id="rId8"/>
    <sheet name="Diogo Moreira" sheetId="9" r:id="rId9"/>
    <sheet name="Iker Lecuona" sheetId="10" r:id="rId10"/>
    <sheet name="Fabio Quartararo" sheetId="11" r:id="rId11"/>
    <sheet name="Enea Bastianini" sheetId="12" r:id="rId12"/>
    <sheet name="Alex Rins" sheetId="13" r:id="rId13"/>
    <sheet name="Franco Morbidelli" sheetId="14" r:id="rId14"/>
    <sheet name="Augusto Fernandez" sheetId="15" r:id="rId15"/>
    <sheet name="Raul Fernandez" sheetId="16" r:id="rId16"/>
    <sheet name="Jorge Martin" sheetId="17" r:id="rId17"/>
    <sheet name="Maverick Viñales" sheetId="18" r:id="rId18"/>
    <sheet name="Johann Zarco" sheetId="19" r:id="rId19"/>
    <sheet name="Francesco Bagnaia" sheetId="20" r:id="rId20"/>
    <sheet name="Race Data" sheetId="21" r:id="rId21"/>
    <sheet name="Race Progress" sheetId="22" r:id="rId22"/>
  </sheets>
  <definedNames>
    <definedName name="_xlnm._FilterDatabase" localSheetId="5" hidden="1">'Ai Ogura'!$A$5:$M$18</definedName>
    <definedName name="_xlnm._FilterDatabase" localSheetId="1" hidden="1">'Alex Marquez'!$A$5:$M$18</definedName>
    <definedName name="_xlnm._FilterDatabase" localSheetId="12" hidden="1">'Alex Rins'!$A$5:$M$18</definedName>
    <definedName name="_xlnm._FilterDatabase" localSheetId="14" hidden="1">'Augusto Fernandez'!$A$5:$M$18</definedName>
    <definedName name="_xlnm._FilterDatabase" localSheetId="6" hidden="1">'Brad Binder'!$A$5:$M$18</definedName>
    <definedName name="_xlnm._FilterDatabase" localSheetId="8" hidden="1">'Diogo Moreira'!$A$5:$M$18</definedName>
    <definedName name="_xlnm._FilterDatabase" localSheetId="11" hidden="1">'Enea Bastianini'!$A$5:$M$18</definedName>
    <definedName name="_xlnm._FilterDatabase" localSheetId="2" hidden="1">'Fabio Di Giannantonio'!$A$5:$M$18</definedName>
    <definedName name="_xlnm._FilterDatabase" localSheetId="10" hidden="1">'Fabio Quartararo'!$A$5:$M$18</definedName>
    <definedName name="_xlnm._FilterDatabase" localSheetId="19" hidden="1">'Francesco Bagnaia'!$A$5:$M$7</definedName>
    <definedName name="_xlnm._FilterDatabase" localSheetId="13" hidden="1">'Franco Morbidelli'!$A$5:$M$18</definedName>
    <definedName name="_xlnm._FilterDatabase" localSheetId="9" hidden="1">'Iker Lecuona'!$A$5:$M$18</definedName>
    <definedName name="_xlnm._FilterDatabase" localSheetId="7" hidden="1">'Jack Miller'!$A$5:$M$18</definedName>
    <definedName name="_xlnm._FilterDatabase" localSheetId="18" hidden="1">'Johann Zarco'!$A$5:$M$8</definedName>
    <definedName name="_xlnm._FilterDatabase" localSheetId="16" hidden="1">'Jorge Martin'!$A$5:$M$12</definedName>
    <definedName name="_xlnm._FilterDatabase" localSheetId="0" hidden="1">'Marc Marquez'!$A$5:$M$18</definedName>
    <definedName name="_xlnm._FilterDatabase" localSheetId="3" hidden="1">'Marco Bezzecchi'!$A$5:$M$18</definedName>
    <definedName name="_xlnm._FilterDatabase" localSheetId="17" hidden="1">'Maverick Viñales'!$A$5:$M$11</definedName>
    <definedName name="_xlnm._FilterDatabase" localSheetId="4" hidden="1">'Pedro Acosta'!$A$5:$M$18</definedName>
    <definedName name="_xlnm._FilterDatabase" localSheetId="15" hidden="1">'Raul Fernandez'!$A$5:$M$13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6" i="22" l="1"/>
  <c r="X16" i="22"/>
  <c r="W16" i="22"/>
  <c r="V16" i="22"/>
  <c r="U16" i="22"/>
  <c r="T16" i="22"/>
  <c r="S16" i="22"/>
  <c r="R16" i="22"/>
  <c r="Q16" i="22"/>
  <c r="P16" i="22"/>
  <c r="O16" i="22"/>
  <c r="N16" i="22"/>
  <c r="M16" i="22"/>
  <c r="L16" i="22"/>
  <c r="K16" i="22"/>
  <c r="J16" i="22"/>
  <c r="I16" i="22"/>
  <c r="H16" i="22"/>
  <c r="G16" i="22"/>
  <c r="F16" i="22"/>
  <c r="Y15" i="22"/>
  <c r="X15" i="22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G15" i="22"/>
  <c r="F15" i="22"/>
  <c r="Y14" i="22"/>
  <c r="X14" i="22"/>
  <c r="W14" i="22"/>
  <c r="V14" i="22"/>
  <c r="U14" i="22"/>
  <c r="T14" i="22"/>
  <c r="S14" i="22"/>
  <c r="R14" i="22"/>
  <c r="Q14" i="22"/>
  <c r="P14" i="22"/>
  <c r="O14" i="22"/>
  <c r="N14" i="22"/>
  <c r="M14" i="22"/>
  <c r="L14" i="22"/>
  <c r="K14" i="22"/>
  <c r="J14" i="22"/>
  <c r="I14" i="22"/>
  <c r="H14" i="22"/>
  <c r="G14" i="22"/>
  <c r="F14" i="22"/>
  <c r="Y13" i="22"/>
  <c r="X13" i="22"/>
  <c r="W13" i="22"/>
  <c r="V13" i="22"/>
  <c r="U13" i="22"/>
  <c r="T13" i="22"/>
  <c r="S13" i="22"/>
  <c r="R13" i="22"/>
  <c r="Q13" i="22"/>
  <c r="P13" i="22"/>
  <c r="O13" i="22"/>
  <c r="N13" i="22"/>
  <c r="M13" i="22"/>
  <c r="L13" i="22"/>
  <c r="K13" i="22"/>
  <c r="J13" i="22"/>
  <c r="I13" i="22"/>
  <c r="H13" i="22"/>
  <c r="G13" i="22"/>
  <c r="F13" i="22"/>
  <c r="Y12" i="22"/>
  <c r="X12" i="22"/>
  <c r="W12" i="22"/>
  <c r="V12" i="22"/>
  <c r="U12" i="22"/>
  <c r="T12" i="22"/>
  <c r="S12" i="22"/>
  <c r="R12" i="22"/>
  <c r="Q12" i="22"/>
  <c r="P12" i="22"/>
  <c r="O12" i="22"/>
  <c r="N12" i="22"/>
  <c r="M12" i="22"/>
  <c r="L12" i="22"/>
  <c r="K12" i="22"/>
  <c r="J12" i="22"/>
  <c r="I12" i="22"/>
  <c r="H12" i="22"/>
  <c r="G12" i="22"/>
  <c r="F12" i="22"/>
  <c r="Y11" i="22"/>
  <c r="X11" i="22"/>
  <c r="W11" i="22"/>
  <c r="V11" i="22"/>
  <c r="U11" i="22"/>
  <c r="T11" i="22"/>
  <c r="S11" i="22"/>
  <c r="R11" i="22"/>
  <c r="Q11" i="22"/>
  <c r="P11" i="22"/>
  <c r="O11" i="22"/>
  <c r="N11" i="22"/>
  <c r="M11" i="22"/>
  <c r="L11" i="22"/>
  <c r="K11" i="22"/>
  <c r="J11" i="22"/>
  <c r="I11" i="22"/>
  <c r="H11" i="22"/>
  <c r="G11" i="22"/>
  <c r="F11" i="22"/>
  <c r="Y10" i="22"/>
  <c r="X10" i="22"/>
  <c r="W10" i="22"/>
  <c r="V10" i="22"/>
  <c r="U10" i="22"/>
  <c r="T10" i="22"/>
  <c r="S10" i="22"/>
  <c r="R10" i="22"/>
  <c r="Q10" i="22"/>
  <c r="P10" i="22"/>
  <c r="O10" i="22"/>
  <c r="N10" i="22"/>
  <c r="M10" i="22"/>
  <c r="L10" i="22"/>
  <c r="K10" i="22"/>
  <c r="J10" i="22"/>
  <c r="I10" i="22"/>
  <c r="H10" i="22"/>
  <c r="G10" i="22"/>
  <c r="F10" i="22"/>
  <c r="Y9" i="22"/>
  <c r="X9" i="22"/>
  <c r="W9" i="22"/>
  <c r="V9" i="22"/>
  <c r="U9" i="22"/>
  <c r="T9" i="22"/>
  <c r="S9" i="22"/>
  <c r="R9" i="22"/>
  <c r="Q9" i="22"/>
  <c r="P9" i="22"/>
  <c r="O9" i="22"/>
  <c r="N9" i="22"/>
  <c r="M9" i="22"/>
  <c r="L9" i="22"/>
  <c r="K9" i="22"/>
  <c r="J9" i="22"/>
  <c r="I9" i="22"/>
  <c r="H9" i="22"/>
  <c r="G9" i="22"/>
  <c r="F9" i="22"/>
  <c r="Y8" i="22"/>
  <c r="X8" i="22"/>
  <c r="W8" i="22"/>
  <c r="V8" i="22"/>
  <c r="U8" i="22"/>
  <c r="T8" i="22"/>
  <c r="S8" i="22"/>
  <c r="R8" i="22"/>
  <c r="Q8" i="22"/>
  <c r="P8" i="22"/>
  <c r="O8" i="22"/>
  <c r="N8" i="22"/>
  <c r="M8" i="22"/>
  <c r="L8" i="22"/>
  <c r="K8" i="22"/>
  <c r="J8" i="22"/>
  <c r="I8" i="22"/>
  <c r="H8" i="22"/>
  <c r="G8" i="22"/>
  <c r="F8" i="22"/>
  <c r="Y7" i="22"/>
  <c r="X7" i="22"/>
  <c r="W7" i="22"/>
  <c r="V7" i="22"/>
  <c r="U7" i="22"/>
  <c r="T7" i="22"/>
  <c r="S7" i="22"/>
  <c r="R7" i="22"/>
  <c r="Q7" i="22"/>
  <c r="P7" i="22"/>
  <c r="O7" i="22"/>
  <c r="N7" i="22"/>
  <c r="M7" i="22"/>
  <c r="L7" i="22"/>
  <c r="K7" i="22"/>
  <c r="J7" i="22"/>
  <c r="I7" i="22"/>
  <c r="H7" i="22"/>
  <c r="G7" i="22"/>
  <c r="F7" i="22"/>
  <c r="Y6" i="22"/>
  <c r="X6" i="22"/>
  <c r="W6" i="22"/>
  <c r="V6" i="22"/>
  <c r="U6" i="22"/>
  <c r="T6" i="22"/>
  <c r="S6" i="22"/>
  <c r="R6" i="22"/>
  <c r="Q6" i="22"/>
  <c r="P6" i="22"/>
  <c r="O6" i="22"/>
  <c r="N6" i="22"/>
  <c r="M6" i="22"/>
  <c r="L6" i="22"/>
  <c r="K6" i="22"/>
  <c r="J6" i="22"/>
  <c r="I6" i="22"/>
  <c r="H6" i="22"/>
  <c r="G6" i="22"/>
  <c r="F6" i="22"/>
  <c r="Y5" i="22"/>
  <c r="X5" i="22"/>
  <c r="W5" i="22"/>
  <c r="V5" i="22"/>
  <c r="U5" i="22"/>
  <c r="T5" i="22"/>
  <c r="S5" i="22"/>
  <c r="R5" i="22"/>
  <c r="Q5" i="22"/>
  <c r="P5" i="22"/>
  <c r="O5" i="22"/>
  <c r="N5" i="22"/>
  <c r="M5" i="22"/>
  <c r="L5" i="22"/>
  <c r="K5" i="22"/>
  <c r="J5" i="22"/>
  <c r="I5" i="22"/>
  <c r="H5" i="22"/>
  <c r="G5" i="22"/>
  <c r="F5" i="22"/>
  <c r="Y4" i="22"/>
  <c r="X4" i="22"/>
  <c r="W4" i="22"/>
  <c r="V4" i="22"/>
  <c r="U4" i="22"/>
  <c r="T4" i="22"/>
  <c r="S4" i="22"/>
  <c r="R4" i="22"/>
  <c r="Q4" i="22"/>
  <c r="P4" i="22"/>
  <c r="O4" i="22"/>
  <c r="N4" i="22"/>
  <c r="M4" i="22"/>
  <c r="L4" i="22"/>
  <c r="K4" i="22"/>
  <c r="J4" i="22"/>
  <c r="I4" i="22"/>
  <c r="H4" i="22"/>
  <c r="G4" i="22"/>
  <c r="F4" i="22"/>
</calcChain>
</file>

<file path=xl/sharedStrings.xml><?xml version="1.0" encoding="utf-8"?>
<sst xmlns="http://schemas.openxmlformats.org/spreadsheetml/2006/main" count="1933" uniqueCount="321">
  <si>
    <t>1. Marc MARQUEZ #93</t>
  </si>
  <si>
    <t>Team</t>
  </si>
  <si>
    <t>Ducati Lenovo Team</t>
  </si>
  <si>
    <t>Manufacturer</t>
  </si>
  <si>
    <t>DUCATI</t>
  </si>
  <si>
    <t>Nationality</t>
  </si>
  <si>
    <t>SPA</t>
  </si>
  <si>
    <t>Total Laps</t>
  </si>
  <si>
    <t>Valid Laps</t>
  </si>
  <si>
    <t>Front Tyre</t>
  </si>
  <si>
    <t>Slick-Hard</t>
  </si>
  <si>
    <t>Rear Tyre</t>
  </si>
  <si>
    <t>Slick-Soft</t>
  </si>
  <si>
    <t>Lap</t>
  </si>
  <si>
    <t>Lap Time</t>
  </si>
  <si>
    <t>Lap Seconds</t>
  </si>
  <si>
    <t>T1</t>
  </si>
  <si>
    <t>T2</t>
  </si>
  <si>
    <t>T3</t>
  </si>
  <si>
    <t>T4</t>
  </si>
  <si>
    <t>Speed km/h</t>
  </si>
  <si>
    <t>Cumulative Seconds</t>
  </si>
  <si>
    <t>Excel Time</t>
  </si>
  <si>
    <t>Cancelled</t>
  </si>
  <si>
    <t>Pit Lane</t>
  </si>
  <si>
    <t>Partial Timing</t>
  </si>
  <si>
    <t>1:33.677</t>
  </si>
  <si>
    <t>1:28.386</t>
  </si>
  <si>
    <t>1:28.637</t>
  </si>
  <si>
    <t>1:27.290</t>
  </si>
  <si>
    <t>1:27.800</t>
  </si>
  <si>
    <t>1:28.016</t>
  </si>
  <si>
    <t>1:27.707</t>
  </si>
  <si>
    <t>1:28.251</t>
  </si>
  <si>
    <t>1:28.039</t>
  </si>
  <si>
    <t>1:27.866</t>
  </si>
  <si>
    <t>1:27.916</t>
  </si>
  <si>
    <t>1:27.937</t>
  </si>
  <si>
    <t>1:27.889</t>
  </si>
  <si>
    <t>2. Alex MARQUEZ #73</t>
  </si>
  <si>
    <t>BK8 Gresini Racing MotoGP</t>
  </si>
  <si>
    <t>1:34.126</t>
  </si>
  <si>
    <t>1:28.156</t>
  </si>
  <si>
    <t>1:28.877</t>
  </si>
  <si>
    <t>1:28.186</t>
  </si>
  <si>
    <t>1:27.777</t>
  </si>
  <si>
    <t>1:27.478</t>
  </si>
  <si>
    <t>1:27.600</t>
  </si>
  <si>
    <t>1:27.883</t>
  </si>
  <si>
    <t>1:27.827</t>
  </si>
  <si>
    <t>1:27.944</t>
  </si>
  <si>
    <t>1:28.006</t>
  </si>
  <si>
    <t>1:27.928</t>
  </si>
  <si>
    <t>1:27.946</t>
  </si>
  <si>
    <t>3. Fabio DI GIANNANTONIO #49</t>
  </si>
  <si>
    <t>Pertamina Enduro VR46 Racing Team</t>
  </si>
  <si>
    <t>ITA</t>
  </si>
  <si>
    <t>1:35.380</t>
  </si>
  <si>
    <t>1:28.502</t>
  </si>
  <si>
    <t>1:28.008</t>
  </si>
  <si>
    <t>1:28.015</t>
  </si>
  <si>
    <t>1:27.901</t>
  </si>
  <si>
    <t>1:28.045</t>
  </si>
  <si>
    <t>1:27.714</t>
  </si>
  <si>
    <t>1:27.797</t>
  </si>
  <si>
    <t>1:27.633</t>
  </si>
  <si>
    <t>1:27.674</t>
  </si>
  <si>
    <t>1:27.612</t>
  </si>
  <si>
    <t>1:27.774</t>
  </si>
  <si>
    <t>4. Marco BEZZECCHI #72</t>
  </si>
  <si>
    <t>Aprilia Racing</t>
  </si>
  <si>
    <t>APRILIA</t>
  </si>
  <si>
    <t>1:36.139</t>
  </si>
  <si>
    <t>1:28.280</t>
  </si>
  <si>
    <t>1:28.255</t>
  </si>
  <si>
    <t>1:28.127</t>
  </si>
  <si>
    <t>1:27.684</t>
  </si>
  <si>
    <t>1:27.748</t>
  </si>
  <si>
    <t>1:27.913</t>
  </si>
  <si>
    <t>1:27.785</t>
  </si>
  <si>
    <t>1:27.399</t>
  </si>
  <si>
    <t>1:27.576</t>
  </si>
  <si>
    <t>1:27.662</t>
  </si>
  <si>
    <t>1:27.973</t>
  </si>
  <si>
    <t>5. Pedro ACOSTA #37</t>
  </si>
  <si>
    <t>Red Bull KTM Factory Racing</t>
  </si>
  <si>
    <t>KTM</t>
  </si>
  <si>
    <t>1:34.511</t>
  </si>
  <si>
    <t>1:27.914</t>
  </si>
  <si>
    <t>1:28.725</t>
  </si>
  <si>
    <t>1:28.213</t>
  </si>
  <si>
    <t>1:28.188</t>
  </si>
  <si>
    <t>1:28.367</t>
  </si>
  <si>
    <t>1:28.086</t>
  </si>
  <si>
    <t>1:27.982</t>
  </si>
  <si>
    <t>1:27.826</t>
  </si>
  <si>
    <t>1:28.085</t>
  </si>
  <si>
    <t>1:28.459</t>
  </si>
  <si>
    <t>1:28.771</t>
  </si>
  <si>
    <t>6. Ai OGURA #79</t>
  </si>
  <si>
    <t>SuperFile Trackhouse MotoGP Team</t>
  </si>
  <si>
    <t>JPN</t>
  </si>
  <si>
    <t>1:36.434</t>
  </si>
  <si>
    <t>1:28.949</t>
  </si>
  <si>
    <t>1:28.428</t>
  </si>
  <si>
    <t>1:28.131</t>
  </si>
  <si>
    <t>1:28.017</t>
  </si>
  <si>
    <t>1:29.021</t>
  </si>
  <si>
    <t>1:28.094</t>
  </si>
  <si>
    <t>1:27.845</t>
  </si>
  <si>
    <t>1:28.299</t>
  </si>
  <si>
    <t>1:28.117</t>
  </si>
  <si>
    <t>1:27.891</t>
  </si>
  <si>
    <t>1:28.042</t>
  </si>
  <si>
    <t>1:28.289</t>
  </si>
  <si>
    <t>7. Brad BINDER #33</t>
  </si>
  <si>
    <t>RSA</t>
  </si>
  <si>
    <t>1:35.244</t>
  </si>
  <si>
    <t>1:28.260</t>
  </si>
  <si>
    <t>1:28.338</t>
  </si>
  <si>
    <t>1:28.657</t>
  </si>
  <si>
    <t>1:28.655</t>
  </si>
  <si>
    <t>1:28.092</t>
  </si>
  <si>
    <t>1:28.629</t>
  </si>
  <si>
    <t>1:28.636</t>
  </si>
  <si>
    <t>1:28.659</t>
  </si>
  <si>
    <t>1:28.577</t>
  </si>
  <si>
    <t>1:28.212</t>
  </si>
  <si>
    <t>1:28.586</t>
  </si>
  <si>
    <t>8. Jack MILLER #43</t>
  </si>
  <si>
    <t>Prima Pramac Yamaha MotoGP</t>
  </si>
  <si>
    <t>YAMAHA</t>
  </si>
  <si>
    <t>AUS</t>
  </si>
  <si>
    <t>1:34.877</t>
  </si>
  <si>
    <t>1:28.441</t>
  </si>
  <si>
    <t>1:28.354</t>
  </si>
  <si>
    <t>1:28.854</t>
  </si>
  <si>
    <t>1:28.434</t>
  </si>
  <si>
    <t>1:28.915</t>
  </si>
  <si>
    <t>1:28.795</t>
  </si>
  <si>
    <t>1:29.070</t>
  </si>
  <si>
    <t>1:28.182</t>
  </si>
  <si>
    <t>1:28.191</t>
  </si>
  <si>
    <t>1:28.370</t>
  </si>
  <si>
    <t>1:28.498</t>
  </si>
  <si>
    <t>9. Diogo MOREIRA #11</t>
  </si>
  <si>
    <t>Pro Honda LCR</t>
  </si>
  <si>
    <t>HONDA</t>
  </si>
  <si>
    <t>BRA</t>
  </si>
  <si>
    <t>1:35.320</t>
  </si>
  <si>
    <t>1:28.526</t>
  </si>
  <si>
    <t>1:28.492</t>
  </si>
  <si>
    <t>1:28.717</t>
  </si>
  <si>
    <t>1:29.542</t>
  </si>
  <si>
    <t>1:28.623</t>
  </si>
  <si>
    <t>1:28.579</t>
  </si>
  <si>
    <t>1:28.605</t>
  </si>
  <si>
    <t>1:28.580</t>
  </si>
  <si>
    <t>1:28.934</t>
  </si>
  <si>
    <t>1:28.861</t>
  </si>
  <si>
    <t>1:28.984</t>
  </si>
  <si>
    <t>10. Iker LECUONA #27</t>
  </si>
  <si>
    <t>1:36.781</t>
  </si>
  <si>
    <t>1:28.925</t>
  </si>
  <si>
    <t>1:28.638</t>
  </si>
  <si>
    <t>1:28.303</t>
  </si>
  <si>
    <t>1:28.077</t>
  </si>
  <si>
    <t>1:28.614</t>
  </si>
  <si>
    <t>1:28.542</t>
  </si>
  <si>
    <t>1:28.402</t>
  </si>
  <si>
    <t>1:28.590</t>
  </si>
  <si>
    <t>1:28.986</t>
  </si>
  <si>
    <t>1:28.783</t>
  </si>
  <si>
    <t>1:29.173</t>
  </si>
  <si>
    <t>11. Fabio QUARTARARO #20</t>
  </si>
  <si>
    <t>Monster Energy Yamaha MotoGP Team</t>
  </si>
  <si>
    <t>FRA</t>
  </si>
  <si>
    <t>1:37.116</t>
  </si>
  <si>
    <t>1:28.972</t>
  </si>
  <si>
    <t>1:28.413</t>
  </si>
  <si>
    <t>1:28.426</t>
  </si>
  <si>
    <t>1:28.435</t>
  </si>
  <si>
    <t>1:29.079</t>
  </si>
  <si>
    <t>1:28.631</t>
  </si>
  <si>
    <t>1:28.791</t>
  </si>
  <si>
    <t>1:28.514</t>
  </si>
  <si>
    <t>1:28.550</t>
  </si>
  <si>
    <t>1:28.487</t>
  </si>
  <si>
    <t>1:28.686</t>
  </si>
  <si>
    <t>12. Enea BASTIANINI #23</t>
  </si>
  <si>
    <t>Red Bull KTM Tech3</t>
  </si>
  <si>
    <t>1:36.117</t>
  </si>
  <si>
    <t>1:30.006</t>
  </si>
  <si>
    <t>1:28.619</t>
  </si>
  <si>
    <t>1:28.231</t>
  </si>
  <si>
    <t>1:28.419</t>
  </si>
  <si>
    <t>1:28.997</t>
  </si>
  <si>
    <t>1:29.687</t>
  </si>
  <si>
    <t>1:28.348</t>
  </si>
  <si>
    <t>1:28.493</t>
  </si>
  <si>
    <t>1:28.394</t>
  </si>
  <si>
    <t>1:28.332</t>
  </si>
  <si>
    <t>1:28.414</t>
  </si>
  <si>
    <t>13. Alex RINS #42</t>
  </si>
  <si>
    <t>1:37.848</t>
  </si>
  <si>
    <t>1:29.995</t>
  </si>
  <si>
    <t>1:28.826</t>
  </si>
  <si>
    <t>1:28.467</t>
  </si>
  <si>
    <t>1:28.494</t>
  </si>
  <si>
    <t>1:28.266</t>
  </si>
  <si>
    <t>1:28.150</t>
  </si>
  <si>
    <t>1:28.336</t>
  </si>
  <si>
    <t>1:28.716</t>
  </si>
  <si>
    <t>14. Franco MORBIDELLI #21</t>
  </si>
  <si>
    <t>1:37.683</t>
  </si>
  <si>
    <t>1:29.304</t>
  </si>
  <si>
    <t>1:29.650</t>
  </si>
  <si>
    <t>1:29.345</t>
  </si>
  <si>
    <t>1:29.062</t>
  </si>
  <si>
    <t>1:29.098</t>
  </si>
  <si>
    <t>1:29.075</t>
  </si>
  <si>
    <t>1:29.160</t>
  </si>
  <si>
    <t>1:29.016</t>
  </si>
  <si>
    <t>1:28.950</t>
  </si>
  <si>
    <t>1:29.287</t>
  </si>
  <si>
    <t>1:29.108</t>
  </si>
  <si>
    <t>15. Augusto FERNANDEZ #47</t>
  </si>
  <si>
    <t>Yamaha Factory Racing</t>
  </si>
  <si>
    <t>1:37.638</t>
  </si>
  <si>
    <t>1:30.647</t>
  </si>
  <si>
    <t>1:30.143</t>
  </si>
  <si>
    <t>1:30.223</t>
  </si>
  <si>
    <t>1:30.112</t>
  </si>
  <si>
    <t>1:30.411</t>
  </si>
  <si>
    <t>1:30.784</t>
  </si>
  <si>
    <t>1:30.844</t>
  </si>
  <si>
    <t>1:30.911</t>
  </si>
  <si>
    <t>1:31.211</t>
  </si>
  <si>
    <t>1:31.143</t>
  </si>
  <si>
    <t>1:31.879</t>
  </si>
  <si>
    <t>1:31.410</t>
  </si>
  <si>
    <t>16. Raul FERNANDEZ #25</t>
  </si>
  <si>
    <t>1:36.114</t>
  </si>
  <si>
    <t>1:28.330</t>
  </si>
  <si>
    <t>1:28.640</t>
  </si>
  <si>
    <t>1:28.273</t>
  </si>
  <si>
    <t>1:29.166</t>
  </si>
  <si>
    <t>1:28.215</t>
  </si>
  <si>
    <t>1:28.993</t>
  </si>
  <si>
    <t>17. Jorge MARTIN #89</t>
  </si>
  <si>
    <t>1:33.747</t>
  </si>
  <si>
    <t>1:28.573</t>
  </si>
  <si>
    <t>1:28.256</t>
  </si>
  <si>
    <t>1:27.229</t>
  </si>
  <si>
    <t>1:28.055</t>
  </si>
  <si>
    <t>1:28.035</t>
  </si>
  <si>
    <t>1:27.692</t>
  </si>
  <si>
    <t>18. Maverick VIÑALES #12</t>
  </si>
  <si>
    <t>1:37.401</t>
  </si>
  <si>
    <t>1:29.128</t>
  </si>
  <si>
    <t>1:29.134</t>
  </si>
  <si>
    <t>1:29.158</t>
  </si>
  <si>
    <t>1:28.843</t>
  </si>
  <si>
    <t>1:29.249</t>
  </si>
  <si>
    <t>19. Johann ZARCO #5</t>
  </si>
  <si>
    <t>Castrol Honda LCR</t>
  </si>
  <si>
    <t>Slick-Medium</t>
  </si>
  <si>
    <t>1:34.075</t>
  </si>
  <si>
    <t>1:28.297</t>
  </si>
  <si>
    <t>1:28.936</t>
  </si>
  <si>
    <t>20. Francesco BAGNAIA #63</t>
  </si>
  <si>
    <t>1:36.702</t>
  </si>
  <si>
    <t>1:35.476</t>
  </si>
  <si>
    <t>Rider</t>
  </si>
  <si>
    <t>Number</t>
  </si>
  <si>
    <t>Position</t>
  </si>
  <si>
    <t>Marc MARQUEZ</t>
  </si>
  <si>
    <t>Alex MARQUEZ</t>
  </si>
  <si>
    <t>Fabio DI GIANNANTONIO</t>
  </si>
  <si>
    <t>Marco BEZZECCHI</t>
  </si>
  <si>
    <t>Pedro ACOSTA</t>
  </si>
  <si>
    <t>Ai OGURA</t>
  </si>
  <si>
    <t>Brad BINDER</t>
  </si>
  <si>
    <t>Jack MILLER</t>
  </si>
  <si>
    <t>Diogo MOREIRA</t>
  </si>
  <si>
    <t>Iker LECUONA</t>
  </si>
  <si>
    <t>Fabio QUARTARARO</t>
  </si>
  <si>
    <t>Enea BASTIANINI</t>
  </si>
  <si>
    <t>Alex RINS</t>
  </si>
  <si>
    <t>Franco MORBIDELLI</t>
  </si>
  <si>
    <t>Augusto FERNANDEZ</t>
  </si>
  <si>
    <t>Raul FERNANDEZ</t>
  </si>
  <si>
    <t>Jorge MARTIN</t>
  </si>
  <si>
    <t>Maverick VIÑALES</t>
  </si>
  <si>
    <t>Johann ZARCO</t>
  </si>
  <si>
    <t>Francesco BAGNAIA</t>
  </si>
  <si>
    <t>RED BULL GRAND PRIX OF AUSTRALIA - Rider Lap Time Analysis</t>
  </si>
  <si>
    <t>Phillip Island</t>
  </si>
  <si>
    <t>Phillip Island, Saturday, October 24, 2026</t>
  </si>
  <si>
    <t>Show</t>
  </si>
  <si>
    <t>Color</t>
  </si>
  <si>
    <t>#A0B73A</t>
  </si>
  <si>
    <t>#CD28E0</t>
  </si>
  <si>
    <t>#47E0A4</t>
  </si>
  <si>
    <t>#B75021</t>
  </si>
  <si>
    <t>#4B47E0</t>
  </si>
  <si>
    <t>#5AE028</t>
  </si>
  <si>
    <t>#B73A80</t>
  </si>
  <si>
    <t>#28C5E0</t>
  </si>
  <si>
    <t>#E0CA47</t>
  </si>
  <si>
    <t>#7521B7</t>
  </si>
  <si>
    <t>#47E071</t>
  </si>
  <si>
    <t>#E0282C</t>
  </si>
  <si>
    <t>#3A61B7</t>
  </si>
  <si>
    <t>#97E028</t>
  </si>
  <si>
    <t>#E047D0</t>
  </si>
  <si>
    <t>#21B79B</t>
  </si>
  <si>
    <t>#E09747</t>
  </si>
  <si>
    <t>#5228E0</t>
  </si>
  <si>
    <t>#42B73A</t>
  </si>
  <si>
    <t>#E02869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</si>
</sst>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m:ss.000"/>
  </numFmts>
  <fonts count="24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A0B73A"/>
      <name val="Calibri"/>
      <family val="2"/>
      <scheme val="minor"/>
    </font>
    <font>
      <sz val="11"/>
      <color rgb="FFCD28E0"/>
      <name val="Calibri"/>
      <family val="2"/>
      <scheme val="minor"/>
    </font>
    <font>
      <sz val="11"/>
      <color rgb="FF47E0A4"/>
      <name val="Calibri"/>
      <family val="2"/>
      <scheme val="minor"/>
    </font>
    <font>
      <sz val="11"/>
      <color rgb="FFB75021"/>
      <name val="Calibri"/>
      <family val="2"/>
      <scheme val="minor"/>
    </font>
    <font>
      <sz val="11"/>
      <color rgb="FF4B47E0"/>
      <name val="Calibri"/>
      <family val="2"/>
      <scheme val="minor"/>
    </font>
    <font>
      <sz val="11"/>
      <color rgb="FF5AE028"/>
      <name val="Calibri"/>
      <family val="2"/>
      <scheme val="minor"/>
    </font>
    <font>
      <sz val="11"/>
      <color rgb="FFB73A80"/>
      <name val="Calibri"/>
      <family val="2"/>
      <scheme val="minor"/>
    </font>
    <font>
      <sz val="11"/>
      <color rgb="FF28C5E0"/>
      <name val="Calibri"/>
      <family val="2"/>
      <scheme val="minor"/>
    </font>
    <font>
      <sz val="11"/>
      <color rgb="FFE0CA47"/>
      <name val="Calibri"/>
      <family val="2"/>
      <scheme val="minor"/>
    </font>
    <font>
      <sz val="11"/>
      <color rgb="FF7521B7"/>
      <name val="Calibri"/>
      <family val="2"/>
      <scheme val="minor"/>
    </font>
    <font>
      <sz val="11"/>
      <color rgb="FF47E071"/>
      <name val="Calibri"/>
      <family val="2"/>
      <scheme val="minor"/>
    </font>
    <font>
      <sz val="11"/>
      <color rgb="FFE0282C"/>
      <name val="Calibri"/>
      <family val="2"/>
      <scheme val="minor"/>
    </font>
    <font>
      <sz val="11"/>
      <color rgb="FF3A61B7"/>
      <name val="Calibri"/>
      <family val="2"/>
      <scheme val="minor"/>
    </font>
    <font>
      <sz val="11"/>
      <color rgb="FF97E028"/>
      <name val="Calibri"/>
      <family val="2"/>
      <scheme val="minor"/>
    </font>
    <font>
      <sz val="11"/>
      <color rgb="FFE047D0"/>
      <name val="Calibri"/>
      <family val="2"/>
      <scheme val="minor"/>
    </font>
    <font>
      <sz val="11"/>
      <color rgb="FF21B79B"/>
      <name val="Calibri"/>
      <family val="2"/>
      <scheme val="minor"/>
    </font>
    <font>
      <sz val="11"/>
      <color rgb="FFE09747"/>
      <name val="Calibri"/>
      <family val="2"/>
      <scheme val="minor"/>
    </font>
    <font>
      <sz val="11"/>
      <color rgb="FF5228E0"/>
      <name val="Calibri"/>
      <family val="2"/>
      <scheme val="minor"/>
    </font>
    <font>
      <sz val="11"/>
      <color rgb="FF42B73A"/>
      <name val="Calibri"/>
      <family val="2"/>
      <scheme val="minor"/>
    </font>
    <font>
      <sz val="11"/>
      <color rgb="FFE02869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A0B73A"/>
        <bgColor indexed="64"/>
      </patternFill>
    </fill>
    <fill>
      <patternFill patternType="solid">
        <fgColor rgb="FFCD28E0"/>
        <bgColor indexed="64"/>
      </patternFill>
    </fill>
    <fill>
      <patternFill patternType="solid">
        <fgColor rgb="FF47E0A4"/>
        <bgColor indexed="64"/>
      </patternFill>
    </fill>
    <fill>
      <patternFill patternType="solid">
        <fgColor rgb="FFB75021"/>
        <bgColor indexed="64"/>
      </patternFill>
    </fill>
    <fill>
      <patternFill patternType="solid">
        <fgColor rgb="FF4B47E0"/>
        <bgColor indexed="64"/>
      </patternFill>
    </fill>
    <fill>
      <patternFill patternType="solid">
        <fgColor rgb="FF5AE028"/>
        <bgColor indexed="64"/>
      </patternFill>
    </fill>
    <fill>
      <patternFill patternType="solid">
        <fgColor rgb="FFB73A80"/>
        <bgColor indexed="64"/>
      </patternFill>
    </fill>
    <fill>
      <patternFill patternType="solid">
        <fgColor rgb="FF28C5E0"/>
        <bgColor indexed="64"/>
      </patternFill>
    </fill>
    <fill>
      <patternFill patternType="solid">
        <fgColor rgb="FFE0CA47"/>
        <bgColor indexed="64"/>
      </patternFill>
    </fill>
    <fill>
      <patternFill patternType="solid">
        <fgColor rgb="FF7521B7"/>
        <bgColor indexed="64"/>
      </patternFill>
    </fill>
    <fill>
      <patternFill patternType="solid">
        <fgColor rgb="FF47E071"/>
        <bgColor indexed="64"/>
      </patternFill>
    </fill>
    <fill>
      <patternFill patternType="solid">
        <fgColor rgb="FFE0282C"/>
        <bgColor indexed="64"/>
      </patternFill>
    </fill>
    <fill>
      <patternFill patternType="solid">
        <fgColor rgb="FF3A61B7"/>
        <bgColor indexed="64"/>
      </patternFill>
    </fill>
    <fill>
      <patternFill patternType="solid">
        <fgColor rgb="FF97E028"/>
        <bgColor indexed="64"/>
      </patternFill>
    </fill>
    <fill>
      <patternFill patternType="solid">
        <fgColor rgb="FFE047D0"/>
        <bgColor indexed="64"/>
      </patternFill>
    </fill>
    <fill>
      <patternFill patternType="solid">
        <fgColor rgb="FF21B79B"/>
        <bgColor indexed="64"/>
      </patternFill>
    </fill>
    <fill>
      <patternFill patternType="solid">
        <fgColor rgb="FFE09747"/>
        <bgColor indexed="64"/>
      </patternFill>
    </fill>
    <fill>
      <patternFill patternType="solid">
        <fgColor rgb="FF5228E0"/>
        <bgColor indexed="64"/>
      </patternFill>
    </fill>
    <fill>
      <patternFill patternType="solid">
        <fgColor rgb="FF42B73A"/>
        <bgColor indexed="64"/>
      </patternFill>
    </fill>
    <fill>
      <patternFill patternType="solid">
        <fgColor rgb="FFE0286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3" borderId="1" xfId="0" applyFont="1" applyFill="1" applyBorder="1"/>
    <xf numFmtId="0" fontId="3" fillId="4" borderId="1" xfId="0" applyFont="1" applyFill="1" applyBorder="1" applyAlignment="1">
      <alignment horizontal="center" vertical="center"/>
    </xf>
    <xf numFmtId="1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0" fontId="0" fillId="0" borderId="1" xfId="0" applyBorder="1" applyAlignment="1">
      <alignment horizontal="center"/>
    </xf>
    <xf numFmtId="166" fontId="0" fillId="0" borderId="0" xfId="0" applyNumberForma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5" borderId="0" xfId="0" applyFont="1" applyFill="1"/>
    <xf numFmtId="0" fontId="5" fillId="6" borderId="0" xfId="0" applyFont="1" applyFill="1"/>
    <xf numFmtId="0" fontId="6" fillId="7" borderId="0" xfId="0" applyFont="1" applyFill="1"/>
    <xf numFmtId="0" fontId="7" fillId="8" borderId="0" xfId="0" applyFont="1" applyFill="1"/>
    <xf numFmtId="0" fontId="8" fillId="9" borderId="0" xfId="0" applyFont="1" applyFill="1"/>
    <xf numFmtId="0" fontId="9" fillId="10" borderId="0" xfId="0" applyFont="1" applyFill="1"/>
    <xf numFmtId="0" fontId="10" fillId="11" borderId="0" xfId="0" applyFont="1" applyFill="1"/>
    <xf numFmtId="0" fontId="11" fillId="12" borderId="0" xfId="0" applyFont="1" applyFill="1"/>
    <xf numFmtId="0" fontId="12" fillId="13" borderId="0" xfId="0" applyFont="1" applyFill="1"/>
    <xf numFmtId="0" fontId="13" fillId="14" borderId="0" xfId="0" applyFont="1" applyFill="1"/>
    <xf numFmtId="0" fontId="14" fillId="15" borderId="0" xfId="0" applyFont="1" applyFill="1"/>
    <xf numFmtId="0" fontId="15" fillId="16" borderId="0" xfId="0" applyFont="1" applyFill="1"/>
    <xf numFmtId="0" fontId="16" fillId="17" borderId="0" xfId="0" applyFont="1" applyFill="1"/>
    <xf numFmtId="0" fontId="17" fillId="18" borderId="0" xfId="0" applyFont="1" applyFill="1"/>
    <xf numFmtId="0" fontId="18" fillId="19" borderId="0" xfId="0" applyFont="1" applyFill="1"/>
    <xf numFmtId="0" fontId="19" fillId="20" borderId="0" xfId="0" applyFont="1" applyFill="1"/>
    <xf numFmtId="0" fontId="20" fillId="21" borderId="0" xfId="0" applyFont="1" applyFill="1"/>
    <xf numFmtId="0" fontId="21" fillId="22" borderId="0" xfId="0" applyFont="1" applyFill="1"/>
    <xf numFmtId="0" fontId="22" fillId="23" borderId="0" xfId="0" applyFont="1" applyFill="1"/>
    <xf numFmtId="0" fontId="23" fillId="24" borderId="0" xfId="0" applyFont="1" applyFill="1"/>
    <xf numFmtId="0" fontId="1" fillId="2" borderId="0" xfId="0" applyFont="1" applyFill="1" applyAlignment="1">
      <alignment horizontal="center" vertic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Lap Time Progress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'Race Progress'!$F$3</c:f>
              <c:strCache>
                <c:ptCount val="1"/>
                <c:pt idx="0">
                  <c:v>Marc MARQUEZ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'Race Progress'!$E$4:$E$16</c:f>
              <c:numCache>
                <c:formatCode>0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'Race Progress'!$F$4:$F$16</c:f>
              <c:numCache>
                <c:formatCode>m:ss.000</c:formatCode>
                <c:ptCount val="13"/>
                <c:pt idx="0">
                  <c:v>1.084224537037037E-3</c:v>
                </c:pt>
                <c:pt idx="1">
                  <c:v>1.022986111111111E-3</c:v>
                </c:pt>
                <c:pt idx="2">
                  <c:v>1.025891203703704E-3</c:v>
                </c:pt>
                <c:pt idx="3">
                  <c:v>1.010300925925926E-3</c:v>
                </c:pt>
                <c:pt idx="4">
                  <c:v>1.0162037037037041E-3</c:v>
                </c:pt>
                <c:pt idx="5">
                  <c:v>1.018703703703704E-3</c:v>
                </c:pt>
                <c:pt idx="6">
                  <c:v>1.0151273148148151E-3</c:v>
                </c:pt>
                <c:pt idx="7">
                  <c:v>1.021423611111111E-3</c:v>
                </c:pt>
                <c:pt idx="8">
                  <c:v>1.018969907407407E-3</c:v>
                </c:pt>
                <c:pt idx="9">
                  <c:v>1.016967592592593E-3</c:v>
                </c:pt>
                <c:pt idx="10">
                  <c:v>1.0175462962962959E-3</c:v>
                </c:pt>
                <c:pt idx="11">
                  <c:v>1.017789351851852E-3</c:v>
                </c:pt>
                <c:pt idx="12">
                  <c:v>1.017233796296296E-3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B1-40BF-A662-4B8A58AC6B14}"/>
            </c:ext>
          </c:extLst>
        </c:ser>
        <c:ser>
          <c:idx val="1"/>
          <c:order val="1"/>
          <c:tx>
            <c:strRef>
              <c:f>'Race Progress'!$G$3</c:f>
              <c:strCache>
                <c:ptCount val="1"/>
                <c:pt idx="0">
                  <c:v>Alex MARQUEZ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'Race Progress'!$E$4:$E$16</c:f>
              <c:numCache>
                <c:formatCode>0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'Race Progress'!$G$4:$G$16</c:f>
              <c:numCache>
                <c:formatCode>m:ss.000</c:formatCode>
                <c:ptCount val="13"/>
                <c:pt idx="0">
                  <c:v>1.089421296296296E-3</c:v>
                </c:pt>
                <c:pt idx="1">
                  <c:v>1.0203240740740741E-3</c:v>
                </c:pt>
                <c:pt idx="2">
                  <c:v>1.028668981481482E-3</c:v>
                </c:pt>
                <c:pt idx="3">
                  <c:v>1.020671296296296E-3</c:v>
                </c:pt>
                <c:pt idx="4">
                  <c:v>1.0159374999999999E-3</c:v>
                </c:pt>
                <c:pt idx="5">
                  <c:v>1.0124768518518521E-3</c:v>
                </c:pt>
                <c:pt idx="6">
                  <c:v>1.013888888888889E-3</c:v>
                </c:pt>
                <c:pt idx="7">
                  <c:v>1.017164351851852E-3</c:v>
                </c:pt>
                <c:pt idx="8">
                  <c:v>1.0165162037037039E-3</c:v>
                </c:pt>
                <c:pt idx="9">
                  <c:v>1.0178703703703699E-3</c:v>
                </c:pt>
                <c:pt idx="10">
                  <c:v>1.0185879629629629E-3</c:v>
                </c:pt>
                <c:pt idx="11">
                  <c:v>1.0176851851851851E-3</c:v>
                </c:pt>
                <c:pt idx="12">
                  <c:v>1.017893518518518E-3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B1-40BF-A662-4B8A58AC6B14}"/>
            </c:ext>
          </c:extLst>
        </c:ser>
        <c:ser>
          <c:idx val="2"/>
          <c:order val="2"/>
          <c:tx>
            <c:strRef>
              <c:f>'Race Progress'!$H$3</c:f>
              <c:strCache>
                <c:ptCount val="1"/>
                <c:pt idx="0">
                  <c:v>Fabio DI GIANNANTONIO</c:v>
                </c:pt>
              </c:strCache>
            </c:strRef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'Race Progress'!$E$4:$E$16</c:f>
              <c:numCache>
                <c:formatCode>0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'Race Progress'!$H$4:$H$16</c:f>
              <c:numCache>
                <c:formatCode>m:ss.000</c:formatCode>
                <c:ptCount val="13"/>
                <c:pt idx="0">
                  <c:v>1.103935185185185E-3</c:v>
                </c:pt>
                <c:pt idx="1">
                  <c:v>1.0243287037037039E-3</c:v>
                </c:pt>
                <c:pt idx="2">
                  <c:v>1.018611111111111E-3</c:v>
                </c:pt>
                <c:pt idx="3">
                  <c:v>1.01869212962963E-3</c:v>
                </c:pt>
                <c:pt idx="4">
                  <c:v>1.017372685185185E-3</c:v>
                </c:pt>
                <c:pt idx="5">
                  <c:v>1.0190393518518519E-3</c:v>
                </c:pt>
                <c:pt idx="6">
                  <c:v>1.015208333333333E-3</c:v>
                </c:pt>
                <c:pt idx="7">
                  <c:v>1.017893518518518E-3</c:v>
                </c:pt>
                <c:pt idx="8">
                  <c:v>1.016168981481481E-3</c:v>
                </c:pt>
                <c:pt idx="9">
                  <c:v>1.014270833333333E-3</c:v>
                </c:pt>
                <c:pt idx="10">
                  <c:v>1.0147453703703701E-3</c:v>
                </c:pt>
                <c:pt idx="11">
                  <c:v>1.014027777777778E-3</c:v>
                </c:pt>
                <c:pt idx="12">
                  <c:v>1.0159027777777779E-3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9B1-40BF-A662-4B8A58AC6B14}"/>
            </c:ext>
          </c:extLst>
        </c:ser>
        <c:ser>
          <c:idx val="3"/>
          <c:order val="3"/>
          <c:tx>
            <c:strRef>
              <c:f>'Race Progress'!$I$3</c:f>
              <c:strCache>
                <c:ptCount val="1"/>
                <c:pt idx="0">
                  <c:v>Marco BEZZECCHI</c:v>
                </c:pt>
              </c:strCache>
            </c:strRef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'Race Progress'!$E$4:$E$16</c:f>
              <c:numCache>
                <c:formatCode>0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'Race Progress'!$I$4:$I$16</c:f>
              <c:numCache>
                <c:formatCode>m:ss.000</c:formatCode>
                <c:ptCount val="13"/>
                <c:pt idx="0">
                  <c:v>1.1127199074074071E-3</c:v>
                </c:pt>
                <c:pt idx="1">
                  <c:v>1.0178703703703699E-3</c:v>
                </c:pt>
                <c:pt idx="2">
                  <c:v>1.0217592592592589E-3</c:v>
                </c:pt>
                <c:pt idx="3">
                  <c:v>1.0214699074074069E-3</c:v>
                </c:pt>
                <c:pt idx="4">
                  <c:v>1.0199884259259259E-3</c:v>
                </c:pt>
                <c:pt idx="5">
                  <c:v>1.0148611111111109E-3</c:v>
                </c:pt>
                <c:pt idx="6">
                  <c:v>1.015601851851852E-3</c:v>
                </c:pt>
                <c:pt idx="7">
                  <c:v>1.0175115740740741E-3</c:v>
                </c:pt>
                <c:pt idx="8">
                  <c:v>1.016030092592592E-3</c:v>
                </c:pt>
                <c:pt idx="9">
                  <c:v>1.0115625000000001E-3</c:v>
                </c:pt>
                <c:pt idx="10">
                  <c:v>1.013611111111111E-3</c:v>
                </c:pt>
                <c:pt idx="11">
                  <c:v>1.014606481481482E-3</c:v>
                </c:pt>
                <c:pt idx="12">
                  <c:v>1.018206018518519E-3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9B1-40BF-A662-4B8A58AC6B14}"/>
            </c:ext>
          </c:extLst>
        </c:ser>
        <c:ser>
          <c:idx val="4"/>
          <c:order val="4"/>
          <c:tx>
            <c:strRef>
              <c:f>'Race Progress'!$J$3</c:f>
              <c:strCache>
                <c:ptCount val="1"/>
                <c:pt idx="0">
                  <c:v>Pedro ACOSTA</c:v>
                </c:pt>
              </c:strCache>
            </c:strRef>
          </c:tx>
          <c:spPr>
            <a:ln w="22225" cap="rnd" cmpd="sng" algn="ctr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'Race Progress'!$E$4:$E$16</c:f>
              <c:numCache>
                <c:formatCode>0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'Race Progress'!$J$4:$J$16</c:f>
              <c:numCache>
                <c:formatCode>m:ss.000</c:formatCode>
                <c:ptCount val="13"/>
                <c:pt idx="0">
                  <c:v>1.0938773148148151E-3</c:v>
                </c:pt>
                <c:pt idx="1">
                  <c:v>1.017523148148148E-3</c:v>
                </c:pt>
                <c:pt idx="2">
                  <c:v>1.026909722222222E-3</c:v>
                </c:pt>
                <c:pt idx="3">
                  <c:v>1.0209837962962961E-3</c:v>
                </c:pt>
                <c:pt idx="4">
                  <c:v>1.0206944444444449E-3</c:v>
                </c:pt>
                <c:pt idx="5">
                  <c:v>1.0227662037037039E-3</c:v>
                </c:pt>
                <c:pt idx="6">
                  <c:v>1.019513888888889E-3</c:v>
                </c:pt>
                <c:pt idx="7">
                  <c:v>1.018310185185185E-3</c:v>
                </c:pt>
                <c:pt idx="8">
                  <c:v>1.01650462962963E-3</c:v>
                </c:pt>
                <c:pt idx="9">
                  <c:v>1.018206018518519E-3</c:v>
                </c:pt>
                <c:pt idx="10">
                  <c:v>1.0195023148148151E-3</c:v>
                </c:pt>
                <c:pt idx="11">
                  <c:v>1.023831018518519E-3</c:v>
                </c:pt>
                <c:pt idx="12">
                  <c:v>1.0274421296296301E-3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9B1-40BF-A662-4B8A58AC6B14}"/>
            </c:ext>
          </c:extLst>
        </c:ser>
        <c:ser>
          <c:idx val="5"/>
          <c:order val="5"/>
          <c:tx>
            <c:strRef>
              <c:f>'Race Progress'!$K$3</c:f>
              <c:strCache>
                <c:ptCount val="1"/>
                <c:pt idx="0">
                  <c:v>Ai OGURA</c:v>
                </c:pt>
              </c:strCache>
            </c:strRef>
          </c:tx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'Race Progress'!$E$4:$E$16</c:f>
              <c:numCache>
                <c:formatCode>0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'Race Progress'!$K$4:$K$16</c:f>
              <c:numCache>
                <c:formatCode>m:ss.000</c:formatCode>
                <c:ptCount val="13"/>
                <c:pt idx="0">
                  <c:v>1.116134259259259E-3</c:v>
                </c:pt>
                <c:pt idx="1">
                  <c:v>1.0295023148148149E-3</c:v>
                </c:pt>
                <c:pt idx="2">
                  <c:v>1.0234722222222221E-3</c:v>
                </c:pt>
                <c:pt idx="3">
                  <c:v>1.0200347222222221E-3</c:v>
                </c:pt>
                <c:pt idx="4">
                  <c:v>1.0187152777777781E-3</c:v>
                </c:pt>
                <c:pt idx="5">
                  <c:v>1.0303356481481481E-3</c:v>
                </c:pt>
                <c:pt idx="6">
                  <c:v>1.0196064814814809E-3</c:v>
                </c:pt>
                <c:pt idx="7">
                  <c:v>1.0167245370370369E-3</c:v>
                </c:pt>
                <c:pt idx="8">
                  <c:v>1.0219791666666669E-3</c:v>
                </c:pt>
                <c:pt idx="9">
                  <c:v>1.0198726851851851E-3</c:v>
                </c:pt>
                <c:pt idx="10">
                  <c:v>1.017256944444445E-3</c:v>
                </c:pt>
                <c:pt idx="11">
                  <c:v>1.0190046296296299E-3</c:v>
                </c:pt>
                <c:pt idx="12">
                  <c:v>1.0218634259259261E-3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9B1-40BF-A662-4B8A58AC6B14}"/>
            </c:ext>
          </c:extLst>
        </c:ser>
        <c:ser>
          <c:idx val="6"/>
          <c:order val="6"/>
          <c:tx>
            <c:strRef>
              <c:f>'Race Progress'!$L$3</c:f>
              <c:strCache>
                <c:ptCount val="1"/>
                <c:pt idx="0">
                  <c:v>Brad BINDER</c:v>
                </c:pt>
              </c:strCache>
            </c:strRef>
          </c:tx>
          <c:spPr>
            <a:ln w="22225" cap="rnd" cmpd="sng" algn="ctr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'Race Progress'!$E$4:$E$16</c:f>
              <c:numCache>
                <c:formatCode>0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'Race Progress'!$L$4:$L$16</c:f>
              <c:numCache>
                <c:formatCode>m:ss.000</c:formatCode>
                <c:ptCount val="13"/>
                <c:pt idx="0">
                  <c:v>1.102361111111111E-3</c:v>
                </c:pt>
                <c:pt idx="1">
                  <c:v>1.0215277777777781E-3</c:v>
                </c:pt>
                <c:pt idx="2">
                  <c:v>1.0224305555555559E-3</c:v>
                </c:pt>
                <c:pt idx="3">
                  <c:v>1.026122685185185E-3</c:v>
                </c:pt>
                <c:pt idx="4">
                  <c:v>1.026099537037037E-3</c:v>
                </c:pt>
                <c:pt idx="5">
                  <c:v>1.0195833333333331E-3</c:v>
                </c:pt>
                <c:pt idx="6">
                  <c:v>1.025798611111111E-3</c:v>
                </c:pt>
                <c:pt idx="7">
                  <c:v>1.0258796296296301E-3</c:v>
                </c:pt>
                <c:pt idx="8">
                  <c:v>1.0261458333333329E-3</c:v>
                </c:pt>
                <c:pt idx="9">
                  <c:v>1.0251967592592589E-3</c:v>
                </c:pt>
                <c:pt idx="10">
                  <c:v>1.0219791666666669E-3</c:v>
                </c:pt>
                <c:pt idx="11">
                  <c:v>1.0209722222222219E-3</c:v>
                </c:pt>
                <c:pt idx="12">
                  <c:v>1.025300925925926E-3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9B1-40BF-A662-4B8A58AC6B14}"/>
            </c:ext>
          </c:extLst>
        </c:ser>
        <c:ser>
          <c:idx val="7"/>
          <c:order val="7"/>
          <c:tx>
            <c:strRef>
              <c:f>'Race Progress'!$M$3</c:f>
              <c:strCache>
                <c:ptCount val="1"/>
                <c:pt idx="0">
                  <c:v>Jack MILLER</c:v>
                </c:pt>
              </c:strCache>
            </c:strRef>
          </c:tx>
          <c:spPr>
            <a:ln w="22225" cap="rnd" cmpd="sng" algn="ctr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'Race Progress'!$E$4:$E$16</c:f>
              <c:numCache>
                <c:formatCode>0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'Race Progress'!$M$4:$M$16</c:f>
              <c:numCache>
                <c:formatCode>m:ss.000</c:formatCode>
                <c:ptCount val="13"/>
                <c:pt idx="0">
                  <c:v>1.098113425925926E-3</c:v>
                </c:pt>
                <c:pt idx="1">
                  <c:v>1.0236226851851849E-3</c:v>
                </c:pt>
                <c:pt idx="2">
                  <c:v>1.0209722222222219E-3</c:v>
                </c:pt>
                <c:pt idx="3">
                  <c:v>1.022615740740741E-3</c:v>
                </c:pt>
                <c:pt idx="4">
                  <c:v>1.028402777777778E-3</c:v>
                </c:pt>
                <c:pt idx="5">
                  <c:v>1.023541666666667E-3</c:v>
                </c:pt>
                <c:pt idx="6">
                  <c:v>1.029108796296296E-3</c:v>
                </c:pt>
                <c:pt idx="7">
                  <c:v>1.027719907407408E-3</c:v>
                </c:pt>
                <c:pt idx="8">
                  <c:v>1.0309027777777779E-3</c:v>
                </c:pt>
                <c:pt idx="9">
                  <c:v>1.020625E-3</c:v>
                </c:pt>
                <c:pt idx="10">
                  <c:v>1.020729166666667E-3</c:v>
                </c:pt>
                <c:pt idx="11">
                  <c:v>1.0228009259259259E-3</c:v>
                </c:pt>
                <c:pt idx="12">
                  <c:v>1.024282407407408E-3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9B1-40BF-A662-4B8A58AC6B14}"/>
            </c:ext>
          </c:extLst>
        </c:ser>
        <c:ser>
          <c:idx val="8"/>
          <c:order val="8"/>
          <c:tx>
            <c:strRef>
              <c:f>'Race Progress'!$N$3</c:f>
              <c:strCache>
                <c:ptCount val="1"/>
                <c:pt idx="0">
                  <c:v>Diogo MOREIRA</c:v>
                </c:pt>
              </c:strCache>
            </c:strRef>
          </c:tx>
          <c:spPr>
            <a:ln w="22225" cap="rnd" cmpd="sng" algn="ctr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'Race Progress'!$E$4:$E$16</c:f>
              <c:numCache>
                <c:formatCode>0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'Race Progress'!$N$4:$N$16</c:f>
              <c:numCache>
                <c:formatCode>m:ss.000</c:formatCode>
                <c:ptCount val="13"/>
                <c:pt idx="0">
                  <c:v>1.103240740740741E-3</c:v>
                </c:pt>
                <c:pt idx="1">
                  <c:v>1.0246064814814809E-3</c:v>
                </c:pt>
                <c:pt idx="2">
                  <c:v>1.0242129629629631E-3</c:v>
                </c:pt>
                <c:pt idx="3">
                  <c:v>1.0228009259259259E-3</c:v>
                </c:pt>
                <c:pt idx="4">
                  <c:v>1.0268171296296299E-3</c:v>
                </c:pt>
                <c:pt idx="5">
                  <c:v>1.0363657407407409E-3</c:v>
                </c:pt>
                <c:pt idx="6">
                  <c:v>1.025729166666667E-3</c:v>
                </c:pt>
                <c:pt idx="7">
                  <c:v>1.025219907407407E-3</c:v>
                </c:pt>
                <c:pt idx="8">
                  <c:v>1.0255208333333329E-3</c:v>
                </c:pt>
                <c:pt idx="9">
                  <c:v>1.025231481481482E-3</c:v>
                </c:pt>
                <c:pt idx="10">
                  <c:v>1.029328703703704E-3</c:v>
                </c:pt>
                <c:pt idx="11">
                  <c:v>1.028483796296296E-3</c:v>
                </c:pt>
                <c:pt idx="12">
                  <c:v>1.0299074074074069E-3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9B1-40BF-A662-4B8A58AC6B14}"/>
            </c:ext>
          </c:extLst>
        </c:ser>
        <c:ser>
          <c:idx val="9"/>
          <c:order val="9"/>
          <c:tx>
            <c:strRef>
              <c:f>'Race Progress'!$O$3</c:f>
              <c:strCache>
                <c:ptCount val="1"/>
                <c:pt idx="0">
                  <c:v>Iker LECUONA</c:v>
                </c:pt>
              </c:strCache>
            </c:strRef>
          </c:tx>
          <c:spPr>
            <a:ln w="22225" cap="rnd" cmpd="sng" algn="ctr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'Race Progress'!$E$4:$E$16</c:f>
              <c:numCache>
                <c:formatCode>0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'Race Progress'!$O$4:$O$16</c:f>
              <c:numCache>
                <c:formatCode>m:ss.000</c:formatCode>
                <c:ptCount val="13"/>
                <c:pt idx="0">
                  <c:v>1.120150462962963E-3</c:v>
                </c:pt>
                <c:pt idx="1">
                  <c:v>1.029224537037037E-3</c:v>
                </c:pt>
                <c:pt idx="2">
                  <c:v>1.0228009259259259E-3</c:v>
                </c:pt>
                <c:pt idx="3">
                  <c:v>1.0259027777777779E-3</c:v>
                </c:pt>
                <c:pt idx="4">
                  <c:v>1.0220254629629631E-3</c:v>
                </c:pt>
                <c:pt idx="5">
                  <c:v>1.0194097222222219E-3</c:v>
                </c:pt>
                <c:pt idx="6">
                  <c:v>1.0256250000000001E-3</c:v>
                </c:pt>
                <c:pt idx="7">
                  <c:v>1.0247916666666669E-3</c:v>
                </c:pt>
                <c:pt idx="8">
                  <c:v>1.0231712962962959E-3</c:v>
                </c:pt>
                <c:pt idx="9">
                  <c:v>1.025347222222222E-3</c:v>
                </c:pt>
                <c:pt idx="10">
                  <c:v>1.0299305555555561E-3</c:v>
                </c:pt>
                <c:pt idx="11">
                  <c:v>1.027581018518519E-3</c:v>
                </c:pt>
                <c:pt idx="12">
                  <c:v>1.0320949074074069E-3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9B1-40BF-A662-4B8A58AC6B14}"/>
            </c:ext>
          </c:extLst>
        </c:ser>
        <c:ser>
          <c:idx val="10"/>
          <c:order val="10"/>
          <c:tx>
            <c:strRef>
              <c:f>'Race Progress'!$P$3</c:f>
              <c:strCache>
                <c:ptCount val="1"/>
                <c:pt idx="0">
                  <c:v>Fabio QUARTARARO</c:v>
                </c:pt>
              </c:strCache>
            </c:strRef>
          </c:tx>
          <c:spPr>
            <a:ln w="22225" cap="rnd" cmpd="sng" algn="ctr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'Race Progress'!$E$4:$E$16</c:f>
              <c:numCache>
                <c:formatCode>0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'Race Progress'!$P$4:$P$16</c:f>
              <c:numCache>
                <c:formatCode>m:ss.000</c:formatCode>
                <c:ptCount val="13"/>
                <c:pt idx="0">
                  <c:v>1.124027777777778E-3</c:v>
                </c:pt>
                <c:pt idx="1">
                  <c:v>1.029768518518518E-3</c:v>
                </c:pt>
                <c:pt idx="2">
                  <c:v>1.0232986111111109E-3</c:v>
                </c:pt>
                <c:pt idx="3">
                  <c:v>1.023449074074074E-3</c:v>
                </c:pt>
                <c:pt idx="4">
                  <c:v>1.0235532407407411E-3</c:v>
                </c:pt>
                <c:pt idx="5">
                  <c:v>1.031006944444444E-3</c:v>
                </c:pt>
                <c:pt idx="6">
                  <c:v>1.0258217592592591E-3</c:v>
                </c:pt>
                <c:pt idx="7">
                  <c:v>1.0276736111111109E-3</c:v>
                </c:pt>
                <c:pt idx="8">
                  <c:v>1.024467592592592E-3</c:v>
                </c:pt>
                <c:pt idx="9">
                  <c:v>1.024884259259259E-3</c:v>
                </c:pt>
                <c:pt idx="10">
                  <c:v>1.024155092592593E-3</c:v>
                </c:pt>
                <c:pt idx="11">
                  <c:v>1.0246064814814809E-3</c:v>
                </c:pt>
                <c:pt idx="12">
                  <c:v>1.026458333333333E-3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9B1-40BF-A662-4B8A58AC6B14}"/>
            </c:ext>
          </c:extLst>
        </c:ser>
        <c:ser>
          <c:idx val="11"/>
          <c:order val="11"/>
          <c:tx>
            <c:strRef>
              <c:f>'Race Progress'!$Q$3</c:f>
              <c:strCache>
                <c:ptCount val="1"/>
                <c:pt idx="0">
                  <c:v>Enea BASTIANINI</c:v>
                </c:pt>
              </c:strCache>
            </c:strRef>
          </c:tx>
          <c:spPr>
            <a:ln w="22225" cap="rnd" cmpd="sng" algn="ctr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'Race Progress'!$E$4:$E$16</c:f>
              <c:numCache>
                <c:formatCode>0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'Race Progress'!$Q$4:$Q$16</c:f>
              <c:numCache>
                <c:formatCode>m:ss.000</c:formatCode>
                <c:ptCount val="13"/>
                <c:pt idx="0">
                  <c:v>1.112465277777778E-3</c:v>
                </c:pt>
                <c:pt idx="1">
                  <c:v>1.0417361111111109E-3</c:v>
                </c:pt>
                <c:pt idx="2">
                  <c:v>1.0256828703703699E-3</c:v>
                </c:pt>
                <c:pt idx="3">
                  <c:v>1.0211921296296291E-3</c:v>
                </c:pt>
                <c:pt idx="4">
                  <c:v>1.023368055555556E-3</c:v>
                </c:pt>
                <c:pt idx="5">
                  <c:v>1.03005787037037E-3</c:v>
                </c:pt>
                <c:pt idx="6">
                  <c:v>1.0380439814814809E-3</c:v>
                </c:pt>
                <c:pt idx="7">
                  <c:v>1.0225462962962959E-3</c:v>
                </c:pt>
                <c:pt idx="8">
                  <c:v>1.024224537037037E-3</c:v>
                </c:pt>
                <c:pt idx="9">
                  <c:v>1.023078703703704E-3</c:v>
                </c:pt>
                <c:pt idx="10">
                  <c:v>1.022361111111111E-3</c:v>
                </c:pt>
                <c:pt idx="11">
                  <c:v>1.023310185185185E-3</c:v>
                </c:pt>
                <c:pt idx="12">
                  <c:v>1.0276736111111109E-3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9B1-40BF-A662-4B8A58AC6B14}"/>
            </c:ext>
          </c:extLst>
        </c:ser>
        <c:ser>
          <c:idx val="12"/>
          <c:order val="12"/>
          <c:tx>
            <c:strRef>
              <c:f>'Race Progress'!$R$3</c:f>
              <c:strCache>
                <c:ptCount val="1"/>
                <c:pt idx="0">
                  <c:v>Alex RINS</c:v>
                </c:pt>
              </c:strCache>
            </c:strRef>
          </c:tx>
          <c:spPr>
            <a:ln w="22225" cap="rnd" cmpd="sng" algn="ctr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'Race Progress'!$E$4:$E$16</c:f>
              <c:numCache>
                <c:formatCode>0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'Race Progress'!$R$4:$R$16</c:f>
              <c:numCache>
                <c:formatCode>m:ss.000</c:formatCode>
                <c:ptCount val="13"/>
                <c:pt idx="0">
                  <c:v>1.1325E-3</c:v>
                </c:pt>
                <c:pt idx="1">
                  <c:v>1.0416087962962959E-3</c:v>
                </c:pt>
                <c:pt idx="2">
                  <c:v>1.028078703703704E-3</c:v>
                </c:pt>
                <c:pt idx="3">
                  <c:v>1.0239236111111111E-3</c:v>
                </c:pt>
                <c:pt idx="4">
                  <c:v>1.025300925925926E-3</c:v>
                </c:pt>
                <c:pt idx="5">
                  <c:v>1.024236111111111E-3</c:v>
                </c:pt>
                <c:pt idx="6">
                  <c:v>1.0215972222222219E-3</c:v>
                </c:pt>
                <c:pt idx="7">
                  <c:v>1.022361111111111E-3</c:v>
                </c:pt>
                <c:pt idx="8">
                  <c:v>1.0202546296296301E-3</c:v>
                </c:pt>
                <c:pt idx="9">
                  <c:v>1.022986111111111E-3</c:v>
                </c:pt>
                <c:pt idx="10">
                  <c:v>1.022407407407407E-3</c:v>
                </c:pt>
                <c:pt idx="11">
                  <c:v>1.0251967592592589E-3</c:v>
                </c:pt>
                <c:pt idx="12">
                  <c:v>1.026805555555556E-3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9B1-40BF-A662-4B8A58AC6B14}"/>
            </c:ext>
          </c:extLst>
        </c:ser>
        <c:ser>
          <c:idx val="13"/>
          <c:order val="13"/>
          <c:tx>
            <c:strRef>
              <c:f>'Race Progress'!$S$3</c:f>
              <c:strCache>
                <c:ptCount val="1"/>
                <c:pt idx="0">
                  <c:v>Franco MORBIDELLI</c:v>
                </c:pt>
              </c:strCache>
            </c:strRef>
          </c:tx>
          <c:spPr>
            <a:ln w="22225" cap="rnd" cmpd="sng" algn="ctr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'Race Progress'!$E$4:$E$16</c:f>
              <c:numCache>
                <c:formatCode>0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'Race Progress'!$S$4:$S$16</c:f>
              <c:numCache>
                <c:formatCode>m:ss.000</c:formatCode>
                <c:ptCount val="13"/>
                <c:pt idx="0">
                  <c:v>1.1305902777777781E-3</c:v>
                </c:pt>
                <c:pt idx="1">
                  <c:v>1.033611111111111E-3</c:v>
                </c:pt>
                <c:pt idx="2">
                  <c:v>1.0376157407407411E-3</c:v>
                </c:pt>
                <c:pt idx="3">
                  <c:v>1.0340856481481479E-3</c:v>
                </c:pt>
                <c:pt idx="4">
                  <c:v>1.030810185185185E-3</c:v>
                </c:pt>
                <c:pt idx="5">
                  <c:v>1.031226851851852E-3</c:v>
                </c:pt>
                <c:pt idx="6">
                  <c:v>1.030960648148148E-3</c:v>
                </c:pt>
                <c:pt idx="7">
                  <c:v>1.0319444444444441E-3</c:v>
                </c:pt>
                <c:pt idx="8">
                  <c:v>1.030277777777778E-3</c:v>
                </c:pt>
                <c:pt idx="9">
                  <c:v>1.0295138888888891E-3</c:v>
                </c:pt>
                <c:pt idx="10">
                  <c:v>1.0295138888888891E-3</c:v>
                </c:pt>
                <c:pt idx="11">
                  <c:v>1.033414351851852E-3</c:v>
                </c:pt>
                <c:pt idx="12">
                  <c:v>1.031342592592593E-3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F9B1-40BF-A662-4B8A58AC6B14}"/>
            </c:ext>
          </c:extLst>
        </c:ser>
        <c:ser>
          <c:idx val="14"/>
          <c:order val="14"/>
          <c:tx>
            <c:strRef>
              <c:f>'Race Progress'!$T$3</c:f>
              <c:strCache>
                <c:ptCount val="1"/>
                <c:pt idx="0">
                  <c:v>Augusto FERNANDEZ</c:v>
                </c:pt>
              </c:strCache>
            </c:strRef>
          </c:tx>
          <c:spPr>
            <a:ln w="22225" cap="rnd" cmpd="sng" algn="ctr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'Race Progress'!$E$4:$E$16</c:f>
              <c:numCache>
                <c:formatCode>0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'Race Progress'!$T$4:$T$16</c:f>
              <c:numCache>
                <c:formatCode>m:ss.000</c:formatCode>
                <c:ptCount val="13"/>
                <c:pt idx="0">
                  <c:v>1.130069444444445E-3</c:v>
                </c:pt>
                <c:pt idx="1">
                  <c:v>1.0491550925925931E-3</c:v>
                </c:pt>
                <c:pt idx="2">
                  <c:v>1.043321759259259E-3</c:v>
                </c:pt>
                <c:pt idx="3">
                  <c:v>1.0442476851851849E-3</c:v>
                </c:pt>
                <c:pt idx="4">
                  <c:v>1.042962962962963E-3</c:v>
                </c:pt>
                <c:pt idx="5">
                  <c:v>1.046423611111111E-3</c:v>
                </c:pt>
                <c:pt idx="6">
                  <c:v>1.050740740740741E-3</c:v>
                </c:pt>
                <c:pt idx="7">
                  <c:v>1.051435185185185E-3</c:v>
                </c:pt>
                <c:pt idx="8">
                  <c:v>1.052210648148148E-3</c:v>
                </c:pt>
                <c:pt idx="9">
                  <c:v>1.05568287037037E-3</c:v>
                </c:pt>
                <c:pt idx="10">
                  <c:v>1.054895833333333E-3</c:v>
                </c:pt>
                <c:pt idx="11">
                  <c:v>1.0634143518518521E-3</c:v>
                </c:pt>
                <c:pt idx="12">
                  <c:v>1.0579861111111111E-3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9B1-40BF-A662-4B8A58AC6B14}"/>
            </c:ext>
          </c:extLst>
        </c:ser>
        <c:ser>
          <c:idx val="15"/>
          <c:order val="15"/>
          <c:tx>
            <c:strRef>
              <c:f>'Race Progress'!$U$3</c:f>
              <c:strCache>
                <c:ptCount val="1"/>
                <c:pt idx="0">
                  <c:v>Raul FERNANDEZ</c:v>
                </c:pt>
              </c:strCache>
            </c:strRef>
          </c:tx>
          <c:spPr>
            <a:ln w="22225" cap="rnd" cmpd="sng" algn="ctr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'Race Progress'!$E$4:$E$16</c:f>
              <c:numCache>
                <c:formatCode>0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'Race Progress'!$U$4:$U$16</c:f>
              <c:numCache>
                <c:formatCode>m:ss.000</c:formatCode>
                <c:ptCount val="13"/>
                <c:pt idx="0">
                  <c:v>1.112430555555556E-3</c:v>
                </c:pt>
                <c:pt idx="1">
                  <c:v>1.022337962962963E-3</c:v>
                </c:pt>
                <c:pt idx="2">
                  <c:v>1.0220254629629631E-3</c:v>
                </c:pt>
                <c:pt idx="3">
                  <c:v>1.025925925925926E-3</c:v>
                </c:pt>
                <c:pt idx="4">
                  <c:v>1.021678240740741E-3</c:v>
                </c:pt>
                <c:pt idx="5">
                  <c:v>1.032013888888889E-3</c:v>
                </c:pt>
                <c:pt idx="6">
                  <c:v>1.021006944444444E-3</c:v>
                </c:pt>
                <c:pt idx="7">
                  <c:v>1.030011574074074E-3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F9B1-40BF-A662-4B8A58AC6B14}"/>
            </c:ext>
          </c:extLst>
        </c:ser>
        <c:ser>
          <c:idx val="16"/>
          <c:order val="16"/>
          <c:tx>
            <c:strRef>
              <c:f>'Race Progress'!$V$3</c:f>
              <c:strCache>
                <c:ptCount val="1"/>
                <c:pt idx="0">
                  <c:v>Jorge MARTIN</c:v>
                </c:pt>
              </c:strCache>
            </c:strRef>
          </c:tx>
          <c:spPr>
            <a:ln w="22225" cap="rnd" cmpd="sng" algn="ctr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'Race Progress'!$E$4:$E$16</c:f>
              <c:numCache>
                <c:formatCode>0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'Race Progress'!$V$4:$V$16</c:f>
              <c:numCache>
                <c:formatCode>m:ss.000</c:formatCode>
                <c:ptCount val="13"/>
                <c:pt idx="0">
                  <c:v>1.085034722222222E-3</c:v>
                </c:pt>
                <c:pt idx="1">
                  <c:v>1.025150462962963E-3</c:v>
                </c:pt>
                <c:pt idx="2">
                  <c:v>1.0214814814814819E-3</c:v>
                </c:pt>
                <c:pt idx="3">
                  <c:v>1.009594907407407E-3</c:v>
                </c:pt>
                <c:pt idx="4">
                  <c:v>1.019155092592593E-3</c:v>
                </c:pt>
                <c:pt idx="5">
                  <c:v>1.0189236111111111E-3</c:v>
                </c:pt>
                <c:pt idx="6">
                  <c:v>1.0149537037037039E-3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9B1-40BF-A662-4B8A58AC6B14}"/>
            </c:ext>
          </c:extLst>
        </c:ser>
        <c:ser>
          <c:idx val="17"/>
          <c:order val="17"/>
          <c:tx>
            <c:strRef>
              <c:f>'Race Progress'!$W$3</c:f>
              <c:strCache>
                <c:ptCount val="1"/>
                <c:pt idx="0">
                  <c:v>Maverick VIÑALES</c:v>
                </c:pt>
              </c:strCache>
            </c:strRef>
          </c:tx>
          <c:spPr>
            <a:ln w="22225" cap="rnd" cmpd="sng" algn="ctr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'Race Progress'!$E$4:$E$16</c:f>
              <c:numCache>
                <c:formatCode>0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'Race Progress'!$W$4:$W$16</c:f>
              <c:numCache>
                <c:formatCode>m:ss.000</c:formatCode>
                <c:ptCount val="13"/>
                <c:pt idx="0">
                  <c:v>1.1273263888888891E-3</c:v>
                </c:pt>
                <c:pt idx="1">
                  <c:v>1.0315740740740741E-3</c:v>
                </c:pt>
                <c:pt idx="2">
                  <c:v>1.031643518518519E-3</c:v>
                </c:pt>
                <c:pt idx="3">
                  <c:v>1.031921296296296E-3</c:v>
                </c:pt>
                <c:pt idx="4">
                  <c:v>1.028275462962963E-3</c:v>
                </c:pt>
                <c:pt idx="5">
                  <c:v>1.0329745370370371E-3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F9B1-40BF-A662-4B8A58AC6B14}"/>
            </c:ext>
          </c:extLst>
        </c:ser>
        <c:ser>
          <c:idx val="18"/>
          <c:order val="18"/>
          <c:tx>
            <c:strRef>
              <c:f>'Race Progress'!$X$3</c:f>
              <c:strCache>
                <c:ptCount val="1"/>
                <c:pt idx="0">
                  <c:v>Johann ZARCO</c:v>
                </c:pt>
              </c:strCache>
            </c:strRef>
          </c:tx>
          <c:spPr>
            <a:ln w="22225" cap="rnd" cmpd="sng" algn="ctr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'Race Progress'!$E$4:$E$16</c:f>
              <c:numCache>
                <c:formatCode>0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'Race Progress'!$X$4:$X$16</c:f>
              <c:numCache>
                <c:formatCode>m:ss.000</c:formatCode>
                <c:ptCount val="13"/>
                <c:pt idx="0">
                  <c:v>1.0888310185185181E-3</c:v>
                </c:pt>
                <c:pt idx="1">
                  <c:v>1.021956018518518E-3</c:v>
                </c:pt>
                <c:pt idx="2">
                  <c:v>1.029351851851852E-3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9B1-40BF-A662-4B8A58AC6B14}"/>
            </c:ext>
          </c:extLst>
        </c:ser>
        <c:ser>
          <c:idx val="19"/>
          <c:order val="19"/>
          <c:tx>
            <c:strRef>
              <c:f>'Race Progress'!$Y$3</c:f>
              <c:strCache>
                <c:ptCount val="1"/>
                <c:pt idx="0">
                  <c:v>Francesco BAGNAIA</c:v>
                </c:pt>
              </c:strCache>
            </c:strRef>
          </c:tx>
          <c:spPr>
            <a:ln w="22225" cap="rnd" cmpd="sng" algn="ctr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'Race Progress'!$E$4:$E$16</c:f>
              <c:numCache>
                <c:formatCode>0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'Race Progress'!$Y$4:$Y$16</c:f>
              <c:numCache>
                <c:formatCode>m:ss.000</c:formatCode>
                <c:ptCount val="13"/>
                <c:pt idx="0">
                  <c:v>1.119236111111111E-3</c:v>
                </c:pt>
                <c:pt idx="1">
                  <c:v>1.105046296296296E-3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F9B1-40BF-A662-4B8A58AC6B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50010001"/>
        <c:axId val="50010002"/>
      </c:lineChart>
      <c:catAx>
        <c:axId val="5001000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Lap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Lap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:ss.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10001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20003</xdr:colOff>
      <xdr:row>23</xdr:row>
      <xdr:rowOff>49530</xdr:rowOff>
    </xdr:from>
    <xdr:to>
      <xdr:col>12</xdr:col>
      <xdr:colOff>988219</xdr:colOff>
      <xdr:row>66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ceData" displayName="RaceData" ref="A1:T222" totalsRowShown="0">
  <autoFilter ref="A1:T222" xr:uid="{00000000-0009-0000-0100-000001000000}"/>
  <tableColumns count="20">
    <tableColumn id="1" xr3:uid="{00000000-0010-0000-0000-000001000000}" name="Rider"/>
    <tableColumn id="2" xr3:uid="{00000000-0010-0000-0000-000002000000}" name="Number"/>
    <tableColumn id="3" xr3:uid="{00000000-0010-0000-0000-000003000000}" name="Position"/>
    <tableColumn id="4" xr3:uid="{00000000-0010-0000-0000-000004000000}" name="Team"/>
    <tableColumn id="5" xr3:uid="{00000000-0010-0000-0000-000005000000}" name="Manufacturer"/>
    <tableColumn id="6" xr3:uid="{00000000-0010-0000-0000-000006000000}" name="Nationality"/>
    <tableColumn id="7" xr3:uid="{00000000-0010-0000-0000-000007000000}" name="Total Laps"/>
    <tableColumn id="8" xr3:uid="{00000000-0010-0000-0000-000008000000}" name="Valid Laps"/>
    <tableColumn id="9" xr3:uid="{00000000-0010-0000-0000-000009000000}" name="Lap"/>
    <tableColumn id="10" xr3:uid="{00000000-0010-0000-0000-00000A000000}" name="Lap Time"/>
    <tableColumn id="11" xr3:uid="{00000000-0010-0000-0000-00000B000000}" name="Lap Seconds"/>
    <tableColumn id="12" xr3:uid="{00000000-0010-0000-0000-00000C000000}" name="T1"/>
    <tableColumn id="13" xr3:uid="{00000000-0010-0000-0000-00000D000000}" name="T2"/>
    <tableColumn id="14" xr3:uid="{00000000-0010-0000-0000-00000E000000}" name="T3"/>
    <tableColumn id="15" xr3:uid="{00000000-0010-0000-0000-00000F000000}" name="T4"/>
    <tableColumn id="16" xr3:uid="{00000000-0010-0000-0000-000010000000}" name="Speed km/h"/>
    <tableColumn id="17" xr3:uid="{00000000-0010-0000-0000-000011000000}" name="Cumulative Seconds"/>
    <tableColumn id="18" xr3:uid="{00000000-0010-0000-0000-000012000000}" name="Cancelled"/>
    <tableColumn id="19" xr3:uid="{00000000-0010-0000-0000-000013000000}" name="Pit Lane"/>
    <tableColumn id="20" xr3:uid="{00000000-0010-0000-0000-000014000000}" name="Partial Tim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"/>
  <sheetViews>
    <sheetView zoomScale="80" zoomScaleNormal="80" workbookViewId="0">
      <pane ySplit="5" topLeftCell="A6" activePane="bottomLeft" state="frozen"/>
      <selection pane="bottomLeft" activeCell="B6" sqref="B6"/>
    </sheetView>
  </sheetViews>
  <sheetFormatPr defaultRowHeight="14.4" x14ac:dyDescent="0.3"/>
  <cols>
    <col min="1" max="1" width="8.6640625" customWidth="1"/>
    <col min="2" max="2" width="12.6640625" customWidth="1"/>
    <col min="3" max="10" width="18.6640625" customWidth="1"/>
    <col min="11" max="13" width="15.6640625" customWidth="1"/>
  </cols>
  <sheetData>
    <row r="1" spans="1:14" ht="21" x14ac:dyDescent="0.3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3" spans="1:14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>
        <v>13</v>
      </c>
      <c r="I3" s="1" t="s">
        <v>8</v>
      </c>
      <c r="J3" s="1">
        <v>12</v>
      </c>
      <c r="K3" s="1" t="s">
        <v>9</v>
      </c>
      <c r="L3" s="1" t="s">
        <v>10</v>
      </c>
      <c r="M3" s="1" t="s">
        <v>11</v>
      </c>
      <c r="N3" s="1" t="s">
        <v>12</v>
      </c>
    </row>
    <row r="5" spans="1:14" x14ac:dyDescent="0.3">
      <c r="A5" s="2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  <c r="H5" s="2" t="s">
        <v>20</v>
      </c>
      <c r="I5" s="2" t="s">
        <v>21</v>
      </c>
      <c r="J5" s="2" t="s">
        <v>22</v>
      </c>
      <c r="K5" s="2" t="s">
        <v>23</v>
      </c>
      <c r="L5" s="2" t="s">
        <v>24</v>
      </c>
      <c r="M5" s="2" t="s">
        <v>25</v>
      </c>
    </row>
    <row r="6" spans="1:14" x14ac:dyDescent="0.3">
      <c r="A6" s="3">
        <v>1</v>
      </c>
      <c r="B6" s="4" t="s">
        <v>26</v>
      </c>
      <c r="C6" s="5">
        <v>93.677000000000007</v>
      </c>
      <c r="D6" s="5">
        <v>28.524000000000001</v>
      </c>
      <c r="E6" s="5">
        <v>23.568000000000001</v>
      </c>
      <c r="F6" s="5">
        <v>14.132</v>
      </c>
      <c r="G6" s="5">
        <v>27.452999999999999</v>
      </c>
      <c r="H6" s="6">
        <v>244</v>
      </c>
      <c r="I6" s="5">
        <v>93.677000000000007</v>
      </c>
      <c r="J6" s="7">
        <v>1.084224537037037E-3</v>
      </c>
      <c r="K6" s="8" t="b">
        <v>0</v>
      </c>
      <c r="L6" s="8" t="b">
        <v>0</v>
      </c>
      <c r="M6" s="8" t="b">
        <v>0</v>
      </c>
    </row>
    <row r="7" spans="1:14" x14ac:dyDescent="0.3">
      <c r="A7" s="3">
        <v>2</v>
      </c>
      <c r="B7" s="4" t="s">
        <v>27</v>
      </c>
      <c r="C7" s="5">
        <v>88.385999999999996</v>
      </c>
      <c r="D7" s="5">
        <v>23.146999999999998</v>
      </c>
      <c r="E7" s="5">
        <v>23.584</v>
      </c>
      <c r="F7" s="5">
        <v>14.162000000000001</v>
      </c>
      <c r="G7" s="5">
        <v>27.492999999999999</v>
      </c>
      <c r="H7" s="6">
        <v>342.9</v>
      </c>
      <c r="I7" s="5">
        <v>182.06299999999999</v>
      </c>
      <c r="J7" s="7">
        <v>1.022986111111111E-3</v>
      </c>
      <c r="K7" s="8" t="b">
        <v>0</v>
      </c>
      <c r="L7" s="8" t="b">
        <v>0</v>
      </c>
      <c r="M7" s="8" t="b">
        <v>0</v>
      </c>
    </row>
    <row r="8" spans="1:14" x14ac:dyDescent="0.3">
      <c r="A8" s="3">
        <v>3</v>
      </c>
      <c r="B8" s="4" t="s">
        <v>28</v>
      </c>
      <c r="C8" s="5">
        <v>88.637</v>
      </c>
      <c r="D8" s="5">
        <v>23.026</v>
      </c>
      <c r="E8" s="5">
        <v>23.760999999999999</v>
      </c>
      <c r="F8" s="5">
        <v>14.303000000000001</v>
      </c>
      <c r="G8" s="5">
        <v>27.547000000000001</v>
      </c>
      <c r="H8" s="6">
        <v>342.9</v>
      </c>
      <c r="I8" s="5">
        <v>270.7</v>
      </c>
      <c r="J8" s="7">
        <v>1.025891203703704E-3</v>
      </c>
      <c r="K8" s="8" t="b">
        <v>0</v>
      </c>
      <c r="L8" s="8" t="b">
        <v>0</v>
      </c>
      <c r="M8" s="8" t="b">
        <v>0</v>
      </c>
    </row>
    <row r="9" spans="1:14" x14ac:dyDescent="0.3">
      <c r="A9" s="3">
        <v>4</v>
      </c>
      <c r="B9" s="4" t="s">
        <v>29</v>
      </c>
      <c r="C9" s="5">
        <v>87.29</v>
      </c>
      <c r="D9" s="5">
        <v>22.79</v>
      </c>
      <c r="E9" s="5">
        <v>23.315000000000001</v>
      </c>
      <c r="F9" s="5">
        <v>14.026</v>
      </c>
      <c r="G9" s="5">
        <v>27.158999999999999</v>
      </c>
      <c r="H9" s="6">
        <v>347.3</v>
      </c>
      <c r="I9" s="5">
        <v>357.99</v>
      </c>
      <c r="J9" s="7">
        <v>1.010300925925926E-3</v>
      </c>
      <c r="K9" s="8" t="b">
        <v>0</v>
      </c>
      <c r="L9" s="8" t="b">
        <v>0</v>
      </c>
      <c r="M9" s="8" t="b">
        <v>0</v>
      </c>
    </row>
    <row r="10" spans="1:14" x14ac:dyDescent="0.3">
      <c r="A10" s="3">
        <v>5</v>
      </c>
      <c r="B10" s="4" t="s">
        <v>30</v>
      </c>
      <c r="C10" s="5">
        <v>87.8</v>
      </c>
      <c r="D10" s="5">
        <v>22.712</v>
      </c>
      <c r="E10" s="5">
        <v>23.417000000000002</v>
      </c>
      <c r="F10" s="5">
        <v>14.167999999999999</v>
      </c>
      <c r="G10" s="5">
        <v>27.503</v>
      </c>
      <c r="H10" s="6">
        <v>348.4</v>
      </c>
      <c r="I10" s="5">
        <v>445.79</v>
      </c>
      <c r="J10" s="7">
        <v>1.0162037037037041E-3</v>
      </c>
      <c r="K10" s="8" t="b">
        <v>0</v>
      </c>
      <c r="L10" s="8" t="b">
        <v>0</v>
      </c>
      <c r="M10" s="8" t="b">
        <v>0</v>
      </c>
    </row>
    <row r="11" spans="1:14" x14ac:dyDescent="0.3">
      <c r="A11" s="3">
        <v>6</v>
      </c>
      <c r="B11" s="4" t="s">
        <v>31</v>
      </c>
      <c r="C11" s="5">
        <v>88.016000000000005</v>
      </c>
      <c r="D11" s="5">
        <v>22.963000000000001</v>
      </c>
      <c r="E11" s="5">
        <v>23.581</v>
      </c>
      <c r="F11" s="5">
        <v>14.098000000000001</v>
      </c>
      <c r="G11" s="5">
        <v>27.373999999999999</v>
      </c>
      <c r="H11" s="6">
        <v>342.9</v>
      </c>
      <c r="I11" s="5">
        <v>533.80600000000004</v>
      </c>
      <c r="J11" s="7">
        <v>1.018703703703704E-3</v>
      </c>
      <c r="K11" s="8" t="b">
        <v>0</v>
      </c>
      <c r="L11" s="8" t="b">
        <v>0</v>
      </c>
      <c r="M11" s="8" t="b">
        <v>0</v>
      </c>
    </row>
    <row r="12" spans="1:14" x14ac:dyDescent="0.3">
      <c r="A12" s="3">
        <v>7</v>
      </c>
      <c r="B12" s="4" t="s">
        <v>32</v>
      </c>
      <c r="C12" s="5">
        <v>87.706999999999994</v>
      </c>
      <c r="D12" s="5">
        <v>22.885999999999999</v>
      </c>
      <c r="E12" s="5">
        <v>23.364999999999998</v>
      </c>
      <c r="F12" s="5">
        <v>14.071</v>
      </c>
      <c r="G12" s="5">
        <v>27.385000000000002</v>
      </c>
      <c r="H12" s="6">
        <v>342.9</v>
      </c>
      <c r="I12" s="5">
        <v>621.51300000000003</v>
      </c>
      <c r="J12" s="7">
        <v>1.0151273148148151E-3</v>
      </c>
      <c r="K12" s="8" t="b">
        <v>0</v>
      </c>
      <c r="L12" s="8" t="b">
        <v>0</v>
      </c>
      <c r="M12" s="8" t="b">
        <v>0</v>
      </c>
    </row>
    <row r="13" spans="1:14" x14ac:dyDescent="0.3">
      <c r="A13" s="3">
        <v>8</v>
      </c>
      <c r="B13" s="4" t="s">
        <v>33</v>
      </c>
      <c r="C13" s="5">
        <v>88.251000000000005</v>
      </c>
      <c r="D13" s="5">
        <v>22.89</v>
      </c>
      <c r="E13" s="5">
        <v>23.832999999999998</v>
      </c>
      <c r="F13" s="5">
        <v>14.178000000000001</v>
      </c>
      <c r="G13" s="5">
        <v>27.35</v>
      </c>
      <c r="H13" s="6">
        <v>345</v>
      </c>
      <c r="I13" s="5">
        <v>709.76400000000001</v>
      </c>
      <c r="J13" s="7">
        <v>1.021423611111111E-3</v>
      </c>
      <c r="K13" s="8" t="b">
        <v>0</v>
      </c>
      <c r="L13" s="8" t="b">
        <v>0</v>
      </c>
      <c r="M13" s="8" t="b">
        <v>0</v>
      </c>
    </row>
    <row r="14" spans="1:14" x14ac:dyDescent="0.3">
      <c r="A14" s="3">
        <v>9</v>
      </c>
      <c r="B14" s="4" t="s">
        <v>34</v>
      </c>
      <c r="C14" s="5">
        <v>88.039000000000001</v>
      </c>
      <c r="D14" s="5">
        <v>22.992999999999999</v>
      </c>
      <c r="E14" s="5">
        <v>23.49</v>
      </c>
      <c r="F14" s="5">
        <v>14.148</v>
      </c>
      <c r="G14" s="5">
        <v>27.408000000000001</v>
      </c>
      <c r="H14" s="6">
        <v>344</v>
      </c>
      <c r="I14" s="5">
        <v>797.803</v>
      </c>
      <c r="J14" s="7">
        <v>1.018969907407407E-3</v>
      </c>
      <c r="K14" s="8" t="b">
        <v>0</v>
      </c>
      <c r="L14" s="8" t="b">
        <v>0</v>
      </c>
      <c r="M14" s="8" t="b">
        <v>0</v>
      </c>
    </row>
    <row r="15" spans="1:14" x14ac:dyDescent="0.3">
      <c r="A15" s="3">
        <v>10</v>
      </c>
      <c r="B15" s="4" t="s">
        <v>35</v>
      </c>
      <c r="C15" s="5">
        <v>87.866</v>
      </c>
      <c r="D15" s="5">
        <v>22.882999999999999</v>
      </c>
      <c r="E15" s="5">
        <v>23.419</v>
      </c>
      <c r="F15" s="5">
        <v>14.064</v>
      </c>
      <c r="G15" s="5">
        <v>27.5</v>
      </c>
      <c r="H15" s="6">
        <v>344</v>
      </c>
      <c r="I15" s="5">
        <v>885.66899999999998</v>
      </c>
      <c r="J15" s="7">
        <v>1.016967592592593E-3</v>
      </c>
      <c r="K15" s="8" t="b">
        <v>0</v>
      </c>
      <c r="L15" s="8" t="b">
        <v>0</v>
      </c>
      <c r="M15" s="8" t="b">
        <v>0</v>
      </c>
    </row>
    <row r="16" spans="1:14" x14ac:dyDescent="0.3">
      <c r="A16" s="3">
        <v>11</v>
      </c>
      <c r="B16" s="4" t="s">
        <v>36</v>
      </c>
      <c r="C16" s="5">
        <v>87.915999999999997</v>
      </c>
      <c r="D16" s="5">
        <v>22.902000000000001</v>
      </c>
      <c r="E16" s="5">
        <v>23.414000000000001</v>
      </c>
      <c r="F16" s="5">
        <v>14.148</v>
      </c>
      <c r="G16" s="5">
        <v>27.452000000000002</v>
      </c>
      <c r="H16" s="6">
        <v>344</v>
      </c>
      <c r="I16" s="5">
        <v>973.58500000000004</v>
      </c>
      <c r="J16" s="7">
        <v>1.0175462962962959E-3</v>
      </c>
      <c r="K16" s="8" t="b">
        <v>0</v>
      </c>
      <c r="L16" s="8" t="b">
        <v>0</v>
      </c>
      <c r="M16" s="8" t="b">
        <v>0</v>
      </c>
    </row>
    <row r="17" spans="1:13" x14ac:dyDescent="0.3">
      <c r="A17" s="3">
        <v>12</v>
      </c>
      <c r="B17" s="4" t="s">
        <v>37</v>
      </c>
      <c r="C17" s="5">
        <v>87.936999999999998</v>
      </c>
      <c r="D17" s="5">
        <v>22.837</v>
      </c>
      <c r="E17" s="5">
        <v>23.427</v>
      </c>
      <c r="F17" s="5">
        <v>14.135</v>
      </c>
      <c r="G17" s="5">
        <v>27.538</v>
      </c>
      <c r="H17" s="6">
        <v>342.9</v>
      </c>
      <c r="I17" s="5">
        <v>1061.5219999999999</v>
      </c>
      <c r="J17" s="7">
        <v>1.017789351851852E-3</v>
      </c>
      <c r="K17" s="8" t="b">
        <v>0</v>
      </c>
      <c r="L17" s="8" t="b">
        <v>0</v>
      </c>
      <c r="M17" s="8" t="b">
        <v>0</v>
      </c>
    </row>
    <row r="18" spans="1:13" x14ac:dyDescent="0.3">
      <c r="A18" s="3">
        <v>13</v>
      </c>
      <c r="B18" s="4" t="s">
        <v>38</v>
      </c>
      <c r="C18" s="5">
        <v>87.888999999999996</v>
      </c>
      <c r="D18" s="5">
        <v>22.902000000000001</v>
      </c>
      <c r="E18" s="5">
        <v>23.355</v>
      </c>
      <c r="F18" s="5">
        <v>14.188000000000001</v>
      </c>
      <c r="G18" s="5">
        <v>27.443999999999999</v>
      </c>
      <c r="H18" s="6">
        <v>344</v>
      </c>
      <c r="I18" s="5">
        <v>1149.4110000000001</v>
      </c>
      <c r="J18" s="7">
        <v>1.017233796296296E-3</v>
      </c>
      <c r="K18" s="8" t="b">
        <v>0</v>
      </c>
      <c r="L18" s="8" t="b">
        <v>0</v>
      </c>
      <c r="M18" s="8" t="b">
        <v>0</v>
      </c>
    </row>
  </sheetData>
  <autoFilter ref="A5:M18" xr:uid="{00000000-0009-0000-0000-000000000000}"/>
  <mergeCells count="1">
    <mergeCell ref="A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8"/>
  <sheetViews>
    <sheetView zoomScale="80" zoomScaleNormal="80" workbookViewId="0">
      <pane ySplit="5" topLeftCell="A6" activePane="bottomLeft" state="frozen"/>
      <selection pane="bottomLeft" sqref="A1:M1"/>
    </sheetView>
  </sheetViews>
  <sheetFormatPr defaultRowHeight="14.4" x14ac:dyDescent="0.3"/>
  <cols>
    <col min="1" max="1" width="8.6640625" customWidth="1"/>
    <col min="2" max="2" width="12.6640625" customWidth="1"/>
    <col min="3" max="10" width="18.6640625" customWidth="1"/>
    <col min="11" max="13" width="15.6640625" customWidth="1"/>
  </cols>
  <sheetData>
    <row r="1" spans="1:14" ht="21" x14ac:dyDescent="0.3">
      <c r="A1" s="31" t="s">
        <v>39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3" spans="1:14" x14ac:dyDescent="0.3">
      <c r="A3" s="1" t="s">
        <v>1</v>
      </c>
      <c r="B3" s="1" t="s">
        <v>40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>
        <v>13</v>
      </c>
      <c r="I3" s="1" t="s">
        <v>8</v>
      </c>
      <c r="J3" s="1">
        <v>12</v>
      </c>
      <c r="K3" s="1" t="s">
        <v>9</v>
      </c>
      <c r="L3" s="1" t="s">
        <v>10</v>
      </c>
      <c r="M3" s="1" t="s">
        <v>11</v>
      </c>
      <c r="N3" s="1" t="s">
        <v>12</v>
      </c>
    </row>
    <row r="5" spans="1:14" x14ac:dyDescent="0.3">
      <c r="A5" s="2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  <c r="H5" s="2" t="s">
        <v>20</v>
      </c>
      <c r="I5" s="2" t="s">
        <v>21</v>
      </c>
      <c r="J5" s="2" t="s">
        <v>22</v>
      </c>
      <c r="K5" s="2" t="s">
        <v>23</v>
      </c>
      <c r="L5" s="2" t="s">
        <v>24</v>
      </c>
      <c r="M5" s="2" t="s">
        <v>25</v>
      </c>
    </row>
    <row r="6" spans="1:14" x14ac:dyDescent="0.3">
      <c r="A6" s="3">
        <v>1</v>
      </c>
      <c r="B6" s="4" t="s">
        <v>41</v>
      </c>
      <c r="C6" s="5">
        <v>94.126000000000005</v>
      </c>
      <c r="D6" s="5">
        <v>28.75</v>
      </c>
      <c r="E6" s="5">
        <v>24.221</v>
      </c>
      <c r="F6" s="5">
        <v>14.015000000000001</v>
      </c>
      <c r="G6" s="5">
        <v>27.14</v>
      </c>
      <c r="H6" s="6">
        <v>241.8</v>
      </c>
      <c r="I6" s="5">
        <v>94.126000000000005</v>
      </c>
      <c r="J6" s="7">
        <v>1.089421296296296E-3</v>
      </c>
      <c r="K6" s="8" t="b">
        <v>0</v>
      </c>
      <c r="L6" s="8" t="b">
        <v>0</v>
      </c>
      <c r="M6" s="8" t="b">
        <v>0</v>
      </c>
    </row>
    <row r="7" spans="1:14" x14ac:dyDescent="0.3">
      <c r="A7" s="3">
        <v>2</v>
      </c>
      <c r="B7" s="4" t="s">
        <v>42</v>
      </c>
      <c r="C7" s="5">
        <v>88.156000000000006</v>
      </c>
      <c r="D7" s="5">
        <v>22.978999999999999</v>
      </c>
      <c r="E7" s="5">
        <v>23.594999999999999</v>
      </c>
      <c r="F7" s="5">
        <v>14.036</v>
      </c>
      <c r="G7" s="5">
        <v>27.545999999999999</v>
      </c>
      <c r="H7" s="6">
        <v>344</v>
      </c>
      <c r="I7" s="5">
        <v>182.28200000000001</v>
      </c>
      <c r="J7" s="7">
        <v>1.0203240740740741E-3</v>
      </c>
      <c r="K7" s="8" t="b">
        <v>0</v>
      </c>
      <c r="L7" s="8" t="b">
        <v>0</v>
      </c>
      <c r="M7" s="8" t="b">
        <v>0</v>
      </c>
    </row>
    <row r="8" spans="1:14" x14ac:dyDescent="0.3">
      <c r="A8" s="3">
        <v>3</v>
      </c>
      <c r="B8" s="4" t="s">
        <v>43</v>
      </c>
      <c r="C8" s="5">
        <v>88.876999999999995</v>
      </c>
      <c r="D8" s="5">
        <v>23.012</v>
      </c>
      <c r="E8" s="5">
        <v>23.768000000000001</v>
      </c>
      <c r="F8" s="5">
        <v>14.238</v>
      </c>
      <c r="G8" s="5">
        <v>27.859000000000002</v>
      </c>
      <c r="H8" s="6">
        <v>347.3</v>
      </c>
      <c r="I8" s="5">
        <v>271.15899999999999</v>
      </c>
      <c r="J8" s="7">
        <v>1.028668981481482E-3</v>
      </c>
      <c r="K8" s="8" t="b">
        <v>0</v>
      </c>
      <c r="L8" s="8" t="b">
        <v>0</v>
      </c>
      <c r="M8" s="8" t="b">
        <v>0</v>
      </c>
    </row>
    <row r="9" spans="1:14" x14ac:dyDescent="0.3">
      <c r="A9" s="3">
        <v>4</v>
      </c>
      <c r="B9" s="4" t="s">
        <v>44</v>
      </c>
      <c r="C9" s="5">
        <v>88.186000000000007</v>
      </c>
      <c r="D9" s="5">
        <v>22.773</v>
      </c>
      <c r="E9" s="5">
        <v>23.855</v>
      </c>
      <c r="F9" s="5">
        <v>14.157</v>
      </c>
      <c r="G9" s="5">
        <v>27.401</v>
      </c>
      <c r="H9" s="6">
        <v>345</v>
      </c>
      <c r="I9" s="5">
        <v>359.34500000000003</v>
      </c>
      <c r="J9" s="7">
        <v>1.020671296296296E-3</v>
      </c>
      <c r="K9" s="8" t="b">
        <v>0</v>
      </c>
      <c r="L9" s="8" t="b">
        <v>0</v>
      </c>
      <c r="M9" s="8" t="b">
        <v>0</v>
      </c>
    </row>
    <row r="10" spans="1:14" x14ac:dyDescent="0.3">
      <c r="A10" s="3">
        <v>5</v>
      </c>
      <c r="B10" s="4" t="s">
        <v>45</v>
      </c>
      <c r="C10" s="5">
        <v>87.777000000000001</v>
      </c>
      <c r="D10" s="5">
        <v>22.765999999999998</v>
      </c>
      <c r="E10" s="5">
        <v>23.516999999999999</v>
      </c>
      <c r="F10" s="5">
        <v>14.234</v>
      </c>
      <c r="G10" s="5">
        <v>27.26</v>
      </c>
      <c r="H10" s="6">
        <v>347.3</v>
      </c>
      <c r="I10" s="5">
        <v>447.12200000000001</v>
      </c>
      <c r="J10" s="7">
        <v>1.0159374999999999E-3</v>
      </c>
      <c r="K10" s="8" t="b">
        <v>0</v>
      </c>
      <c r="L10" s="8" t="b">
        <v>0</v>
      </c>
      <c r="M10" s="8" t="b">
        <v>0</v>
      </c>
    </row>
    <row r="11" spans="1:14" x14ac:dyDescent="0.3">
      <c r="A11" s="3">
        <v>6</v>
      </c>
      <c r="B11" s="4" t="s">
        <v>46</v>
      </c>
      <c r="C11" s="5">
        <v>87.477999999999994</v>
      </c>
      <c r="D11" s="5">
        <v>22.745000000000001</v>
      </c>
      <c r="E11" s="5">
        <v>23.466000000000001</v>
      </c>
      <c r="F11" s="5">
        <v>14.009</v>
      </c>
      <c r="G11" s="5">
        <v>27.257999999999999</v>
      </c>
      <c r="H11" s="6">
        <v>346.1</v>
      </c>
      <c r="I11" s="5">
        <v>534.6</v>
      </c>
      <c r="J11" s="7">
        <v>1.0124768518518521E-3</v>
      </c>
      <c r="K11" s="8" t="b">
        <v>0</v>
      </c>
      <c r="L11" s="8" t="b">
        <v>0</v>
      </c>
      <c r="M11" s="8" t="b">
        <v>0</v>
      </c>
    </row>
    <row r="12" spans="1:14" x14ac:dyDescent="0.3">
      <c r="A12" s="3">
        <v>7</v>
      </c>
      <c r="B12" s="4" t="s">
        <v>47</v>
      </c>
      <c r="C12" s="5">
        <v>87.6</v>
      </c>
      <c r="D12" s="5">
        <v>22.712</v>
      </c>
      <c r="E12" s="5">
        <v>23.542000000000002</v>
      </c>
      <c r="F12" s="5">
        <v>14.085000000000001</v>
      </c>
      <c r="G12" s="5">
        <v>27.260999999999999</v>
      </c>
      <c r="H12" s="6">
        <v>348.4</v>
      </c>
      <c r="I12" s="5">
        <v>622.20000000000005</v>
      </c>
      <c r="J12" s="7">
        <v>1.013888888888889E-3</v>
      </c>
      <c r="K12" s="8" t="b">
        <v>0</v>
      </c>
      <c r="L12" s="8" t="b">
        <v>0</v>
      </c>
      <c r="M12" s="8" t="b">
        <v>0</v>
      </c>
    </row>
    <row r="13" spans="1:14" x14ac:dyDescent="0.3">
      <c r="A13" s="3">
        <v>8</v>
      </c>
      <c r="B13" s="4" t="s">
        <v>48</v>
      </c>
      <c r="C13" s="5">
        <v>87.882999999999996</v>
      </c>
      <c r="D13" s="5">
        <v>22.78</v>
      </c>
      <c r="E13" s="5">
        <v>23.704000000000001</v>
      </c>
      <c r="F13" s="5">
        <v>14.121</v>
      </c>
      <c r="G13" s="5">
        <v>27.277999999999999</v>
      </c>
      <c r="H13" s="6">
        <v>345</v>
      </c>
      <c r="I13" s="5">
        <v>710.08299999999997</v>
      </c>
      <c r="J13" s="7">
        <v>1.017164351851852E-3</v>
      </c>
      <c r="K13" s="8" t="b">
        <v>0</v>
      </c>
      <c r="L13" s="8" t="b">
        <v>0</v>
      </c>
      <c r="M13" s="8" t="b">
        <v>0</v>
      </c>
    </row>
    <row r="14" spans="1:14" x14ac:dyDescent="0.3">
      <c r="A14" s="3">
        <v>9</v>
      </c>
      <c r="B14" s="4" t="s">
        <v>49</v>
      </c>
      <c r="C14" s="5">
        <v>87.826999999999998</v>
      </c>
      <c r="D14" s="5">
        <v>22.783000000000001</v>
      </c>
      <c r="E14" s="5">
        <v>23.637</v>
      </c>
      <c r="F14" s="5">
        <v>14.066000000000001</v>
      </c>
      <c r="G14" s="5">
        <v>27.341000000000001</v>
      </c>
      <c r="H14" s="6">
        <v>348.4</v>
      </c>
      <c r="I14" s="5">
        <v>797.91</v>
      </c>
      <c r="J14" s="7">
        <v>1.0165162037037039E-3</v>
      </c>
      <c r="K14" s="8" t="b">
        <v>0</v>
      </c>
      <c r="L14" s="8" t="b">
        <v>0</v>
      </c>
      <c r="M14" s="8" t="b">
        <v>0</v>
      </c>
    </row>
    <row r="15" spans="1:14" x14ac:dyDescent="0.3">
      <c r="A15" s="3">
        <v>10</v>
      </c>
      <c r="B15" s="4" t="s">
        <v>50</v>
      </c>
      <c r="C15" s="5">
        <v>87.944000000000003</v>
      </c>
      <c r="D15" s="5">
        <v>23.007999999999999</v>
      </c>
      <c r="E15" s="5">
        <v>23.614999999999998</v>
      </c>
      <c r="F15" s="5">
        <v>14.074</v>
      </c>
      <c r="G15" s="5">
        <v>27.247</v>
      </c>
      <c r="H15" s="6">
        <v>330.3</v>
      </c>
      <c r="I15" s="5">
        <v>885.85400000000004</v>
      </c>
      <c r="J15" s="7">
        <v>1.0178703703703699E-3</v>
      </c>
      <c r="K15" s="8" t="b">
        <v>0</v>
      </c>
      <c r="L15" s="8" t="b">
        <v>0</v>
      </c>
      <c r="M15" s="8" t="b">
        <v>0</v>
      </c>
    </row>
    <row r="16" spans="1:14" x14ac:dyDescent="0.3">
      <c r="A16" s="3">
        <v>11</v>
      </c>
      <c r="B16" s="4" t="s">
        <v>51</v>
      </c>
      <c r="C16" s="5">
        <v>88.006</v>
      </c>
      <c r="D16" s="5">
        <v>22.957999999999998</v>
      </c>
      <c r="E16" s="5">
        <v>23.613</v>
      </c>
      <c r="F16" s="5">
        <v>14.03</v>
      </c>
      <c r="G16" s="5">
        <v>27.405000000000001</v>
      </c>
      <c r="H16" s="6">
        <v>342.9</v>
      </c>
      <c r="I16" s="5">
        <v>973.86</v>
      </c>
      <c r="J16" s="7">
        <v>1.0185879629629629E-3</v>
      </c>
      <c r="K16" s="8" t="b">
        <v>0</v>
      </c>
      <c r="L16" s="8" t="b">
        <v>0</v>
      </c>
      <c r="M16" s="8" t="b">
        <v>0</v>
      </c>
    </row>
    <row r="17" spans="1:13" x14ac:dyDescent="0.3">
      <c r="A17" s="3">
        <v>12</v>
      </c>
      <c r="B17" s="4" t="s">
        <v>52</v>
      </c>
      <c r="C17" s="5">
        <v>87.927999999999997</v>
      </c>
      <c r="D17" s="5">
        <v>22.811</v>
      </c>
      <c r="E17" s="5">
        <v>23.655999999999999</v>
      </c>
      <c r="F17" s="5">
        <v>14.035</v>
      </c>
      <c r="G17" s="5">
        <v>27.425999999999998</v>
      </c>
      <c r="H17" s="6">
        <v>349.5</v>
      </c>
      <c r="I17" s="5">
        <v>1061.788</v>
      </c>
      <c r="J17" s="7">
        <v>1.0176851851851851E-3</v>
      </c>
      <c r="K17" s="8" t="b">
        <v>0</v>
      </c>
      <c r="L17" s="8" t="b">
        <v>0</v>
      </c>
      <c r="M17" s="8" t="b">
        <v>0</v>
      </c>
    </row>
    <row r="18" spans="1:13" x14ac:dyDescent="0.3">
      <c r="A18" s="3">
        <v>13</v>
      </c>
      <c r="B18" s="4" t="s">
        <v>53</v>
      </c>
      <c r="C18" s="5">
        <v>87.945999999999998</v>
      </c>
      <c r="D18" s="5">
        <v>22.844000000000001</v>
      </c>
      <c r="E18" s="5">
        <v>23.605</v>
      </c>
      <c r="F18" s="5">
        <v>13.987</v>
      </c>
      <c r="G18" s="5">
        <v>27.51</v>
      </c>
      <c r="H18" s="6">
        <v>346.1</v>
      </c>
      <c r="I18" s="5">
        <v>1149.7339999999999</v>
      </c>
      <c r="J18" s="7">
        <v>1.017893518518518E-3</v>
      </c>
      <c r="K18" s="8" t="b">
        <v>0</v>
      </c>
      <c r="L18" s="8" t="b">
        <v>0</v>
      </c>
      <c r="M18" s="8" t="b">
        <v>0</v>
      </c>
    </row>
  </sheetData>
  <autoFilter ref="A5:M18" xr:uid="{00000000-0009-0000-0000-000001000000}"/>
  <mergeCells count="1">
    <mergeCell ref="A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8"/>
  <sheetViews>
    <sheetView zoomScale="80" zoomScaleNormal="80" workbookViewId="0">
      <pane ySplit="5" topLeftCell="A6" activePane="bottomLeft" state="frozen"/>
      <selection pane="bottomLeft" sqref="A1:M1"/>
    </sheetView>
  </sheetViews>
  <sheetFormatPr defaultRowHeight="14.4" x14ac:dyDescent="0.3"/>
  <cols>
    <col min="1" max="1" width="8.6640625" customWidth="1"/>
    <col min="2" max="2" width="12.6640625" customWidth="1"/>
    <col min="3" max="10" width="18.6640625" customWidth="1"/>
    <col min="11" max="13" width="15.6640625" customWidth="1"/>
  </cols>
  <sheetData>
    <row r="1" spans="1:14" ht="21" x14ac:dyDescent="0.3">
      <c r="A1" s="31" t="s">
        <v>54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3" spans="1:14" x14ac:dyDescent="0.3">
      <c r="A3" s="1" t="s">
        <v>1</v>
      </c>
      <c r="B3" s="1" t="s">
        <v>55</v>
      </c>
      <c r="C3" s="1" t="s">
        <v>3</v>
      </c>
      <c r="D3" s="1" t="s">
        <v>4</v>
      </c>
      <c r="E3" s="1" t="s">
        <v>5</v>
      </c>
      <c r="F3" s="1" t="s">
        <v>56</v>
      </c>
      <c r="G3" s="1" t="s">
        <v>7</v>
      </c>
      <c r="H3" s="1">
        <v>13</v>
      </c>
      <c r="I3" s="1" t="s">
        <v>8</v>
      </c>
      <c r="J3" s="1">
        <v>12</v>
      </c>
      <c r="K3" s="1" t="s">
        <v>9</v>
      </c>
      <c r="L3" s="1" t="s">
        <v>10</v>
      </c>
      <c r="M3" s="1" t="s">
        <v>11</v>
      </c>
      <c r="N3" s="1" t="s">
        <v>12</v>
      </c>
    </row>
    <row r="5" spans="1:14" x14ac:dyDescent="0.3">
      <c r="A5" s="2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  <c r="H5" s="2" t="s">
        <v>20</v>
      </c>
      <c r="I5" s="2" t="s">
        <v>21</v>
      </c>
      <c r="J5" s="2" t="s">
        <v>22</v>
      </c>
      <c r="K5" s="2" t="s">
        <v>23</v>
      </c>
      <c r="L5" s="2" t="s">
        <v>24</v>
      </c>
      <c r="M5" s="2" t="s">
        <v>25</v>
      </c>
    </row>
    <row r="6" spans="1:14" x14ac:dyDescent="0.3">
      <c r="A6" s="3">
        <v>1</v>
      </c>
      <c r="B6" s="4" t="s">
        <v>57</v>
      </c>
      <c r="C6" s="5">
        <v>95.38</v>
      </c>
      <c r="D6" s="5">
        <v>29.370999999999999</v>
      </c>
      <c r="E6" s="5">
        <v>24.344000000000001</v>
      </c>
      <c r="F6" s="5">
        <v>14.224</v>
      </c>
      <c r="G6" s="5">
        <v>27.440999999999999</v>
      </c>
      <c r="H6" s="6">
        <v>247.3</v>
      </c>
      <c r="I6" s="5">
        <v>95.38</v>
      </c>
      <c r="J6" s="7">
        <v>1.103935185185185E-3</v>
      </c>
      <c r="K6" s="8" t="b">
        <v>0</v>
      </c>
      <c r="L6" s="8" t="b">
        <v>0</v>
      </c>
      <c r="M6" s="8" t="b">
        <v>0</v>
      </c>
    </row>
    <row r="7" spans="1:14" x14ac:dyDescent="0.3">
      <c r="A7" s="3">
        <v>2</v>
      </c>
      <c r="B7" s="4" t="s">
        <v>58</v>
      </c>
      <c r="C7" s="5">
        <v>88.501999999999995</v>
      </c>
      <c r="D7" s="5">
        <v>23.312999999999999</v>
      </c>
      <c r="E7" s="5">
        <v>23.895</v>
      </c>
      <c r="F7" s="5">
        <v>14.090999999999999</v>
      </c>
      <c r="G7" s="5">
        <v>27.202999999999999</v>
      </c>
      <c r="H7" s="6">
        <v>331.3</v>
      </c>
      <c r="I7" s="5">
        <v>183.88200000000001</v>
      </c>
      <c r="J7" s="7">
        <v>1.0243287037037039E-3</v>
      </c>
      <c r="K7" s="8" t="b">
        <v>0</v>
      </c>
      <c r="L7" s="8" t="b">
        <v>0</v>
      </c>
      <c r="M7" s="8" t="b">
        <v>0</v>
      </c>
    </row>
    <row r="8" spans="1:14" x14ac:dyDescent="0.3">
      <c r="A8" s="3">
        <v>3</v>
      </c>
      <c r="B8" s="4" t="s">
        <v>59</v>
      </c>
      <c r="C8" s="5">
        <v>88.007999999999996</v>
      </c>
      <c r="D8" s="5">
        <v>23.033000000000001</v>
      </c>
      <c r="E8" s="5">
        <v>23.602</v>
      </c>
      <c r="F8" s="5">
        <v>14.08</v>
      </c>
      <c r="G8" s="5">
        <v>27.292999999999999</v>
      </c>
      <c r="H8" s="6">
        <v>347.3</v>
      </c>
      <c r="I8" s="5">
        <v>271.89</v>
      </c>
      <c r="J8" s="7">
        <v>1.018611111111111E-3</v>
      </c>
      <c r="K8" s="8" t="b">
        <v>0</v>
      </c>
      <c r="L8" s="8" t="b">
        <v>0</v>
      </c>
      <c r="M8" s="8" t="b">
        <v>0</v>
      </c>
    </row>
    <row r="9" spans="1:14" x14ac:dyDescent="0.3">
      <c r="A9" s="3">
        <v>4</v>
      </c>
      <c r="B9" s="4" t="s">
        <v>60</v>
      </c>
      <c r="C9" s="5">
        <v>88.015000000000001</v>
      </c>
      <c r="D9" s="5">
        <v>23.001999999999999</v>
      </c>
      <c r="E9" s="5">
        <v>23.591999999999999</v>
      </c>
      <c r="F9" s="5">
        <v>14.103999999999999</v>
      </c>
      <c r="G9" s="5">
        <v>27.317</v>
      </c>
      <c r="H9" s="6">
        <v>334.4</v>
      </c>
      <c r="I9" s="5">
        <v>359.90499999999997</v>
      </c>
      <c r="J9" s="7">
        <v>1.01869212962963E-3</v>
      </c>
      <c r="K9" s="8" t="b">
        <v>0</v>
      </c>
      <c r="L9" s="8" t="b">
        <v>0</v>
      </c>
      <c r="M9" s="8" t="b">
        <v>0</v>
      </c>
    </row>
    <row r="10" spans="1:14" x14ac:dyDescent="0.3">
      <c r="A10" s="3">
        <v>5</v>
      </c>
      <c r="B10" s="4" t="s">
        <v>61</v>
      </c>
      <c r="C10" s="5">
        <v>87.900999999999996</v>
      </c>
      <c r="D10" s="5">
        <v>22.934000000000001</v>
      </c>
      <c r="E10" s="5">
        <v>23.603999999999999</v>
      </c>
      <c r="F10" s="5">
        <v>14.09</v>
      </c>
      <c r="G10" s="5">
        <v>27.273</v>
      </c>
      <c r="H10" s="6">
        <v>344</v>
      </c>
      <c r="I10" s="5">
        <v>447.80599999999998</v>
      </c>
      <c r="J10" s="7">
        <v>1.017372685185185E-3</v>
      </c>
      <c r="K10" s="8" t="b">
        <v>0</v>
      </c>
      <c r="L10" s="8" t="b">
        <v>0</v>
      </c>
      <c r="M10" s="8" t="b">
        <v>0</v>
      </c>
    </row>
    <row r="11" spans="1:14" x14ac:dyDescent="0.3">
      <c r="A11" s="3">
        <v>6</v>
      </c>
      <c r="B11" s="4" t="s">
        <v>62</v>
      </c>
      <c r="C11" s="5">
        <v>88.045000000000002</v>
      </c>
      <c r="D11" s="5">
        <v>22.968</v>
      </c>
      <c r="E11" s="5">
        <v>23.515999999999998</v>
      </c>
      <c r="F11" s="5">
        <v>14.06</v>
      </c>
      <c r="G11" s="5">
        <v>27.501000000000001</v>
      </c>
      <c r="H11" s="6">
        <v>332.3</v>
      </c>
      <c r="I11" s="5">
        <v>535.851</v>
      </c>
      <c r="J11" s="7">
        <v>1.0190393518518519E-3</v>
      </c>
      <c r="K11" s="8" t="b">
        <v>0</v>
      </c>
      <c r="L11" s="8" t="b">
        <v>0</v>
      </c>
      <c r="M11" s="8" t="b">
        <v>0</v>
      </c>
    </row>
    <row r="12" spans="1:14" x14ac:dyDescent="0.3">
      <c r="A12" s="3">
        <v>7</v>
      </c>
      <c r="B12" s="4" t="s">
        <v>63</v>
      </c>
      <c r="C12" s="5">
        <v>87.713999999999999</v>
      </c>
      <c r="D12" s="5">
        <v>22.835000000000001</v>
      </c>
      <c r="E12" s="5">
        <v>23.492999999999999</v>
      </c>
      <c r="F12" s="5">
        <v>14.074</v>
      </c>
      <c r="G12" s="5">
        <v>27.312000000000001</v>
      </c>
      <c r="H12" s="6">
        <v>344</v>
      </c>
      <c r="I12" s="5">
        <v>623.56500000000005</v>
      </c>
      <c r="J12" s="7">
        <v>1.015208333333333E-3</v>
      </c>
      <c r="K12" s="8" t="b">
        <v>0</v>
      </c>
      <c r="L12" s="8" t="b">
        <v>0</v>
      </c>
      <c r="M12" s="8" t="b">
        <v>0</v>
      </c>
    </row>
    <row r="13" spans="1:14" x14ac:dyDescent="0.3">
      <c r="A13" s="3">
        <v>8</v>
      </c>
      <c r="B13" s="4" t="s">
        <v>53</v>
      </c>
      <c r="C13" s="5">
        <v>87.945999999999998</v>
      </c>
      <c r="D13" s="5">
        <v>22.888999999999999</v>
      </c>
      <c r="E13" s="5">
        <v>23.547999999999998</v>
      </c>
      <c r="F13" s="5">
        <v>14.151999999999999</v>
      </c>
      <c r="G13" s="5">
        <v>27.356999999999999</v>
      </c>
      <c r="H13" s="6">
        <v>345</v>
      </c>
      <c r="I13" s="5">
        <v>711.51099999999997</v>
      </c>
      <c r="J13" s="7">
        <v>1.017893518518518E-3</v>
      </c>
      <c r="K13" s="8" t="b">
        <v>0</v>
      </c>
      <c r="L13" s="8" t="b">
        <v>0</v>
      </c>
      <c r="M13" s="8" t="b">
        <v>0</v>
      </c>
    </row>
    <row r="14" spans="1:14" x14ac:dyDescent="0.3">
      <c r="A14" s="3">
        <v>9</v>
      </c>
      <c r="B14" s="4" t="s">
        <v>64</v>
      </c>
      <c r="C14" s="5">
        <v>87.796999999999997</v>
      </c>
      <c r="D14" s="5">
        <v>22.818999999999999</v>
      </c>
      <c r="E14" s="5">
        <v>23.454000000000001</v>
      </c>
      <c r="F14" s="5">
        <v>14.180999999999999</v>
      </c>
      <c r="G14" s="5">
        <v>27.343</v>
      </c>
      <c r="H14" s="6">
        <v>342.9</v>
      </c>
      <c r="I14" s="5">
        <v>799.30799999999999</v>
      </c>
      <c r="J14" s="7">
        <v>1.016168981481481E-3</v>
      </c>
      <c r="K14" s="8" t="b">
        <v>0</v>
      </c>
      <c r="L14" s="8" t="b">
        <v>0</v>
      </c>
      <c r="M14" s="8" t="b">
        <v>0</v>
      </c>
    </row>
    <row r="15" spans="1:14" x14ac:dyDescent="0.3">
      <c r="A15" s="3">
        <v>10</v>
      </c>
      <c r="B15" s="4" t="s">
        <v>65</v>
      </c>
      <c r="C15" s="5">
        <v>87.632999999999996</v>
      </c>
      <c r="D15" s="5">
        <v>22.83</v>
      </c>
      <c r="E15" s="5">
        <v>23.494</v>
      </c>
      <c r="F15" s="5">
        <v>14.013999999999999</v>
      </c>
      <c r="G15" s="5">
        <v>27.295000000000002</v>
      </c>
      <c r="H15" s="6">
        <v>344</v>
      </c>
      <c r="I15" s="5">
        <v>886.94100000000003</v>
      </c>
      <c r="J15" s="7">
        <v>1.014270833333333E-3</v>
      </c>
      <c r="K15" s="8" t="b">
        <v>0</v>
      </c>
      <c r="L15" s="8" t="b">
        <v>0</v>
      </c>
      <c r="M15" s="8" t="b">
        <v>0</v>
      </c>
    </row>
    <row r="16" spans="1:14" x14ac:dyDescent="0.3">
      <c r="A16" s="3">
        <v>11</v>
      </c>
      <c r="B16" s="4" t="s">
        <v>66</v>
      </c>
      <c r="C16" s="5">
        <v>87.674000000000007</v>
      </c>
      <c r="D16" s="5">
        <v>22.852</v>
      </c>
      <c r="E16" s="5">
        <v>23.381</v>
      </c>
      <c r="F16" s="5">
        <v>14.082000000000001</v>
      </c>
      <c r="G16" s="5">
        <v>27.359000000000002</v>
      </c>
      <c r="H16" s="6">
        <v>346.1</v>
      </c>
      <c r="I16" s="5">
        <v>974.61500000000001</v>
      </c>
      <c r="J16" s="7">
        <v>1.0147453703703701E-3</v>
      </c>
      <c r="K16" s="8" t="b">
        <v>0</v>
      </c>
      <c r="L16" s="8" t="b">
        <v>0</v>
      </c>
      <c r="M16" s="8" t="b">
        <v>0</v>
      </c>
    </row>
    <row r="17" spans="1:13" x14ac:dyDescent="0.3">
      <c r="A17" s="3">
        <v>12</v>
      </c>
      <c r="B17" s="4" t="s">
        <v>67</v>
      </c>
      <c r="C17" s="5">
        <v>87.611999999999995</v>
      </c>
      <c r="D17" s="5">
        <v>22.766999999999999</v>
      </c>
      <c r="E17" s="5">
        <v>23.465</v>
      </c>
      <c r="F17" s="5">
        <v>14.093999999999999</v>
      </c>
      <c r="G17" s="5">
        <v>27.286000000000001</v>
      </c>
      <c r="H17" s="6">
        <v>346.1</v>
      </c>
      <c r="I17" s="5">
        <v>1062.2270000000001</v>
      </c>
      <c r="J17" s="7">
        <v>1.014027777777778E-3</v>
      </c>
      <c r="K17" s="8" t="b">
        <v>0</v>
      </c>
      <c r="L17" s="8" t="b">
        <v>0</v>
      </c>
      <c r="M17" s="8" t="b">
        <v>0</v>
      </c>
    </row>
    <row r="18" spans="1:13" x14ac:dyDescent="0.3">
      <c r="A18" s="3">
        <v>13</v>
      </c>
      <c r="B18" s="4" t="s">
        <v>68</v>
      </c>
      <c r="C18" s="5">
        <v>87.774000000000001</v>
      </c>
      <c r="D18" s="5">
        <v>22.841000000000001</v>
      </c>
      <c r="E18" s="5">
        <v>23.489000000000001</v>
      </c>
      <c r="F18" s="5">
        <v>14.099</v>
      </c>
      <c r="G18" s="5">
        <v>27.344999999999999</v>
      </c>
      <c r="H18" s="6">
        <v>348.4</v>
      </c>
      <c r="I18" s="5">
        <v>1150.001</v>
      </c>
      <c r="J18" s="7">
        <v>1.0159027777777779E-3</v>
      </c>
      <c r="K18" s="8" t="b">
        <v>0</v>
      </c>
      <c r="L18" s="8" t="b">
        <v>0</v>
      </c>
      <c r="M18" s="8" t="b">
        <v>0</v>
      </c>
    </row>
  </sheetData>
  <autoFilter ref="A5:M18" xr:uid="{00000000-0009-0000-0000-000002000000}"/>
  <mergeCells count="1">
    <mergeCell ref="A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8"/>
  <sheetViews>
    <sheetView zoomScale="80" zoomScaleNormal="80" workbookViewId="0">
      <pane ySplit="5" topLeftCell="A6" activePane="bottomLeft" state="frozen"/>
      <selection pane="bottomLeft" sqref="A1:M1"/>
    </sheetView>
  </sheetViews>
  <sheetFormatPr defaultRowHeight="14.4" x14ac:dyDescent="0.3"/>
  <cols>
    <col min="1" max="1" width="8.6640625" customWidth="1"/>
    <col min="2" max="2" width="12.6640625" customWidth="1"/>
    <col min="3" max="10" width="18.6640625" customWidth="1"/>
    <col min="11" max="13" width="15.6640625" customWidth="1"/>
  </cols>
  <sheetData>
    <row r="1" spans="1:14" ht="21" x14ac:dyDescent="0.3">
      <c r="A1" s="31" t="s">
        <v>69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3" spans="1:14" x14ac:dyDescent="0.3">
      <c r="A3" s="1" t="s">
        <v>1</v>
      </c>
      <c r="B3" s="1" t="s">
        <v>70</v>
      </c>
      <c r="C3" s="1" t="s">
        <v>3</v>
      </c>
      <c r="D3" s="1" t="s">
        <v>71</v>
      </c>
      <c r="E3" s="1" t="s">
        <v>5</v>
      </c>
      <c r="F3" s="1" t="s">
        <v>56</v>
      </c>
      <c r="G3" s="1" t="s">
        <v>7</v>
      </c>
      <c r="H3" s="1">
        <v>13</v>
      </c>
      <c r="I3" s="1" t="s">
        <v>8</v>
      </c>
      <c r="J3" s="1">
        <v>12</v>
      </c>
      <c r="K3" s="1" t="s">
        <v>9</v>
      </c>
      <c r="L3" s="1" t="s">
        <v>10</v>
      </c>
      <c r="M3" s="1" t="s">
        <v>11</v>
      </c>
      <c r="N3" s="1" t="s">
        <v>12</v>
      </c>
    </row>
    <row r="5" spans="1:14" x14ac:dyDescent="0.3">
      <c r="A5" s="2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  <c r="H5" s="2" t="s">
        <v>20</v>
      </c>
      <c r="I5" s="2" t="s">
        <v>21</v>
      </c>
      <c r="J5" s="2" t="s">
        <v>22</v>
      </c>
      <c r="K5" s="2" t="s">
        <v>23</v>
      </c>
      <c r="L5" s="2" t="s">
        <v>24</v>
      </c>
      <c r="M5" s="2" t="s">
        <v>25</v>
      </c>
    </row>
    <row r="6" spans="1:14" x14ac:dyDescent="0.3">
      <c r="A6" s="3">
        <v>1</v>
      </c>
      <c r="B6" s="4" t="s">
        <v>72</v>
      </c>
      <c r="C6" s="5">
        <v>96.138999999999996</v>
      </c>
      <c r="D6" s="5">
        <v>29.736000000000001</v>
      </c>
      <c r="E6" s="5">
        <v>24.561</v>
      </c>
      <c r="F6" s="5">
        <v>14.37</v>
      </c>
      <c r="G6" s="5">
        <v>27.472000000000001</v>
      </c>
      <c r="H6" s="6">
        <v>252.5</v>
      </c>
      <c r="I6" s="5">
        <v>96.138999999999996</v>
      </c>
      <c r="J6" s="7">
        <v>1.1127199074074071E-3</v>
      </c>
      <c r="K6" s="8" t="b">
        <v>0</v>
      </c>
      <c r="L6" s="8" t="b">
        <v>0</v>
      </c>
      <c r="M6" s="8" t="b">
        <v>0</v>
      </c>
    </row>
    <row r="7" spans="1:14" x14ac:dyDescent="0.3">
      <c r="A7" s="3">
        <v>2</v>
      </c>
      <c r="B7" s="4" t="s">
        <v>50</v>
      </c>
      <c r="C7" s="5">
        <v>87.944000000000003</v>
      </c>
      <c r="D7" s="5">
        <v>23.026</v>
      </c>
      <c r="E7" s="5">
        <v>23.611999999999998</v>
      </c>
      <c r="F7" s="5">
        <v>14.106999999999999</v>
      </c>
      <c r="G7" s="5">
        <v>27.199000000000002</v>
      </c>
      <c r="H7" s="6">
        <v>348.4</v>
      </c>
      <c r="I7" s="5">
        <v>184.083</v>
      </c>
      <c r="J7" s="7">
        <v>1.0178703703703699E-3</v>
      </c>
      <c r="K7" s="8" t="b">
        <v>0</v>
      </c>
      <c r="L7" s="8" t="b">
        <v>0</v>
      </c>
      <c r="M7" s="8" t="b">
        <v>0</v>
      </c>
    </row>
    <row r="8" spans="1:14" x14ac:dyDescent="0.3">
      <c r="A8" s="3">
        <v>3</v>
      </c>
      <c r="B8" s="4" t="s">
        <v>73</v>
      </c>
      <c r="C8" s="5">
        <v>88.28</v>
      </c>
      <c r="D8" s="5">
        <v>23.17</v>
      </c>
      <c r="E8" s="5">
        <v>23.670999999999999</v>
      </c>
      <c r="F8" s="5">
        <v>14.172000000000001</v>
      </c>
      <c r="G8" s="5">
        <v>27.266999999999999</v>
      </c>
      <c r="H8" s="6">
        <v>335.4</v>
      </c>
      <c r="I8" s="5">
        <v>272.363</v>
      </c>
      <c r="J8" s="7">
        <v>1.0217592592592589E-3</v>
      </c>
      <c r="K8" s="8" t="b">
        <v>0</v>
      </c>
      <c r="L8" s="8" t="b">
        <v>0</v>
      </c>
      <c r="M8" s="8" t="b">
        <v>0</v>
      </c>
    </row>
    <row r="9" spans="1:14" x14ac:dyDescent="0.3">
      <c r="A9" s="3">
        <v>4</v>
      </c>
      <c r="B9" s="4" t="s">
        <v>74</v>
      </c>
      <c r="C9" s="5">
        <v>88.254999999999995</v>
      </c>
      <c r="D9" s="5">
        <v>22.913</v>
      </c>
      <c r="E9" s="5">
        <v>23.576000000000001</v>
      </c>
      <c r="F9" s="5">
        <v>14.302</v>
      </c>
      <c r="G9" s="5">
        <v>27.463999999999999</v>
      </c>
      <c r="H9" s="6">
        <v>342.9</v>
      </c>
      <c r="I9" s="5">
        <v>360.61799999999999</v>
      </c>
      <c r="J9" s="7">
        <v>1.0214699074074069E-3</v>
      </c>
      <c r="K9" s="8" t="b">
        <v>0</v>
      </c>
      <c r="L9" s="8" t="b">
        <v>0</v>
      </c>
      <c r="M9" s="8" t="b">
        <v>0</v>
      </c>
    </row>
    <row r="10" spans="1:14" x14ac:dyDescent="0.3">
      <c r="A10" s="3">
        <v>5</v>
      </c>
      <c r="B10" s="4" t="s">
        <v>75</v>
      </c>
      <c r="C10" s="5">
        <v>88.126999999999995</v>
      </c>
      <c r="D10" s="5">
        <v>22.914000000000001</v>
      </c>
      <c r="E10" s="5">
        <v>23.626999999999999</v>
      </c>
      <c r="F10" s="5">
        <v>14.145</v>
      </c>
      <c r="G10" s="5">
        <v>27.440999999999999</v>
      </c>
      <c r="H10" s="6">
        <v>350.6</v>
      </c>
      <c r="I10" s="5">
        <v>448.745</v>
      </c>
      <c r="J10" s="7">
        <v>1.0199884259259259E-3</v>
      </c>
      <c r="K10" s="8" t="b">
        <v>0</v>
      </c>
      <c r="L10" s="8" t="b">
        <v>0</v>
      </c>
      <c r="M10" s="8" t="b">
        <v>0</v>
      </c>
    </row>
    <row r="11" spans="1:14" x14ac:dyDescent="0.3">
      <c r="A11" s="3">
        <v>6</v>
      </c>
      <c r="B11" s="4" t="s">
        <v>76</v>
      </c>
      <c r="C11" s="5">
        <v>87.683999999999997</v>
      </c>
      <c r="D11" s="5">
        <v>22.885000000000002</v>
      </c>
      <c r="E11" s="5">
        <v>23.423999999999999</v>
      </c>
      <c r="F11" s="5">
        <v>14.124000000000001</v>
      </c>
      <c r="G11" s="5">
        <v>27.251000000000001</v>
      </c>
      <c r="H11" s="6">
        <v>351.8</v>
      </c>
      <c r="I11" s="5">
        <v>536.42899999999997</v>
      </c>
      <c r="J11" s="7">
        <v>1.0148611111111109E-3</v>
      </c>
      <c r="K11" s="8" t="b">
        <v>0</v>
      </c>
      <c r="L11" s="8" t="b">
        <v>0</v>
      </c>
      <c r="M11" s="8" t="b">
        <v>0</v>
      </c>
    </row>
    <row r="12" spans="1:14" x14ac:dyDescent="0.3">
      <c r="A12" s="3">
        <v>7</v>
      </c>
      <c r="B12" s="4" t="s">
        <v>77</v>
      </c>
      <c r="C12" s="5">
        <v>87.748000000000005</v>
      </c>
      <c r="D12" s="5">
        <v>22.873999999999999</v>
      </c>
      <c r="E12" s="5">
        <v>23.422000000000001</v>
      </c>
      <c r="F12" s="5">
        <v>14.121</v>
      </c>
      <c r="G12" s="5">
        <v>27.331</v>
      </c>
      <c r="H12" s="6">
        <v>349.5</v>
      </c>
      <c r="I12" s="5">
        <v>624.17700000000002</v>
      </c>
      <c r="J12" s="7">
        <v>1.015601851851852E-3</v>
      </c>
      <c r="K12" s="8" t="b">
        <v>0</v>
      </c>
      <c r="L12" s="8" t="b">
        <v>0</v>
      </c>
      <c r="M12" s="8" t="b">
        <v>0</v>
      </c>
    </row>
    <row r="13" spans="1:14" x14ac:dyDescent="0.3">
      <c r="A13" s="3">
        <v>8</v>
      </c>
      <c r="B13" s="4" t="s">
        <v>78</v>
      </c>
      <c r="C13" s="5">
        <v>87.912999999999997</v>
      </c>
      <c r="D13" s="5">
        <v>22.914000000000001</v>
      </c>
      <c r="E13" s="5">
        <v>23.527000000000001</v>
      </c>
      <c r="F13" s="5">
        <v>14.173999999999999</v>
      </c>
      <c r="G13" s="5">
        <v>27.297999999999998</v>
      </c>
      <c r="H13" s="6">
        <v>349.5</v>
      </c>
      <c r="I13" s="5">
        <v>712.09</v>
      </c>
      <c r="J13" s="7">
        <v>1.0175115740740741E-3</v>
      </c>
      <c r="K13" s="8" t="b">
        <v>0</v>
      </c>
      <c r="L13" s="8" t="b">
        <v>0</v>
      </c>
      <c r="M13" s="8" t="b">
        <v>0</v>
      </c>
    </row>
    <row r="14" spans="1:14" x14ac:dyDescent="0.3">
      <c r="A14" s="3">
        <v>9</v>
      </c>
      <c r="B14" s="4" t="s">
        <v>79</v>
      </c>
      <c r="C14" s="5">
        <v>87.784999999999997</v>
      </c>
      <c r="D14" s="5">
        <v>22.949000000000002</v>
      </c>
      <c r="E14" s="5">
        <v>23.446000000000002</v>
      </c>
      <c r="F14" s="5">
        <v>14.148999999999999</v>
      </c>
      <c r="G14" s="5">
        <v>27.241</v>
      </c>
      <c r="H14" s="6">
        <v>347.3</v>
      </c>
      <c r="I14" s="5">
        <v>799.875</v>
      </c>
      <c r="J14" s="7">
        <v>1.016030092592592E-3</v>
      </c>
      <c r="K14" s="8" t="b">
        <v>0</v>
      </c>
      <c r="L14" s="8" t="b">
        <v>0</v>
      </c>
      <c r="M14" s="8" t="b">
        <v>0</v>
      </c>
    </row>
    <row r="15" spans="1:14" x14ac:dyDescent="0.3">
      <c r="A15" s="3">
        <v>10</v>
      </c>
      <c r="B15" s="4" t="s">
        <v>80</v>
      </c>
      <c r="C15" s="5">
        <v>87.399000000000001</v>
      </c>
      <c r="D15" s="5">
        <v>22.684000000000001</v>
      </c>
      <c r="E15" s="5">
        <v>23.318000000000001</v>
      </c>
      <c r="F15" s="5">
        <v>14.045999999999999</v>
      </c>
      <c r="G15" s="5">
        <v>27.350999999999999</v>
      </c>
      <c r="H15" s="6">
        <v>351.8</v>
      </c>
      <c r="I15" s="5">
        <v>887.274</v>
      </c>
      <c r="J15" s="7">
        <v>1.0115625000000001E-3</v>
      </c>
      <c r="K15" s="8" t="b">
        <v>0</v>
      </c>
      <c r="L15" s="8" t="b">
        <v>0</v>
      </c>
      <c r="M15" s="8" t="b">
        <v>0</v>
      </c>
    </row>
    <row r="16" spans="1:14" x14ac:dyDescent="0.3">
      <c r="A16" s="3">
        <v>11</v>
      </c>
      <c r="B16" s="4" t="s">
        <v>81</v>
      </c>
      <c r="C16" s="5">
        <v>87.575999999999993</v>
      </c>
      <c r="D16" s="5">
        <v>22.89</v>
      </c>
      <c r="E16" s="5">
        <v>23.361999999999998</v>
      </c>
      <c r="F16" s="5">
        <v>14.042</v>
      </c>
      <c r="G16" s="5">
        <v>27.282</v>
      </c>
      <c r="H16" s="6">
        <v>341.8</v>
      </c>
      <c r="I16" s="5">
        <v>974.85</v>
      </c>
      <c r="J16" s="7">
        <v>1.013611111111111E-3</v>
      </c>
      <c r="K16" s="8" t="b">
        <v>0</v>
      </c>
      <c r="L16" s="8" t="b">
        <v>0</v>
      </c>
      <c r="M16" s="8" t="b">
        <v>0</v>
      </c>
    </row>
    <row r="17" spans="1:13" x14ac:dyDescent="0.3">
      <c r="A17" s="3">
        <v>12</v>
      </c>
      <c r="B17" s="4" t="s">
        <v>82</v>
      </c>
      <c r="C17" s="5">
        <v>87.662000000000006</v>
      </c>
      <c r="D17" s="5">
        <v>22.84</v>
      </c>
      <c r="E17" s="5">
        <v>23.466999999999999</v>
      </c>
      <c r="F17" s="5">
        <v>14.105</v>
      </c>
      <c r="G17" s="5">
        <v>27.25</v>
      </c>
      <c r="H17" s="6">
        <v>351.8</v>
      </c>
      <c r="I17" s="5">
        <v>1062.5119999999999</v>
      </c>
      <c r="J17" s="7">
        <v>1.014606481481482E-3</v>
      </c>
      <c r="K17" s="8" t="b">
        <v>0</v>
      </c>
      <c r="L17" s="8" t="b">
        <v>0</v>
      </c>
      <c r="M17" s="8" t="b">
        <v>0</v>
      </c>
    </row>
    <row r="18" spans="1:13" x14ac:dyDescent="0.3">
      <c r="A18" s="3">
        <v>13</v>
      </c>
      <c r="B18" s="4" t="s">
        <v>83</v>
      </c>
      <c r="C18" s="5">
        <v>87.972999999999999</v>
      </c>
      <c r="D18" s="5">
        <v>23.045000000000002</v>
      </c>
      <c r="E18" s="5">
        <v>23.507000000000001</v>
      </c>
      <c r="F18" s="5">
        <v>14.112</v>
      </c>
      <c r="G18" s="5">
        <v>27.309000000000001</v>
      </c>
      <c r="H18" s="6">
        <v>342.9</v>
      </c>
      <c r="I18" s="5">
        <v>1150.4849999999999</v>
      </c>
      <c r="J18" s="7">
        <v>1.018206018518519E-3</v>
      </c>
      <c r="K18" s="8" t="b">
        <v>0</v>
      </c>
      <c r="L18" s="8" t="b">
        <v>0</v>
      </c>
      <c r="M18" s="8" t="b">
        <v>0</v>
      </c>
    </row>
  </sheetData>
  <autoFilter ref="A5:M18" xr:uid="{00000000-0009-0000-0000-000003000000}"/>
  <mergeCells count="1">
    <mergeCell ref="A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8"/>
  <sheetViews>
    <sheetView zoomScale="80" zoomScaleNormal="80" workbookViewId="0">
      <pane ySplit="5" topLeftCell="A6" activePane="bottomLeft" state="frozen"/>
      <selection pane="bottomLeft" sqref="A1:M1"/>
    </sheetView>
  </sheetViews>
  <sheetFormatPr defaultRowHeight="14.4" x14ac:dyDescent="0.3"/>
  <cols>
    <col min="1" max="1" width="8.6640625" customWidth="1"/>
    <col min="2" max="2" width="12.6640625" customWidth="1"/>
    <col min="3" max="10" width="18.6640625" customWidth="1"/>
    <col min="11" max="13" width="15.6640625" customWidth="1"/>
  </cols>
  <sheetData>
    <row r="1" spans="1:14" ht="21" x14ac:dyDescent="0.3">
      <c r="A1" s="31" t="s">
        <v>84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3" spans="1:14" x14ac:dyDescent="0.3">
      <c r="A3" s="1" t="s">
        <v>1</v>
      </c>
      <c r="B3" s="1" t="s">
        <v>85</v>
      </c>
      <c r="C3" s="1" t="s">
        <v>3</v>
      </c>
      <c r="D3" s="1" t="s">
        <v>86</v>
      </c>
      <c r="E3" s="1" t="s">
        <v>5</v>
      </c>
      <c r="F3" s="1" t="s">
        <v>6</v>
      </c>
      <c r="G3" s="1" t="s">
        <v>7</v>
      </c>
      <c r="H3" s="1">
        <v>13</v>
      </c>
      <c r="I3" s="1" t="s">
        <v>8</v>
      </c>
      <c r="J3" s="1">
        <v>12</v>
      </c>
      <c r="K3" s="1" t="s">
        <v>9</v>
      </c>
      <c r="L3" s="1" t="s">
        <v>10</v>
      </c>
      <c r="M3" s="1" t="s">
        <v>11</v>
      </c>
      <c r="N3" s="1" t="s">
        <v>12</v>
      </c>
    </row>
    <row r="5" spans="1:14" x14ac:dyDescent="0.3">
      <c r="A5" s="2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  <c r="H5" s="2" t="s">
        <v>20</v>
      </c>
      <c r="I5" s="2" t="s">
        <v>21</v>
      </c>
      <c r="J5" s="2" t="s">
        <v>22</v>
      </c>
      <c r="K5" s="2" t="s">
        <v>23</v>
      </c>
      <c r="L5" s="2" t="s">
        <v>24</v>
      </c>
      <c r="M5" s="2" t="s">
        <v>25</v>
      </c>
    </row>
    <row r="6" spans="1:14" x14ac:dyDescent="0.3">
      <c r="A6" s="3">
        <v>1</v>
      </c>
      <c r="B6" s="4" t="s">
        <v>87</v>
      </c>
      <c r="C6" s="5">
        <v>94.510999999999996</v>
      </c>
      <c r="D6" s="5">
        <v>28.997</v>
      </c>
      <c r="E6" s="5">
        <v>24.111000000000001</v>
      </c>
      <c r="F6" s="5">
        <v>14.207000000000001</v>
      </c>
      <c r="G6" s="5">
        <v>27.196000000000002</v>
      </c>
      <c r="H6" s="6">
        <v>251.4</v>
      </c>
      <c r="I6" s="5">
        <v>94.510999999999996</v>
      </c>
      <c r="J6" s="7">
        <v>1.0938773148148151E-3</v>
      </c>
      <c r="K6" s="8" t="b">
        <v>0</v>
      </c>
      <c r="L6" s="8" t="b">
        <v>0</v>
      </c>
      <c r="M6" s="8" t="b">
        <v>0</v>
      </c>
    </row>
    <row r="7" spans="1:14" x14ac:dyDescent="0.3">
      <c r="A7" s="3">
        <v>2</v>
      </c>
      <c r="B7" s="4" t="s">
        <v>88</v>
      </c>
      <c r="C7" s="5">
        <v>87.914000000000001</v>
      </c>
      <c r="D7" s="5">
        <v>22.945</v>
      </c>
      <c r="E7" s="5">
        <v>23.603000000000002</v>
      </c>
      <c r="F7" s="5">
        <v>14.082000000000001</v>
      </c>
      <c r="G7" s="5">
        <v>27.283999999999999</v>
      </c>
      <c r="H7" s="6">
        <v>346.1</v>
      </c>
      <c r="I7" s="5">
        <v>182.42500000000001</v>
      </c>
      <c r="J7" s="7">
        <v>1.017523148148148E-3</v>
      </c>
      <c r="K7" s="8" t="b">
        <v>0</v>
      </c>
      <c r="L7" s="8" t="b">
        <v>0</v>
      </c>
      <c r="M7" s="8" t="b">
        <v>0</v>
      </c>
    </row>
    <row r="8" spans="1:14" x14ac:dyDescent="0.3">
      <c r="A8" s="3">
        <v>3</v>
      </c>
      <c r="B8" s="4" t="s">
        <v>89</v>
      </c>
      <c r="C8" s="5">
        <v>88.724999999999994</v>
      </c>
      <c r="D8" s="5">
        <v>23.178999999999998</v>
      </c>
      <c r="E8" s="5">
        <v>23.699000000000002</v>
      </c>
      <c r="F8" s="5">
        <v>14.132</v>
      </c>
      <c r="G8" s="5">
        <v>27.715</v>
      </c>
      <c r="H8" s="6">
        <v>337.5</v>
      </c>
      <c r="I8" s="5">
        <v>271.14999999999998</v>
      </c>
      <c r="J8" s="7">
        <v>1.026909722222222E-3</v>
      </c>
      <c r="K8" s="8" t="b">
        <v>0</v>
      </c>
      <c r="L8" s="8" t="b">
        <v>0</v>
      </c>
      <c r="M8" s="8" t="b">
        <v>0</v>
      </c>
    </row>
    <row r="9" spans="1:14" x14ac:dyDescent="0.3">
      <c r="A9" s="3">
        <v>4</v>
      </c>
      <c r="B9" s="4" t="s">
        <v>90</v>
      </c>
      <c r="C9" s="5">
        <v>88.212999999999994</v>
      </c>
      <c r="D9" s="5">
        <v>22.911000000000001</v>
      </c>
      <c r="E9" s="5">
        <v>23.613</v>
      </c>
      <c r="F9" s="5">
        <v>14.176</v>
      </c>
      <c r="G9" s="5">
        <v>27.513000000000002</v>
      </c>
      <c r="H9" s="6">
        <v>336.5</v>
      </c>
      <c r="I9" s="5">
        <v>359.363</v>
      </c>
      <c r="J9" s="7">
        <v>1.0209837962962961E-3</v>
      </c>
      <c r="K9" s="8" t="b">
        <v>0</v>
      </c>
      <c r="L9" s="8" t="b">
        <v>0</v>
      </c>
      <c r="M9" s="8" t="b">
        <v>0</v>
      </c>
    </row>
    <row r="10" spans="1:14" x14ac:dyDescent="0.3">
      <c r="A10" s="3">
        <v>5</v>
      </c>
      <c r="B10" s="4" t="s">
        <v>91</v>
      </c>
      <c r="C10" s="5">
        <v>88.188000000000002</v>
      </c>
      <c r="D10" s="5">
        <v>22.981999999999999</v>
      </c>
      <c r="E10" s="5">
        <v>23.596</v>
      </c>
      <c r="F10" s="5">
        <v>14.141999999999999</v>
      </c>
      <c r="G10" s="5">
        <v>27.468</v>
      </c>
      <c r="H10" s="6">
        <v>344</v>
      </c>
      <c r="I10" s="5">
        <v>447.55099999999999</v>
      </c>
      <c r="J10" s="7">
        <v>1.0206944444444449E-3</v>
      </c>
      <c r="K10" s="8" t="b">
        <v>0</v>
      </c>
      <c r="L10" s="8" t="b">
        <v>0</v>
      </c>
      <c r="M10" s="8" t="b">
        <v>0</v>
      </c>
    </row>
    <row r="11" spans="1:14" x14ac:dyDescent="0.3">
      <c r="A11" s="3">
        <v>6</v>
      </c>
      <c r="B11" s="4" t="s">
        <v>92</v>
      </c>
      <c r="C11" s="5">
        <v>88.367000000000004</v>
      </c>
      <c r="D11" s="5">
        <v>22.981999999999999</v>
      </c>
      <c r="E11" s="5">
        <v>23.547000000000001</v>
      </c>
      <c r="F11" s="5">
        <v>14.173</v>
      </c>
      <c r="G11" s="5">
        <v>27.664999999999999</v>
      </c>
      <c r="H11" s="6">
        <v>348.4</v>
      </c>
      <c r="I11" s="5">
        <v>535.91800000000001</v>
      </c>
      <c r="J11" s="7">
        <v>1.0227662037037039E-3</v>
      </c>
      <c r="K11" s="8" t="b">
        <v>0</v>
      </c>
      <c r="L11" s="8" t="b">
        <v>0</v>
      </c>
      <c r="M11" s="8" t="b">
        <v>0</v>
      </c>
    </row>
    <row r="12" spans="1:14" x14ac:dyDescent="0.3">
      <c r="A12" s="3">
        <v>7</v>
      </c>
      <c r="B12" s="4" t="s">
        <v>93</v>
      </c>
      <c r="C12" s="5">
        <v>88.085999999999999</v>
      </c>
      <c r="D12" s="5">
        <v>22.972000000000001</v>
      </c>
      <c r="E12" s="5">
        <v>23.509</v>
      </c>
      <c r="F12" s="5">
        <v>14.159000000000001</v>
      </c>
      <c r="G12" s="5">
        <v>27.446000000000002</v>
      </c>
      <c r="H12" s="6">
        <v>344</v>
      </c>
      <c r="I12" s="5">
        <v>624.00400000000002</v>
      </c>
      <c r="J12" s="7">
        <v>1.019513888888889E-3</v>
      </c>
      <c r="K12" s="8" t="b">
        <v>0</v>
      </c>
      <c r="L12" s="8" t="b">
        <v>0</v>
      </c>
      <c r="M12" s="8" t="b">
        <v>0</v>
      </c>
    </row>
    <row r="13" spans="1:14" x14ac:dyDescent="0.3">
      <c r="A13" s="3">
        <v>8</v>
      </c>
      <c r="B13" s="4" t="s">
        <v>94</v>
      </c>
      <c r="C13" s="5">
        <v>87.981999999999999</v>
      </c>
      <c r="D13" s="5">
        <v>22.902000000000001</v>
      </c>
      <c r="E13" s="5">
        <v>23.416</v>
      </c>
      <c r="F13" s="5">
        <v>14.173</v>
      </c>
      <c r="G13" s="5">
        <v>27.491</v>
      </c>
      <c r="H13" s="6">
        <v>347.3</v>
      </c>
      <c r="I13" s="5">
        <v>711.98599999999999</v>
      </c>
      <c r="J13" s="7">
        <v>1.018310185185185E-3</v>
      </c>
      <c r="K13" s="8" t="b">
        <v>0</v>
      </c>
      <c r="L13" s="8" t="b">
        <v>0</v>
      </c>
      <c r="M13" s="8" t="b">
        <v>0</v>
      </c>
    </row>
    <row r="14" spans="1:14" x14ac:dyDescent="0.3">
      <c r="A14" s="3">
        <v>9</v>
      </c>
      <c r="B14" s="4" t="s">
        <v>95</v>
      </c>
      <c r="C14" s="5">
        <v>87.825999999999993</v>
      </c>
      <c r="D14" s="5">
        <v>22.937999999999999</v>
      </c>
      <c r="E14" s="5">
        <v>23.376000000000001</v>
      </c>
      <c r="F14" s="5">
        <v>14.166</v>
      </c>
      <c r="G14" s="5">
        <v>27.346</v>
      </c>
      <c r="H14" s="6">
        <v>349.5</v>
      </c>
      <c r="I14" s="5">
        <v>799.81200000000001</v>
      </c>
      <c r="J14" s="7">
        <v>1.01650462962963E-3</v>
      </c>
      <c r="K14" s="8" t="b">
        <v>0</v>
      </c>
      <c r="L14" s="8" t="b">
        <v>0</v>
      </c>
      <c r="M14" s="8" t="b">
        <v>0</v>
      </c>
    </row>
    <row r="15" spans="1:14" x14ac:dyDescent="0.3">
      <c r="A15" s="3">
        <v>10</v>
      </c>
      <c r="B15" s="4" t="s">
        <v>83</v>
      </c>
      <c r="C15" s="5">
        <v>87.972999999999999</v>
      </c>
      <c r="D15" s="5">
        <v>23.015000000000001</v>
      </c>
      <c r="E15" s="5">
        <v>23.423999999999999</v>
      </c>
      <c r="F15" s="5">
        <v>14.117000000000001</v>
      </c>
      <c r="G15" s="5">
        <v>27.417000000000002</v>
      </c>
      <c r="H15" s="6">
        <v>347.3</v>
      </c>
      <c r="I15" s="5">
        <v>887.78499999999997</v>
      </c>
      <c r="J15" s="7">
        <v>1.018206018518519E-3</v>
      </c>
      <c r="K15" s="8" t="b">
        <v>0</v>
      </c>
      <c r="L15" s="8" t="b">
        <v>0</v>
      </c>
      <c r="M15" s="8" t="b">
        <v>0</v>
      </c>
    </row>
    <row r="16" spans="1:14" x14ac:dyDescent="0.3">
      <c r="A16" s="3">
        <v>11</v>
      </c>
      <c r="B16" s="4" t="s">
        <v>96</v>
      </c>
      <c r="C16" s="5">
        <v>88.084999999999994</v>
      </c>
      <c r="D16" s="5">
        <v>22.984000000000002</v>
      </c>
      <c r="E16" s="5">
        <v>23.408000000000001</v>
      </c>
      <c r="F16" s="5">
        <v>14.13</v>
      </c>
      <c r="G16" s="5">
        <v>27.562999999999999</v>
      </c>
      <c r="H16" s="6">
        <v>349.5</v>
      </c>
      <c r="I16" s="5">
        <v>975.87</v>
      </c>
      <c r="J16" s="7">
        <v>1.0195023148148151E-3</v>
      </c>
      <c r="K16" s="8" t="b">
        <v>0</v>
      </c>
      <c r="L16" s="8" t="b">
        <v>0</v>
      </c>
      <c r="M16" s="8" t="b">
        <v>0</v>
      </c>
    </row>
    <row r="17" spans="1:13" x14ac:dyDescent="0.3">
      <c r="A17" s="3">
        <v>12</v>
      </c>
      <c r="B17" s="4" t="s">
        <v>97</v>
      </c>
      <c r="C17" s="5">
        <v>88.459000000000003</v>
      </c>
      <c r="D17" s="5">
        <v>23.074000000000002</v>
      </c>
      <c r="E17" s="5">
        <v>23.532</v>
      </c>
      <c r="F17" s="5">
        <v>14.254</v>
      </c>
      <c r="G17" s="5">
        <v>27.599</v>
      </c>
      <c r="H17" s="6">
        <v>348.4</v>
      </c>
      <c r="I17" s="5">
        <v>1064.329</v>
      </c>
      <c r="J17" s="7">
        <v>1.023831018518519E-3</v>
      </c>
      <c r="K17" s="8" t="b">
        <v>0</v>
      </c>
      <c r="L17" s="8" t="b">
        <v>0</v>
      </c>
      <c r="M17" s="8" t="b">
        <v>0</v>
      </c>
    </row>
    <row r="18" spans="1:13" x14ac:dyDescent="0.3">
      <c r="A18" s="3">
        <v>13</v>
      </c>
      <c r="B18" s="4" t="s">
        <v>98</v>
      </c>
      <c r="C18" s="5">
        <v>88.771000000000001</v>
      </c>
      <c r="D18" s="5">
        <v>23.157</v>
      </c>
      <c r="E18" s="5">
        <v>23.689</v>
      </c>
      <c r="F18" s="5">
        <v>14.319000000000001</v>
      </c>
      <c r="G18" s="5">
        <v>27.606000000000002</v>
      </c>
      <c r="H18" s="6">
        <v>346.1</v>
      </c>
      <c r="I18" s="5">
        <v>1153.0999999999999</v>
      </c>
      <c r="J18" s="7">
        <v>1.0274421296296301E-3</v>
      </c>
      <c r="K18" s="8" t="b">
        <v>0</v>
      </c>
      <c r="L18" s="8" t="b">
        <v>0</v>
      </c>
      <c r="M18" s="8" t="b">
        <v>0</v>
      </c>
    </row>
  </sheetData>
  <autoFilter ref="A5:M18" xr:uid="{00000000-0009-0000-0000-000004000000}"/>
  <mergeCells count="1">
    <mergeCell ref="A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8"/>
  <sheetViews>
    <sheetView zoomScale="80" zoomScaleNormal="80" workbookViewId="0">
      <pane ySplit="5" topLeftCell="A6" activePane="bottomLeft" state="frozen"/>
      <selection pane="bottomLeft" sqref="A1:M1"/>
    </sheetView>
  </sheetViews>
  <sheetFormatPr defaultRowHeight="14.4" x14ac:dyDescent="0.3"/>
  <cols>
    <col min="1" max="1" width="8.6640625" customWidth="1"/>
    <col min="2" max="2" width="12.6640625" customWidth="1"/>
    <col min="3" max="10" width="18.6640625" customWidth="1"/>
    <col min="11" max="13" width="15.6640625" customWidth="1"/>
  </cols>
  <sheetData>
    <row r="1" spans="1:14" ht="21" x14ac:dyDescent="0.3">
      <c r="A1" s="31" t="s">
        <v>99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3" spans="1:14" x14ac:dyDescent="0.3">
      <c r="A3" s="1" t="s">
        <v>1</v>
      </c>
      <c r="B3" s="1" t="s">
        <v>100</v>
      </c>
      <c r="C3" s="1" t="s">
        <v>3</v>
      </c>
      <c r="D3" s="1" t="s">
        <v>71</v>
      </c>
      <c r="E3" s="1" t="s">
        <v>5</v>
      </c>
      <c r="F3" s="1" t="s">
        <v>101</v>
      </c>
      <c r="G3" s="1" t="s">
        <v>7</v>
      </c>
      <c r="H3" s="1">
        <v>13</v>
      </c>
      <c r="I3" s="1" t="s">
        <v>8</v>
      </c>
      <c r="J3" s="1">
        <v>12</v>
      </c>
      <c r="K3" s="1" t="s">
        <v>9</v>
      </c>
      <c r="L3" s="1" t="s">
        <v>10</v>
      </c>
      <c r="M3" s="1" t="s">
        <v>11</v>
      </c>
      <c r="N3" s="1" t="s">
        <v>12</v>
      </c>
    </row>
    <row r="5" spans="1:14" x14ac:dyDescent="0.3">
      <c r="A5" s="2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  <c r="H5" s="2" t="s">
        <v>20</v>
      </c>
      <c r="I5" s="2" t="s">
        <v>21</v>
      </c>
      <c r="J5" s="2" t="s">
        <v>22</v>
      </c>
      <c r="K5" s="2" t="s">
        <v>23</v>
      </c>
      <c r="L5" s="2" t="s">
        <v>24</v>
      </c>
      <c r="M5" s="2" t="s">
        <v>25</v>
      </c>
    </row>
    <row r="6" spans="1:14" x14ac:dyDescent="0.3">
      <c r="A6" s="3">
        <v>1</v>
      </c>
      <c r="B6" s="4" t="s">
        <v>102</v>
      </c>
      <c r="C6" s="5">
        <v>96.433999999999997</v>
      </c>
      <c r="D6" s="5">
        <v>29.971</v>
      </c>
      <c r="E6" s="5">
        <v>24.501999999999999</v>
      </c>
      <c r="F6" s="5">
        <v>14.537000000000001</v>
      </c>
      <c r="G6" s="5">
        <v>27.423999999999999</v>
      </c>
      <c r="H6" s="6">
        <v>257.3</v>
      </c>
      <c r="I6" s="5">
        <v>96.433999999999997</v>
      </c>
      <c r="J6" s="7">
        <v>1.116134259259259E-3</v>
      </c>
      <c r="K6" s="8" t="b">
        <v>0</v>
      </c>
      <c r="L6" s="8" t="b">
        <v>0</v>
      </c>
      <c r="M6" s="8" t="b">
        <v>0</v>
      </c>
    </row>
    <row r="7" spans="1:14" x14ac:dyDescent="0.3">
      <c r="A7" s="3">
        <v>2</v>
      </c>
      <c r="B7" s="4" t="s">
        <v>103</v>
      </c>
      <c r="C7" s="5">
        <v>88.948999999999998</v>
      </c>
      <c r="D7" s="5">
        <v>23.399000000000001</v>
      </c>
      <c r="E7" s="5">
        <v>23.852</v>
      </c>
      <c r="F7" s="5">
        <v>14.353</v>
      </c>
      <c r="G7" s="5">
        <v>27.344999999999999</v>
      </c>
      <c r="H7" s="6">
        <v>327.3</v>
      </c>
      <c r="I7" s="5">
        <v>185.38300000000001</v>
      </c>
      <c r="J7" s="7">
        <v>1.0295023148148149E-3</v>
      </c>
      <c r="K7" s="8" t="b">
        <v>0</v>
      </c>
      <c r="L7" s="8" t="b">
        <v>0</v>
      </c>
      <c r="M7" s="8" t="b">
        <v>0</v>
      </c>
    </row>
    <row r="8" spans="1:14" x14ac:dyDescent="0.3">
      <c r="A8" s="3">
        <v>3</v>
      </c>
      <c r="B8" s="4" t="s">
        <v>104</v>
      </c>
      <c r="C8" s="5">
        <v>88.427999999999997</v>
      </c>
      <c r="D8" s="5">
        <v>23.119</v>
      </c>
      <c r="E8" s="5">
        <v>23.718</v>
      </c>
      <c r="F8" s="5">
        <v>14.28</v>
      </c>
      <c r="G8" s="5">
        <v>27.311</v>
      </c>
      <c r="H8" s="6">
        <v>340.7</v>
      </c>
      <c r="I8" s="5">
        <v>273.81099999999998</v>
      </c>
      <c r="J8" s="7">
        <v>1.0234722222222221E-3</v>
      </c>
      <c r="K8" s="8" t="b">
        <v>0</v>
      </c>
      <c r="L8" s="8" t="b">
        <v>0</v>
      </c>
      <c r="M8" s="8" t="b">
        <v>0</v>
      </c>
    </row>
    <row r="9" spans="1:14" x14ac:dyDescent="0.3">
      <c r="A9" s="3">
        <v>4</v>
      </c>
      <c r="B9" s="4" t="s">
        <v>105</v>
      </c>
      <c r="C9" s="5">
        <v>88.131</v>
      </c>
      <c r="D9" s="5">
        <v>23</v>
      </c>
      <c r="E9" s="5">
        <v>23.576000000000001</v>
      </c>
      <c r="F9" s="5">
        <v>14.214</v>
      </c>
      <c r="G9" s="5">
        <v>27.341000000000001</v>
      </c>
      <c r="H9" s="6">
        <v>348.4</v>
      </c>
      <c r="I9" s="5">
        <v>361.94200000000001</v>
      </c>
      <c r="J9" s="7">
        <v>1.0200347222222221E-3</v>
      </c>
      <c r="K9" s="8" t="b">
        <v>0</v>
      </c>
      <c r="L9" s="8" t="b">
        <v>0</v>
      </c>
      <c r="M9" s="8" t="b">
        <v>0</v>
      </c>
    </row>
    <row r="10" spans="1:14" x14ac:dyDescent="0.3">
      <c r="A10" s="3">
        <v>5</v>
      </c>
      <c r="B10" s="4" t="s">
        <v>106</v>
      </c>
      <c r="C10" s="5">
        <v>88.016999999999996</v>
      </c>
      <c r="D10" s="5">
        <v>22.873000000000001</v>
      </c>
      <c r="E10" s="5">
        <v>23.635000000000002</v>
      </c>
      <c r="F10" s="5">
        <v>14.259</v>
      </c>
      <c r="G10" s="5">
        <v>27.25</v>
      </c>
      <c r="H10" s="6">
        <v>352.9</v>
      </c>
      <c r="I10" s="5">
        <v>449.959</v>
      </c>
      <c r="J10" s="7">
        <v>1.0187152777777781E-3</v>
      </c>
      <c r="K10" s="8" t="b">
        <v>0</v>
      </c>
      <c r="L10" s="8" t="b">
        <v>0</v>
      </c>
      <c r="M10" s="8" t="b">
        <v>0</v>
      </c>
    </row>
    <row r="11" spans="1:14" x14ac:dyDescent="0.3">
      <c r="A11" s="3">
        <v>6</v>
      </c>
      <c r="B11" s="4" t="s">
        <v>107</v>
      </c>
      <c r="C11" s="5">
        <v>89.021000000000001</v>
      </c>
      <c r="D11" s="5">
        <v>22.978000000000002</v>
      </c>
      <c r="E11" s="5">
        <v>23.963999999999999</v>
      </c>
      <c r="F11" s="5">
        <v>14.242000000000001</v>
      </c>
      <c r="G11" s="5">
        <v>27.837</v>
      </c>
      <c r="H11" s="6">
        <v>351.8</v>
      </c>
      <c r="I11" s="5">
        <v>538.98</v>
      </c>
      <c r="J11" s="7">
        <v>1.0303356481481481E-3</v>
      </c>
      <c r="K11" s="8" t="b">
        <v>0</v>
      </c>
      <c r="L11" s="8" t="b">
        <v>0</v>
      </c>
      <c r="M11" s="8" t="b">
        <v>0</v>
      </c>
    </row>
    <row r="12" spans="1:14" x14ac:dyDescent="0.3">
      <c r="A12" s="3">
        <v>7</v>
      </c>
      <c r="B12" s="4" t="s">
        <v>108</v>
      </c>
      <c r="C12" s="5">
        <v>88.093999999999994</v>
      </c>
      <c r="D12" s="5">
        <v>23.08</v>
      </c>
      <c r="E12" s="5">
        <v>23.602</v>
      </c>
      <c r="F12" s="5">
        <v>14.199</v>
      </c>
      <c r="G12" s="5">
        <v>27.213000000000001</v>
      </c>
      <c r="H12" s="6">
        <v>346.1</v>
      </c>
      <c r="I12" s="5">
        <v>627.07399999999996</v>
      </c>
      <c r="J12" s="7">
        <v>1.0196064814814809E-3</v>
      </c>
      <c r="K12" s="8" t="b">
        <v>0</v>
      </c>
      <c r="L12" s="8" t="b">
        <v>0</v>
      </c>
      <c r="M12" s="8" t="b">
        <v>0</v>
      </c>
    </row>
    <row r="13" spans="1:14" x14ac:dyDescent="0.3">
      <c r="A13" s="3">
        <v>8</v>
      </c>
      <c r="B13" s="4" t="s">
        <v>109</v>
      </c>
      <c r="C13" s="5">
        <v>87.844999999999999</v>
      </c>
      <c r="D13" s="5">
        <v>22.905999999999999</v>
      </c>
      <c r="E13" s="5">
        <v>23.449000000000002</v>
      </c>
      <c r="F13" s="5">
        <v>14.266999999999999</v>
      </c>
      <c r="G13" s="5">
        <v>27.222999999999999</v>
      </c>
      <c r="H13" s="6">
        <v>350.6</v>
      </c>
      <c r="I13" s="5">
        <v>714.91899999999998</v>
      </c>
      <c r="J13" s="7">
        <v>1.0167245370370369E-3</v>
      </c>
      <c r="K13" s="8" t="b">
        <v>0</v>
      </c>
      <c r="L13" s="8" t="b">
        <v>0</v>
      </c>
      <c r="M13" s="8" t="b">
        <v>0</v>
      </c>
    </row>
    <row r="14" spans="1:14" x14ac:dyDescent="0.3">
      <c r="A14" s="3">
        <v>9</v>
      </c>
      <c r="B14" s="4" t="s">
        <v>110</v>
      </c>
      <c r="C14" s="5">
        <v>88.299000000000007</v>
      </c>
      <c r="D14" s="5">
        <v>23.224</v>
      </c>
      <c r="E14" s="5">
        <v>23.51</v>
      </c>
      <c r="F14" s="5">
        <v>14.222</v>
      </c>
      <c r="G14" s="5">
        <v>27.343</v>
      </c>
      <c r="H14" s="6">
        <v>341.8</v>
      </c>
      <c r="I14" s="5">
        <v>803.21799999999996</v>
      </c>
      <c r="J14" s="7">
        <v>1.0219791666666669E-3</v>
      </c>
      <c r="K14" s="8" t="b">
        <v>0</v>
      </c>
      <c r="L14" s="8" t="b">
        <v>0</v>
      </c>
      <c r="M14" s="8" t="b">
        <v>0</v>
      </c>
    </row>
    <row r="15" spans="1:14" x14ac:dyDescent="0.3">
      <c r="A15" s="3">
        <v>10</v>
      </c>
      <c r="B15" s="4" t="s">
        <v>111</v>
      </c>
      <c r="C15" s="5">
        <v>88.117000000000004</v>
      </c>
      <c r="D15" s="5">
        <v>23.152999999999999</v>
      </c>
      <c r="E15" s="5">
        <v>23.43</v>
      </c>
      <c r="F15" s="5">
        <v>14.204000000000001</v>
      </c>
      <c r="G15" s="5">
        <v>27.33</v>
      </c>
      <c r="H15" s="6">
        <v>348.4</v>
      </c>
      <c r="I15" s="5">
        <v>891.33500000000004</v>
      </c>
      <c r="J15" s="7">
        <v>1.0198726851851851E-3</v>
      </c>
      <c r="K15" s="8" t="b">
        <v>0</v>
      </c>
      <c r="L15" s="8" t="b">
        <v>0</v>
      </c>
      <c r="M15" s="8" t="b">
        <v>0</v>
      </c>
    </row>
    <row r="16" spans="1:14" x14ac:dyDescent="0.3">
      <c r="A16" s="3">
        <v>11</v>
      </c>
      <c r="B16" s="4" t="s">
        <v>112</v>
      </c>
      <c r="C16" s="5">
        <v>87.891000000000005</v>
      </c>
      <c r="D16" s="5">
        <v>23.029</v>
      </c>
      <c r="E16" s="5">
        <v>23.37</v>
      </c>
      <c r="F16" s="5">
        <v>14.226000000000001</v>
      </c>
      <c r="G16" s="5">
        <v>27.265999999999998</v>
      </c>
      <c r="H16" s="6">
        <v>345</v>
      </c>
      <c r="I16" s="5">
        <v>979.226</v>
      </c>
      <c r="J16" s="7">
        <v>1.017256944444445E-3</v>
      </c>
      <c r="K16" s="8" t="b">
        <v>0</v>
      </c>
      <c r="L16" s="8" t="b">
        <v>0</v>
      </c>
      <c r="M16" s="8" t="b">
        <v>0</v>
      </c>
    </row>
    <row r="17" spans="1:13" x14ac:dyDescent="0.3">
      <c r="A17" s="3">
        <v>12</v>
      </c>
      <c r="B17" s="4" t="s">
        <v>113</v>
      </c>
      <c r="C17" s="5">
        <v>88.042000000000002</v>
      </c>
      <c r="D17" s="5">
        <v>23.114000000000001</v>
      </c>
      <c r="E17" s="5">
        <v>23.366</v>
      </c>
      <c r="F17" s="5">
        <v>14.205</v>
      </c>
      <c r="G17" s="5">
        <v>27.356999999999999</v>
      </c>
      <c r="H17" s="6">
        <v>347.3</v>
      </c>
      <c r="I17" s="5">
        <v>1067.268</v>
      </c>
      <c r="J17" s="7">
        <v>1.0190046296296299E-3</v>
      </c>
      <c r="K17" s="8" t="b">
        <v>0</v>
      </c>
      <c r="L17" s="8" t="b">
        <v>0</v>
      </c>
      <c r="M17" s="8" t="b">
        <v>0</v>
      </c>
    </row>
    <row r="18" spans="1:13" x14ac:dyDescent="0.3">
      <c r="A18" s="3">
        <v>13</v>
      </c>
      <c r="B18" s="4" t="s">
        <v>114</v>
      </c>
      <c r="C18" s="5">
        <v>88.289000000000001</v>
      </c>
      <c r="D18" s="5">
        <v>23.148</v>
      </c>
      <c r="E18" s="5">
        <v>23.420999999999999</v>
      </c>
      <c r="F18" s="5">
        <v>14.273</v>
      </c>
      <c r="G18" s="5">
        <v>27.446999999999999</v>
      </c>
      <c r="H18" s="6">
        <v>345</v>
      </c>
      <c r="I18" s="5">
        <v>1155.557</v>
      </c>
      <c r="J18" s="7">
        <v>1.0218634259259261E-3</v>
      </c>
      <c r="K18" s="8" t="b">
        <v>0</v>
      </c>
      <c r="L18" s="8" t="b">
        <v>0</v>
      </c>
      <c r="M18" s="8" t="b">
        <v>0</v>
      </c>
    </row>
  </sheetData>
  <autoFilter ref="A5:M18" xr:uid="{00000000-0009-0000-0000-000005000000}"/>
  <mergeCells count="1">
    <mergeCell ref="A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8"/>
  <sheetViews>
    <sheetView zoomScale="80" zoomScaleNormal="80" workbookViewId="0">
      <pane ySplit="5" topLeftCell="A6" activePane="bottomLeft" state="frozen"/>
      <selection pane="bottomLeft" sqref="A1:M1"/>
    </sheetView>
  </sheetViews>
  <sheetFormatPr defaultRowHeight="14.4" x14ac:dyDescent="0.3"/>
  <cols>
    <col min="1" max="1" width="8.6640625" customWidth="1"/>
    <col min="2" max="2" width="12.6640625" customWidth="1"/>
    <col min="3" max="10" width="18.6640625" customWidth="1"/>
    <col min="11" max="13" width="15.6640625" customWidth="1"/>
  </cols>
  <sheetData>
    <row r="1" spans="1:14" ht="21" x14ac:dyDescent="0.3">
      <c r="A1" s="31" t="s">
        <v>115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3" spans="1:14" x14ac:dyDescent="0.3">
      <c r="A3" s="1" t="s">
        <v>1</v>
      </c>
      <c r="B3" s="1" t="s">
        <v>85</v>
      </c>
      <c r="C3" s="1" t="s">
        <v>3</v>
      </c>
      <c r="D3" s="1" t="s">
        <v>86</v>
      </c>
      <c r="E3" s="1" t="s">
        <v>5</v>
      </c>
      <c r="F3" s="1" t="s">
        <v>116</v>
      </c>
      <c r="G3" s="1" t="s">
        <v>7</v>
      </c>
      <c r="H3" s="1">
        <v>13</v>
      </c>
      <c r="I3" s="1" t="s">
        <v>8</v>
      </c>
      <c r="J3" s="1">
        <v>12</v>
      </c>
      <c r="K3" s="1" t="s">
        <v>9</v>
      </c>
      <c r="L3" s="1" t="s">
        <v>10</v>
      </c>
      <c r="M3" s="1" t="s">
        <v>11</v>
      </c>
      <c r="N3" s="1" t="s">
        <v>12</v>
      </c>
    </row>
    <row r="5" spans="1:14" x14ac:dyDescent="0.3">
      <c r="A5" s="2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  <c r="H5" s="2" t="s">
        <v>20</v>
      </c>
      <c r="I5" s="2" t="s">
        <v>21</v>
      </c>
      <c r="J5" s="2" t="s">
        <v>22</v>
      </c>
      <c r="K5" s="2" t="s">
        <v>23</v>
      </c>
      <c r="L5" s="2" t="s">
        <v>24</v>
      </c>
      <c r="M5" s="2" t="s">
        <v>25</v>
      </c>
    </row>
    <row r="6" spans="1:14" x14ac:dyDescent="0.3">
      <c r="A6" s="3">
        <v>1</v>
      </c>
      <c r="B6" s="4" t="s">
        <v>117</v>
      </c>
      <c r="C6" s="5">
        <v>95.244</v>
      </c>
      <c r="D6" s="5">
        <v>29.605</v>
      </c>
      <c r="E6" s="5">
        <v>23.954000000000001</v>
      </c>
      <c r="F6" s="5">
        <v>14.212999999999999</v>
      </c>
      <c r="G6" s="5">
        <v>27.472000000000001</v>
      </c>
      <c r="H6" s="6">
        <v>256.7</v>
      </c>
      <c r="I6" s="5">
        <v>95.244</v>
      </c>
      <c r="J6" s="7">
        <v>1.102361111111111E-3</v>
      </c>
      <c r="K6" s="8" t="b">
        <v>0</v>
      </c>
      <c r="L6" s="8" t="b">
        <v>0</v>
      </c>
      <c r="M6" s="8" t="b">
        <v>0</v>
      </c>
    </row>
    <row r="7" spans="1:14" x14ac:dyDescent="0.3">
      <c r="A7" s="3">
        <v>2</v>
      </c>
      <c r="B7" s="4" t="s">
        <v>118</v>
      </c>
      <c r="C7" s="5">
        <v>88.26</v>
      </c>
      <c r="D7" s="5">
        <v>23.103999999999999</v>
      </c>
      <c r="E7" s="5">
        <v>23.585000000000001</v>
      </c>
      <c r="F7" s="5">
        <v>14.252000000000001</v>
      </c>
      <c r="G7" s="5">
        <v>27.318999999999999</v>
      </c>
      <c r="H7" s="6">
        <v>342.9</v>
      </c>
      <c r="I7" s="5">
        <v>183.50399999999999</v>
      </c>
      <c r="J7" s="7">
        <v>1.0215277777777781E-3</v>
      </c>
      <c r="K7" s="8" t="b">
        <v>0</v>
      </c>
      <c r="L7" s="8" t="b">
        <v>0</v>
      </c>
      <c r="M7" s="8" t="b">
        <v>0</v>
      </c>
    </row>
    <row r="8" spans="1:14" x14ac:dyDescent="0.3">
      <c r="A8" s="3">
        <v>3</v>
      </c>
      <c r="B8" s="4" t="s">
        <v>119</v>
      </c>
      <c r="C8" s="5">
        <v>88.337999999999994</v>
      </c>
      <c r="D8" s="5">
        <v>23.154</v>
      </c>
      <c r="E8" s="5">
        <v>23.582000000000001</v>
      </c>
      <c r="F8" s="5">
        <v>14.173</v>
      </c>
      <c r="G8" s="5">
        <v>27.428999999999998</v>
      </c>
      <c r="H8" s="6">
        <v>334.4</v>
      </c>
      <c r="I8" s="5">
        <v>271.84199999999998</v>
      </c>
      <c r="J8" s="7">
        <v>1.0224305555555559E-3</v>
      </c>
      <c r="K8" s="8" t="b">
        <v>0</v>
      </c>
      <c r="L8" s="8" t="b">
        <v>0</v>
      </c>
      <c r="M8" s="8" t="b">
        <v>0</v>
      </c>
    </row>
    <row r="9" spans="1:14" x14ac:dyDescent="0.3">
      <c r="A9" s="3">
        <v>4</v>
      </c>
      <c r="B9" s="4" t="s">
        <v>120</v>
      </c>
      <c r="C9" s="5">
        <v>88.656999999999996</v>
      </c>
      <c r="D9" s="5">
        <v>23.192</v>
      </c>
      <c r="E9" s="5">
        <v>23.689</v>
      </c>
      <c r="F9" s="5">
        <v>14.304</v>
      </c>
      <c r="G9" s="5">
        <v>27.472000000000001</v>
      </c>
      <c r="H9" s="6">
        <v>338.6</v>
      </c>
      <c r="I9" s="5">
        <v>360.49900000000002</v>
      </c>
      <c r="J9" s="7">
        <v>1.026122685185185E-3</v>
      </c>
      <c r="K9" s="8" t="b">
        <v>0</v>
      </c>
      <c r="L9" s="8" t="b">
        <v>0</v>
      </c>
      <c r="M9" s="8" t="b">
        <v>0</v>
      </c>
    </row>
    <row r="10" spans="1:14" x14ac:dyDescent="0.3">
      <c r="A10" s="3">
        <v>5</v>
      </c>
      <c r="B10" s="4" t="s">
        <v>121</v>
      </c>
      <c r="C10" s="5">
        <v>88.655000000000001</v>
      </c>
      <c r="D10" s="5">
        <v>23.164000000000001</v>
      </c>
      <c r="E10" s="5">
        <v>23.756</v>
      </c>
      <c r="F10" s="5">
        <v>14.236000000000001</v>
      </c>
      <c r="G10" s="5">
        <v>27.498999999999999</v>
      </c>
      <c r="H10" s="6">
        <v>346.1</v>
      </c>
      <c r="I10" s="5">
        <v>449.154</v>
      </c>
      <c r="J10" s="7">
        <v>1.026099537037037E-3</v>
      </c>
      <c r="K10" s="8" t="b">
        <v>0</v>
      </c>
      <c r="L10" s="8" t="b">
        <v>0</v>
      </c>
      <c r="M10" s="8" t="b">
        <v>0</v>
      </c>
    </row>
    <row r="11" spans="1:14" x14ac:dyDescent="0.3">
      <c r="A11" s="3">
        <v>6</v>
      </c>
      <c r="B11" s="4" t="s">
        <v>122</v>
      </c>
      <c r="C11" s="5">
        <v>88.091999999999999</v>
      </c>
      <c r="D11" s="5">
        <v>22.872</v>
      </c>
      <c r="E11" s="5">
        <v>23.707999999999998</v>
      </c>
      <c r="F11" s="5">
        <v>14.173999999999999</v>
      </c>
      <c r="G11" s="5">
        <v>27.338000000000001</v>
      </c>
      <c r="H11" s="6">
        <v>348.4</v>
      </c>
      <c r="I11" s="5">
        <v>537.24599999999998</v>
      </c>
      <c r="J11" s="7">
        <v>1.0195833333333331E-3</v>
      </c>
      <c r="K11" s="8" t="b">
        <v>0</v>
      </c>
      <c r="L11" s="8" t="b">
        <v>0</v>
      </c>
      <c r="M11" s="8" t="b">
        <v>0</v>
      </c>
    </row>
    <row r="12" spans="1:14" x14ac:dyDescent="0.3">
      <c r="A12" s="3">
        <v>7</v>
      </c>
      <c r="B12" s="4" t="s">
        <v>123</v>
      </c>
      <c r="C12" s="5">
        <v>88.629000000000005</v>
      </c>
      <c r="D12" s="5">
        <v>23.077000000000002</v>
      </c>
      <c r="E12" s="5">
        <v>23.524999999999999</v>
      </c>
      <c r="F12" s="5">
        <v>14.279</v>
      </c>
      <c r="G12" s="5">
        <v>27.748000000000001</v>
      </c>
      <c r="H12" s="6">
        <v>346.1</v>
      </c>
      <c r="I12" s="5">
        <v>625.875</v>
      </c>
      <c r="J12" s="7">
        <v>1.025798611111111E-3</v>
      </c>
      <c r="K12" s="8" t="b">
        <v>0</v>
      </c>
      <c r="L12" s="8" t="b">
        <v>0</v>
      </c>
      <c r="M12" s="8" t="b">
        <v>0</v>
      </c>
    </row>
    <row r="13" spans="1:14" x14ac:dyDescent="0.3">
      <c r="A13" s="3">
        <v>8</v>
      </c>
      <c r="B13" s="4" t="s">
        <v>124</v>
      </c>
      <c r="C13" s="5">
        <v>88.635999999999996</v>
      </c>
      <c r="D13" s="5">
        <v>23.004999999999999</v>
      </c>
      <c r="E13" s="5">
        <v>23.599</v>
      </c>
      <c r="F13" s="5">
        <v>14.353999999999999</v>
      </c>
      <c r="G13" s="5">
        <v>27.678000000000001</v>
      </c>
      <c r="H13" s="6">
        <v>345</v>
      </c>
      <c r="I13" s="5">
        <v>714.51099999999997</v>
      </c>
      <c r="J13" s="7">
        <v>1.0258796296296301E-3</v>
      </c>
      <c r="K13" s="8" t="b">
        <v>0</v>
      </c>
      <c r="L13" s="8" t="b">
        <v>0</v>
      </c>
      <c r="M13" s="8" t="b">
        <v>0</v>
      </c>
    </row>
    <row r="14" spans="1:14" x14ac:dyDescent="0.3">
      <c r="A14" s="3">
        <v>9</v>
      </c>
      <c r="B14" s="4" t="s">
        <v>125</v>
      </c>
      <c r="C14" s="5">
        <v>88.659000000000006</v>
      </c>
      <c r="D14" s="5">
        <v>23.183</v>
      </c>
      <c r="E14" s="5">
        <v>23.533000000000001</v>
      </c>
      <c r="F14" s="5">
        <v>14.323</v>
      </c>
      <c r="G14" s="5">
        <v>27.62</v>
      </c>
      <c r="H14" s="6">
        <v>346.1</v>
      </c>
      <c r="I14" s="5">
        <v>803.17</v>
      </c>
      <c r="J14" s="7">
        <v>1.0261458333333329E-3</v>
      </c>
      <c r="K14" s="8" t="b">
        <v>0</v>
      </c>
      <c r="L14" s="8" t="b">
        <v>0</v>
      </c>
      <c r="M14" s="8" t="b">
        <v>0</v>
      </c>
    </row>
    <row r="15" spans="1:14" x14ac:dyDescent="0.3">
      <c r="A15" s="3">
        <v>10</v>
      </c>
      <c r="B15" s="4" t="s">
        <v>126</v>
      </c>
      <c r="C15" s="5">
        <v>88.576999999999998</v>
      </c>
      <c r="D15" s="5">
        <v>23.34</v>
      </c>
      <c r="E15" s="5">
        <v>23.556000000000001</v>
      </c>
      <c r="F15" s="5">
        <v>14.263</v>
      </c>
      <c r="G15" s="5">
        <v>27.417999999999999</v>
      </c>
      <c r="H15" s="6">
        <v>342.9</v>
      </c>
      <c r="I15" s="5">
        <v>891.74699999999996</v>
      </c>
      <c r="J15" s="7">
        <v>1.0251967592592589E-3</v>
      </c>
      <c r="K15" s="8" t="b">
        <v>0</v>
      </c>
      <c r="L15" s="8" t="b">
        <v>0</v>
      </c>
      <c r="M15" s="8" t="b">
        <v>0</v>
      </c>
    </row>
    <row r="16" spans="1:14" x14ac:dyDescent="0.3">
      <c r="A16" s="3">
        <v>11</v>
      </c>
      <c r="B16" s="4" t="s">
        <v>110</v>
      </c>
      <c r="C16" s="5">
        <v>88.299000000000007</v>
      </c>
      <c r="D16" s="5">
        <v>22.936</v>
      </c>
      <c r="E16" s="5">
        <v>23.562999999999999</v>
      </c>
      <c r="F16" s="5">
        <v>14.295999999999999</v>
      </c>
      <c r="G16" s="5">
        <v>27.504000000000001</v>
      </c>
      <c r="H16" s="6">
        <v>349.5</v>
      </c>
      <c r="I16" s="5">
        <v>980.04600000000005</v>
      </c>
      <c r="J16" s="7">
        <v>1.0219791666666669E-3</v>
      </c>
      <c r="K16" s="8" t="b">
        <v>0</v>
      </c>
      <c r="L16" s="8" t="b">
        <v>0</v>
      </c>
      <c r="M16" s="8" t="b">
        <v>0</v>
      </c>
    </row>
    <row r="17" spans="1:13" x14ac:dyDescent="0.3">
      <c r="A17" s="3">
        <v>12</v>
      </c>
      <c r="B17" s="4" t="s">
        <v>127</v>
      </c>
      <c r="C17" s="5">
        <v>88.212000000000003</v>
      </c>
      <c r="D17" s="5">
        <v>23.018999999999998</v>
      </c>
      <c r="E17" s="5">
        <v>23.434000000000001</v>
      </c>
      <c r="F17" s="5">
        <v>14.27</v>
      </c>
      <c r="G17" s="5">
        <v>27.489000000000001</v>
      </c>
      <c r="H17" s="6">
        <v>347.3</v>
      </c>
      <c r="I17" s="5">
        <v>1068.258</v>
      </c>
      <c r="J17" s="7">
        <v>1.0209722222222219E-3</v>
      </c>
      <c r="K17" s="8" t="b">
        <v>0</v>
      </c>
      <c r="L17" s="8" t="b">
        <v>0</v>
      </c>
      <c r="M17" s="8" t="b">
        <v>0</v>
      </c>
    </row>
    <row r="18" spans="1:13" x14ac:dyDescent="0.3">
      <c r="A18" s="3">
        <v>13</v>
      </c>
      <c r="B18" s="4" t="s">
        <v>128</v>
      </c>
      <c r="C18" s="5">
        <v>88.585999999999999</v>
      </c>
      <c r="D18" s="5">
        <v>23.001999999999999</v>
      </c>
      <c r="E18" s="5">
        <v>23.591000000000001</v>
      </c>
      <c r="F18" s="5">
        <v>14.323</v>
      </c>
      <c r="G18" s="5">
        <v>27.67</v>
      </c>
      <c r="H18" s="6">
        <v>346.1</v>
      </c>
      <c r="I18" s="5">
        <v>1156.8440000000001</v>
      </c>
      <c r="J18" s="7">
        <v>1.025300925925926E-3</v>
      </c>
      <c r="K18" s="8" t="b">
        <v>0</v>
      </c>
      <c r="L18" s="8" t="b">
        <v>0</v>
      </c>
      <c r="M18" s="8" t="b">
        <v>0</v>
      </c>
    </row>
  </sheetData>
  <autoFilter ref="A5:M18" xr:uid="{00000000-0009-0000-0000-000006000000}"/>
  <mergeCells count="1">
    <mergeCell ref="A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8"/>
  <sheetViews>
    <sheetView zoomScale="80" zoomScaleNormal="80" workbookViewId="0">
      <pane ySplit="5" topLeftCell="A6" activePane="bottomLeft" state="frozen"/>
      <selection pane="bottomLeft" sqref="A1:M1"/>
    </sheetView>
  </sheetViews>
  <sheetFormatPr defaultRowHeight="14.4" x14ac:dyDescent="0.3"/>
  <cols>
    <col min="1" max="1" width="8.6640625" customWidth="1"/>
    <col min="2" max="2" width="12.6640625" customWidth="1"/>
    <col min="3" max="10" width="18.6640625" customWidth="1"/>
    <col min="11" max="13" width="15.6640625" customWidth="1"/>
  </cols>
  <sheetData>
    <row r="1" spans="1:14" ht="21" x14ac:dyDescent="0.3">
      <c r="A1" s="31" t="s">
        <v>129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3" spans="1:14" x14ac:dyDescent="0.3">
      <c r="A3" s="1" t="s">
        <v>1</v>
      </c>
      <c r="B3" s="1" t="s">
        <v>130</v>
      </c>
      <c r="C3" s="1" t="s">
        <v>3</v>
      </c>
      <c r="D3" s="1" t="s">
        <v>131</v>
      </c>
      <c r="E3" s="1" t="s">
        <v>5</v>
      </c>
      <c r="F3" s="1" t="s">
        <v>132</v>
      </c>
      <c r="G3" s="1" t="s">
        <v>7</v>
      </c>
      <c r="H3" s="1">
        <v>13</v>
      </c>
      <c r="I3" s="1" t="s">
        <v>8</v>
      </c>
      <c r="J3" s="1">
        <v>12</v>
      </c>
      <c r="K3" s="1" t="s">
        <v>9</v>
      </c>
      <c r="L3" s="1" t="s">
        <v>10</v>
      </c>
      <c r="M3" s="1" t="s">
        <v>11</v>
      </c>
      <c r="N3" s="1" t="s">
        <v>12</v>
      </c>
    </row>
    <row r="5" spans="1:14" x14ac:dyDescent="0.3">
      <c r="A5" s="2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  <c r="H5" s="2" t="s">
        <v>20</v>
      </c>
      <c r="I5" s="2" t="s">
        <v>21</v>
      </c>
      <c r="J5" s="2" t="s">
        <v>22</v>
      </c>
      <c r="K5" s="2" t="s">
        <v>23</v>
      </c>
      <c r="L5" s="2" t="s">
        <v>24</v>
      </c>
      <c r="M5" s="2" t="s">
        <v>25</v>
      </c>
    </row>
    <row r="6" spans="1:14" x14ac:dyDescent="0.3">
      <c r="A6" s="3">
        <v>1</v>
      </c>
      <c r="B6" s="4" t="s">
        <v>133</v>
      </c>
      <c r="C6" s="5">
        <v>94.876999999999995</v>
      </c>
      <c r="D6" s="5">
        <v>29.172000000000001</v>
      </c>
      <c r="E6" s="5">
        <v>24.055</v>
      </c>
      <c r="F6" s="5">
        <v>14.262</v>
      </c>
      <c r="G6" s="5">
        <v>27.388000000000002</v>
      </c>
      <c r="H6" s="6">
        <v>244.6</v>
      </c>
      <c r="I6" s="5">
        <v>94.876999999999995</v>
      </c>
      <c r="J6" s="7">
        <v>1.098113425925926E-3</v>
      </c>
      <c r="K6" s="8" t="b">
        <v>0</v>
      </c>
      <c r="L6" s="8" t="b">
        <v>0</v>
      </c>
      <c r="M6" s="8" t="b">
        <v>0</v>
      </c>
    </row>
    <row r="7" spans="1:14" x14ac:dyDescent="0.3">
      <c r="A7" s="3">
        <v>2</v>
      </c>
      <c r="B7" s="4" t="s">
        <v>134</v>
      </c>
      <c r="C7" s="5">
        <v>88.441000000000003</v>
      </c>
      <c r="D7" s="5">
        <v>23.213999999999999</v>
      </c>
      <c r="E7" s="5">
        <v>23.466999999999999</v>
      </c>
      <c r="F7" s="5">
        <v>14.366</v>
      </c>
      <c r="G7" s="5">
        <v>27.393999999999998</v>
      </c>
      <c r="H7" s="6">
        <v>336.5</v>
      </c>
      <c r="I7" s="5">
        <v>183.31800000000001</v>
      </c>
      <c r="J7" s="7">
        <v>1.0236226851851849E-3</v>
      </c>
      <c r="K7" s="8" t="b">
        <v>0</v>
      </c>
      <c r="L7" s="8" t="b">
        <v>0</v>
      </c>
      <c r="M7" s="8" t="b">
        <v>0</v>
      </c>
    </row>
    <row r="8" spans="1:14" x14ac:dyDescent="0.3">
      <c r="A8" s="3">
        <v>3</v>
      </c>
      <c r="B8" s="4" t="s">
        <v>127</v>
      </c>
      <c r="C8" s="5">
        <v>88.212000000000003</v>
      </c>
      <c r="D8" s="5">
        <v>23.114999999999998</v>
      </c>
      <c r="E8" s="5">
        <v>23.49</v>
      </c>
      <c r="F8" s="5">
        <v>14.129</v>
      </c>
      <c r="G8" s="5">
        <v>27.478000000000002</v>
      </c>
      <c r="H8" s="6">
        <v>338.6</v>
      </c>
      <c r="I8" s="5">
        <v>271.52999999999997</v>
      </c>
      <c r="J8" s="7">
        <v>1.0209722222222219E-3</v>
      </c>
      <c r="K8" s="8" t="b">
        <v>0</v>
      </c>
      <c r="L8" s="8" t="b">
        <v>0</v>
      </c>
      <c r="M8" s="8" t="b">
        <v>0</v>
      </c>
    </row>
    <row r="9" spans="1:14" x14ac:dyDescent="0.3">
      <c r="A9" s="3">
        <v>4</v>
      </c>
      <c r="B9" s="4" t="s">
        <v>135</v>
      </c>
      <c r="C9" s="5">
        <v>88.353999999999999</v>
      </c>
      <c r="D9" s="5">
        <v>23.085999999999999</v>
      </c>
      <c r="E9" s="5">
        <v>23.597000000000001</v>
      </c>
      <c r="F9" s="5">
        <v>14.178000000000001</v>
      </c>
      <c r="G9" s="5">
        <v>27.492999999999999</v>
      </c>
      <c r="H9" s="6">
        <v>336.5</v>
      </c>
      <c r="I9" s="5">
        <v>359.88400000000001</v>
      </c>
      <c r="J9" s="7">
        <v>1.022615740740741E-3</v>
      </c>
      <c r="K9" s="8" t="b">
        <v>0</v>
      </c>
      <c r="L9" s="8" t="b">
        <v>0</v>
      </c>
      <c r="M9" s="8" t="b">
        <v>0</v>
      </c>
    </row>
    <row r="10" spans="1:14" x14ac:dyDescent="0.3">
      <c r="A10" s="3">
        <v>5</v>
      </c>
      <c r="B10" s="4" t="s">
        <v>136</v>
      </c>
      <c r="C10" s="5">
        <v>88.853999999999999</v>
      </c>
      <c r="D10" s="5">
        <v>23.478999999999999</v>
      </c>
      <c r="E10" s="5">
        <v>23.553999999999998</v>
      </c>
      <c r="F10" s="5">
        <v>14.3</v>
      </c>
      <c r="G10" s="5">
        <v>27.521000000000001</v>
      </c>
      <c r="H10" s="6">
        <v>327.3</v>
      </c>
      <c r="I10" s="5">
        <v>448.738</v>
      </c>
      <c r="J10" s="7">
        <v>1.028402777777778E-3</v>
      </c>
      <c r="K10" s="8" t="b">
        <v>0</v>
      </c>
      <c r="L10" s="8" t="b">
        <v>0</v>
      </c>
      <c r="M10" s="8" t="b">
        <v>0</v>
      </c>
    </row>
    <row r="11" spans="1:14" x14ac:dyDescent="0.3">
      <c r="A11" s="3">
        <v>6</v>
      </c>
      <c r="B11" s="4" t="s">
        <v>137</v>
      </c>
      <c r="C11" s="5">
        <v>88.433999999999997</v>
      </c>
      <c r="D11" s="5">
        <v>23.199000000000002</v>
      </c>
      <c r="E11" s="5">
        <v>23.585000000000001</v>
      </c>
      <c r="F11" s="5">
        <v>14.18</v>
      </c>
      <c r="G11" s="5">
        <v>27.47</v>
      </c>
      <c r="H11" s="6">
        <v>338.6</v>
      </c>
      <c r="I11" s="5">
        <v>537.17200000000003</v>
      </c>
      <c r="J11" s="7">
        <v>1.023541666666667E-3</v>
      </c>
      <c r="K11" s="8" t="b">
        <v>0</v>
      </c>
      <c r="L11" s="8" t="b">
        <v>0</v>
      </c>
      <c r="M11" s="8" t="b">
        <v>0</v>
      </c>
    </row>
    <row r="12" spans="1:14" x14ac:dyDescent="0.3">
      <c r="A12" s="3">
        <v>7</v>
      </c>
      <c r="B12" s="4" t="s">
        <v>138</v>
      </c>
      <c r="C12" s="5">
        <v>88.915000000000006</v>
      </c>
      <c r="D12" s="5">
        <v>23.571999999999999</v>
      </c>
      <c r="E12" s="5">
        <v>23.652000000000001</v>
      </c>
      <c r="F12" s="5">
        <v>14.172000000000001</v>
      </c>
      <c r="G12" s="5">
        <v>27.518999999999998</v>
      </c>
      <c r="H12" s="6">
        <v>333.4</v>
      </c>
      <c r="I12" s="5">
        <v>626.08699999999999</v>
      </c>
      <c r="J12" s="7">
        <v>1.029108796296296E-3</v>
      </c>
      <c r="K12" s="8" t="b">
        <v>0</v>
      </c>
      <c r="L12" s="8" t="b">
        <v>0</v>
      </c>
      <c r="M12" s="8" t="b">
        <v>0</v>
      </c>
    </row>
    <row r="13" spans="1:14" x14ac:dyDescent="0.3">
      <c r="A13" s="3">
        <v>8</v>
      </c>
      <c r="B13" s="4" t="s">
        <v>139</v>
      </c>
      <c r="C13" s="5">
        <v>88.795000000000002</v>
      </c>
      <c r="D13" s="5">
        <v>23.314</v>
      </c>
      <c r="E13" s="5">
        <v>23.51</v>
      </c>
      <c r="F13" s="5">
        <v>14.271000000000001</v>
      </c>
      <c r="G13" s="5">
        <v>27.7</v>
      </c>
      <c r="H13" s="6">
        <v>334.4</v>
      </c>
      <c r="I13" s="5">
        <v>714.88199999999995</v>
      </c>
      <c r="J13" s="7">
        <v>1.027719907407408E-3</v>
      </c>
      <c r="K13" s="8" t="b">
        <v>0</v>
      </c>
      <c r="L13" s="8" t="b">
        <v>0</v>
      </c>
      <c r="M13" s="8" t="b">
        <v>0</v>
      </c>
    </row>
    <row r="14" spans="1:14" x14ac:dyDescent="0.3">
      <c r="A14" s="3">
        <v>9</v>
      </c>
      <c r="B14" s="4" t="s">
        <v>140</v>
      </c>
      <c r="C14" s="5">
        <v>89.07</v>
      </c>
      <c r="D14" s="5">
        <v>23.530999999999999</v>
      </c>
      <c r="E14" s="5">
        <v>23.895</v>
      </c>
      <c r="F14" s="5">
        <v>14.227</v>
      </c>
      <c r="G14" s="5">
        <v>27.417000000000002</v>
      </c>
      <c r="H14" s="6">
        <v>328.3</v>
      </c>
      <c r="I14" s="5">
        <v>803.952</v>
      </c>
      <c r="J14" s="7">
        <v>1.0309027777777779E-3</v>
      </c>
      <c r="K14" s="8" t="b">
        <v>0</v>
      </c>
      <c r="L14" s="8" t="b">
        <v>0</v>
      </c>
      <c r="M14" s="8" t="b">
        <v>0</v>
      </c>
    </row>
    <row r="15" spans="1:14" x14ac:dyDescent="0.3">
      <c r="A15" s="3">
        <v>10</v>
      </c>
      <c r="B15" s="4" t="s">
        <v>141</v>
      </c>
      <c r="C15" s="5">
        <v>88.182000000000002</v>
      </c>
      <c r="D15" s="5">
        <v>23.077000000000002</v>
      </c>
      <c r="E15" s="5">
        <v>23.49</v>
      </c>
      <c r="F15" s="5">
        <v>14.17</v>
      </c>
      <c r="G15" s="5">
        <v>27.445</v>
      </c>
      <c r="H15" s="6">
        <v>340.7</v>
      </c>
      <c r="I15" s="5">
        <v>892.13400000000001</v>
      </c>
      <c r="J15" s="7">
        <v>1.020625E-3</v>
      </c>
      <c r="K15" s="8" t="b">
        <v>0</v>
      </c>
      <c r="L15" s="8" t="b">
        <v>0</v>
      </c>
      <c r="M15" s="8" t="b">
        <v>0</v>
      </c>
    </row>
    <row r="16" spans="1:14" x14ac:dyDescent="0.3">
      <c r="A16" s="3">
        <v>11</v>
      </c>
      <c r="B16" s="4" t="s">
        <v>142</v>
      </c>
      <c r="C16" s="5">
        <v>88.191000000000003</v>
      </c>
      <c r="D16" s="5">
        <v>23.05</v>
      </c>
      <c r="E16" s="5">
        <v>23.478999999999999</v>
      </c>
      <c r="F16" s="5">
        <v>14.145</v>
      </c>
      <c r="G16" s="5">
        <v>27.516999999999999</v>
      </c>
      <c r="H16" s="6">
        <v>341.8</v>
      </c>
      <c r="I16" s="5">
        <v>980.32500000000005</v>
      </c>
      <c r="J16" s="7">
        <v>1.020729166666667E-3</v>
      </c>
      <c r="K16" s="8" t="b">
        <v>0</v>
      </c>
      <c r="L16" s="8" t="b">
        <v>0</v>
      </c>
      <c r="M16" s="8" t="b">
        <v>0</v>
      </c>
    </row>
    <row r="17" spans="1:13" x14ac:dyDescent="0.3">
      <c r="A17" s="3">
        <v>12</v>
      </c>
      <c r="B17" s="4" t="s">
        <v>143</v>
      </c>
      <c r="C17" s="5">
        <v>88.37</v>
      </c>
      <c r="D17" s="5">
        <v>23.183</v>
      </c>
      <c r="E17" s="5">
        <v>23.54</v>
      </c>
      <c r="F17" s="5">
        <v>14.143000000000001</v>
      </c>
      <c r="G17" s="5">
        <v>27.504000000000001</v>
      </c>
      <c r="H17" s="6">
        <v>341.8</v>
      </c>
      <c r="I17" s="5">
        <v>1068.6949999999999</v>
      </c>
      <c r="J17" s="7">
        <v>1.0228009259259259E-3</v>
      </c>
      <c r="K17" s="8" t="b">
        <v>0</v>
      </c>
      <c r="L17" s="8" t="b">
        <v>0</v>
      </c>
      <c r="M17" s="8" t="b">
        <v>0</v>
      </c>
    </row>
    <row r="18" spans="1:13" x14ac:dyDescent="0.3">
      <c r="A18" s="3">
        <v>13</v>
      </c>
      <c r="B18" s="4" t="s">
        <v>144</v>
      </c>
      <c r="C18" s="5">
        <v>88.498000000000005</v>
      </c>
      <c r="D18" s="5">
        <v>23.181999999999999</v>
      </c>
      <c r="E18" s="5">
        <v>23.588999999999999</v>
      </c>
      <c r="F18" s="5">
        <v>14.189</v>
      </c>
      <c r="G18" s="5">
        <v>27.538</v>
      </c>
      <c r="H18" s="6">
        <v>341.8</v>
      </c>
      <c r="I18" s="5">
        <v>1157.193</v>
      </c>
      <c r="J18" s="7">
        <v>1.024282407407408E-3</v>
      </c>
      <c r="K18" s="8" t="b">
        <v>0</v>
      </c>
      <c r="L18" s="8" t="b">
        <v>0</v>
      </c>
      <c r="M18" s="8" t="b">
        <v>0</v>
      </c>
    </row>
  </sheetData>
  <autoFilter ref="A5:M18" xr:uid="{00000000-0009-0000-0000-000007000000}"/>
  <mergeCells count="1">
    <mergeCell ref="A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18"/>
  <sheetViews>
    <sheetView zoomScale="80" zoomScaleNormal="80" workbookViewId="0">
      <pane ySplit="5" topLeftCell="A6" activePane="bottomLeft" state="frozen"/>
      <selection pane="bottomLeft" sqref="A1:M1"/>
    </sheetView>
  </sheetViews>
  <sheetFormatPr defaultRowHeight="14.4" x14ac:dyDescent="0.3"/>
  <cols>
    <col min="1" max="1" width="8.6640625" customWidth="1"/>
    <col min="2" max="2" width="12.6640625" customWidth="1"/>
    <col min="3" max="10" width="18.6640625" customWidth="1"/>
    <col min="11" max="13" width="15.6640625" customWidth="1"/>
  </cols>
  <sheetData>
    <row r="1" spans="1:14" ht="21" x14ac:dyDescent="0.3">
      <c r="A1" s="31" t="s">
        <v>145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3" spans="1:14" x14ac:dyDescent="0.3">
      <c r="A3" s="1" t="s">
        <v>1</v>
      </c>
      <c r="B3" s="1" t="s">
        <v>146</v>
      </c>
      <c r="C3" s="1" t="s">
        <v>3</v>
      </c>
      <c r="D3" s="1" t="s">
        <v>147</v>
      </c>
      <c r="E3" s="1" t="s">
        <v>5</v>
      </c>
      <c r="F3" s="1" t="s">
        <v>148</v>
      </c>
      <c r="G3" s="1" t="s">
        <v>7</v>
      </c>
      <c r="H3" s="1">
        <v>13</v>
      </c>
      <c r="I3" s="1" t="s">
        <v>8</v>
      </c>
      <c r="J3" s="1">
        <v>12</v>
      </c>
      <c r="K3" s="1" t="s">
        <v>9</v>
      </c>
      <c r="L3" s="1" t="s">
        <v>10</v>
      </c>
      <c r="M3" s="1" t="s">
        <v>11</v>
      </c>
      <c r="N3" s="1" t="s">
        <v>12</v>
      </c>
    </row>
    <row r="5" spans="1:14" x14ac:dyDescent="0.3">
      <c r="A5" s="2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  <c r="H5" s="2" t="s">
        <v>20</v>
      </c>
      <c r="I5" s="2" t="s">
        <v>21</v>
      </c>
      <c r="J5" s="2" t="s">
        <v>22</v>
      </c>
      <c r="K5" s="2" t="s">
        <v>23</v>
      </c>
      <c r="L5" s="2" t="s">
        <v>24</v>
      </c>
      <c r="M5" s="2" t="s">
        <v>25</v>
      </c>
    </row>
    <row r="6" spans="1:14" x14ac:dyDescent="0.3">
      <c r="A6" s="3">
        <v>1</v>
      </c>
      <c r="B6" s="4" t="s">
        <v>149</v>
      </c>
      <c r="C6" s="5">
        <v>95.32</v>
      </c>
      <c r="D6" s="5">
        <v>29.463000000000001</v>
      </c>
      <c r="E6" s="5">
        <v>23.952999999999999</v>
      </c>
      <c r="F6" s="5">
        <v>14.282999999999999</v>
      </c>
      <c r="G6" s="5">
        <v>27.620999999999999</v>
      </c>
      <c r="H6" s="6">
        <v>261.10000000000002</v>
      </c>
      <c r="I6" s="5">
        <v>95.32</v>
      </c>
      <c r="J6" s="7">
        <v>1.103240740740741E-3</v>
      </c>
      <c r="K6" s="8" t="b">
        <v>0</v>
      </c>
      <c r="L6" s="8" t="b">
        <v>0</v>
      </c>
      <c r="M6" s="8" t="b">
        <v>0</v>
      </c>
    </row>
    <row r="7" spans="1:14" x14ac:dyDescent="0.3">
      <c r="A7" s="3">
        <v>2</v>
      </c>
      <c r="B7" s="4" t="s">
        <v>150</v>
      </c>
      <c r="C7" s="5">
        <v>88.525999999999996</v>
      </c>
      <c r="D7" s="5">
        <v>23.294</v>
      </c>
      <c r="E7" s="5">
        <v>23.684999999999999</v>
      </c>
      <c r="F7" s="5">
        <v>14.262</v>
      </c>
      <c r="G7" s="5">
        <v>27.285</v>
      </c>
      <c r="H7" s="6">
        <v>344</v>
      </c>
      <c r="I7" s="5">
        <v>183.846</v>
      </c>
      <c r="J7" s="7">
        <v>1.0246064814814809E-3</v>
      </c>
      <c r="K7" s="8" t="b">
        <v>0</v>
      </c>
      <c r="L7" s="8" t="b">
        <v>0</v>
      </c>
      <c r="M7" s="8" t="b">
        <v>0</v>
      </c>
    </row>
    <row r="8" spans="1:14" x14ac:dyDescent="0.3">
      <c r="A8" s="3">
        <v>3</v>
      </c>
      <c r="B8" s="4" t="s">
        <v>151</v>
      </c>
      <c r="C8" s="5">
        <v>88.492000000000004</v>
      </c>
      <c r="D8" s="5">
        <v>23.34</v>
      </c>
      <c r="E8" s="5">
        <v>23.591999999999999</v>
      </c>
      <c r="F8" s="5">
        <v>14.212999999999999</v>
      </c>
      <c r="G8" s="5">
        <v>27.347000000000001</v>
      </c>
      <c r="H8" s="6">
        <v>338.6</v>
      </c>
      <c r="I8" s="5">
        <v>272.33800000000002</v>
      </c>
      <c r="J8" s="7">
        <v>1.0242129629629631E-3</v>
      </c>
      <c r="K8" s="8" t="b">
        <v>0</v>
      </c>
      <c r="L8" s="8" t="b">
        <v>0</v>
      </c>
      <c r="M8" s="8" t="b">
        <v>0</v>
      </c>
    </row>
    <row r="9" spans="1:14" x14ac:dyDescent="0.3">
      <c r="A9" s="3">
        <v>4</v>
      </c>
      <c r="B9" s="4" t="s">
        <v>143</v>
      </c>
      <c r="C9" s="5">
        <v>88.37</v>
      </c>
      <c r="D9" s="5">
        <v>23.132999999999999</v>
      </c>
      <c r="E9" s="5">
        <v>23.599</v>
      </c>
      <c r="F9" s="5">
        <v>14.273999999999999</v>
      </c>
      <c r="G9" s="5">
        <v>27.364000000000001</v>
      </c>
      <c r="H9" s="6">
        <v>345</v>
      </c>
      <c r="I9" s="5">
        <v>360.70800000000003</v>
      </c>
      <c r="J9" s="7">
        <v>1.0228009259259259E-3</v>
      </c>
      <c r="K9" s="8" t="b">
        <v>0</v>
      </c>
      <c r="L9" s="8" t="b">
        <v>0</v>
      </c>
      <c r="M9" s="8" t="b">
        <v>0</v>
      </c>
    </row>
    <row r="10" spans="1:14" x14ac:dyDescent="0.3">
      <c r="A10" s="3">
        <v>5</v>
      </c>
      <c r="B10" s="4" t="s">
        <v>152</v>
      </c>
      <c r="C10" s="5">
        <v>88.716999999999999</v>
      </c>
      <c r="D10" s="5">
        <v>23.170999999999999</v>
      </c>
      <c r="E10" s="5">
        <v>23.728000000000002</v>
      </c>
      <c r="F10" s="5">
        <v>14.182</v>
      </c>
      <c r="G10" s="5">
        <v>27.635999999999999</v>
      </c>
      <c r="H10" s="6">
        <v>335.4</v>
      </c>
      <c r="I10" s="5">
        <v>449.42500000000001</v>
      </c>
      <c r="J10" s="7">
        <v>1.0268171296296299E-3</v>
      </c>
      <c r="K10" s="8" t="b">
        <v>0</v>
      </c>
      <c r="L10" s="8" t="b">
        <v>0</v>
      </c>
      <c r="M10" s="8" t="b">
        <v>0</v>
      </c>
    </row>
    <row r="11" spans="1:14" x14ac:dyDescent="0.3">
      <c r="A11" s="3">
        <v>6</v>
      </c>
      <c r="B11" s="4" t="s">
        <v>153</v>
      </c>
      <c r="C11" s="5">
        <v>89.542000000000002</v>
      </c>
      <c r="D11" s="5">
        <v>23.140999999999998</v>
      </c>
      <c r="E11" s="5">
        <v>24.155999999999999</v>
      </c>
      <c r="F11" s="5">
        <v>14.327</v>
      </c>
      <c r="G11" s="5">
        <v>27.917999999999999</v>
      </c>
      <c r="H11" s="6">
        <v>341.8</v>
      </c>
      <c r="I11" s="5">
        <v>538.96699999999998</v>
      </c>
      <c r="J11" s="7">
        <v>1.0363657407407409E-3</v>
      </c>
      <c r="K11" s="8" t="b">
        <v>0</v>
      </c>
      <c r="L11" s="8" t="b">
        <v>0</v>
      </c>
      <c r="M11" s="8" t="b">
        <v>0</v>
      </c>
    </row>
    <row r="12" spans="1:14" x14ac:dyDescent="0.3">
      <c r="A12" s="3">
        <v>7</v>
      </c>
      <c r="B12" s="4" t="s">
        <v>154</v>
      </c>
      <c r="C12" s="5">
        <v>88.623000000000005</v>
      </c>
      <c r="D12" s="5">
        <v>23.231999999999999</v>
      </c>
      <c r="E12" s="5">
        <v>23.704999999999998</v>
      </c>
      <c r="F12" s="5">
        <v>14.291</v>
      </c>
      <c r="G12" s="5">
        <v>27.395</v>
      </c>
      <c r="H12" s="6">
        <v>339.6</v>
      </c>
      <c r="I12" s="5">
        <v>627.59</v>
      </c>
      <c r="J12" s="7">
        <v>1.025729166666667E-3</v>
      </c>
      <c r="K12" s="8" t="b">
        <v>0</v>
      </c>
      <c r="L12" s="8" t="b">
        <v>0</v>
      </c>
      <c r="M12" s="8" t="b">
        <v>0</v>
      </c>
    </row>
    <row r="13" spans="1:14" x14ac:dyDescent="0.3">
      <c r="A13" s="3">
        <v>8</v>
      </c>
      <c r="B13" s="4" t="s">
        <v>155</v>
      </c>
      <c r="C13" s="5">
        <v>88.578999999999994</v>
      </c>
      <c r="D13" s="5">
        <v>23.128</v>
      </c>
      <c r="E13" s="5">
        <v>23.606000000000002</v>
      </c>
      <c r="F13" s="5">
        <v>14.303000000000001</v>
      </c>
      <c r="G13" s="5">
        <v>27.542000000000002</v>
      </c>
      <c r="H13" s="6">
        <v>344</v>
      </c>
      <c r="I13" s="5">
        <v>716.16899999999998</v>
      </c>
      <c r="J13" s="7">
        <v>1.025219907407407E-3</v>
      </c>
      <c r="K13" s="8" t="b">
        <v>0</v>
      </c>
      <c r="L13" s="8" t="b">
        <v>0</v>
      </c>
      <c r="M13" s="8" t="b">
        <v>0</v>
      </c>
    </row>
    <row r="14" spans="1:14" x14ac:dyDescent="0.3">
      <c r="A14" s="3">
        <v>9</v>
      </c>
      <c r="B14" s="4" t="s">
        <v>156</v>
      </c>
      <c r="C14" s="5">
        <v>88.605000000000004</v>
      </c>
      <c r="D14" s="5">
        <v>23.245999999999999</v>
      </c>
      <c r="E14" s="5">
        <v>23.702000000000002</v>
      </c>
      <c r="F14" s="5">
        <v>14.234999999999999</v>
      </c>
      <c r="G14" s="5">
        <v>27.422000000000001</v>
      </c>
      <c r="H14" s="6">
        <v>342.9</v>
      </c>
      <c r="I14" s="5">
        <v>804.774</v>
      </c>
      <c r="J14" s="7">
        <v>1.0255208333333329E-3</v>
      </c>
      <c r="K14" s="8" t="b">
        <v>0</v>
      </c>
      <c r="L14" s="8" t="b">
        <v>0</v>
      </c>
      <c r="M14" s="8" t="b">
        <v>0</v>
      </c>
    </row>
    <row r="15" spans="1:14" x14ac:dyDescent="0.3">
      <c r="A15" s="3">
        <v>10</v>
      </c>
      <c r="B15" s="4" t="s">
        <v>157</v>
      </c>
      <c r="C15" s="5">
        <v>88.58</v>
      </c>
      <c r="D15" s="5">
        <v>23.117999999999999</v>
      </c>
      <c r="E15" s="5">
        <v>23.657</v>
      </c>
      <c r="F15" s="5">
        <v>14.242000000000001</v>
      </c>
      <c r="G15" s="5">
        <v>27.562999999999999</v>
      </c>
      <c r="H15" s="6">
        <v>342.9</v>
      </c>
      <c r="I15" s="5">
        <v>893.35400000000004</v>
      </c>
      <c r="J15" s="7">
        <v>1.025231481481482E-3</v>
      </c>
      <c r="K15" s="8" t="b">
        <v>0</v>
      </c>
      <c r="L15" s="8" t="b">
        <v>0</v>
      </c>
      <c r="M15" s="8" t="b">
        <v>0</v>
      </c>
    </row>
    <row r="16" spans="1:14" x14ac:dyDescent="0.3">
      <c r="A16" s="3">
        <v>11</v>
      </c>
      <c r="B16" s="4" t="s">
        <v>158</v>
      </c>
      <c r="C16" s="5">
        <v>88.933999999999997</v>
      </c>
      <c r="D16" s="5">
        <v>23.356999999999999</v>
      </c>
      <c r="E16" s="5">
        <v>23.748999999999999</v>
      </c>
      <c r="F16" s="5">
        <v>14.247</v>
      </c>
      <c r="G16" s="5">
        <v>27.581</v>
      </c>
      <c r="H16" s="6">
        <v>339.6</v>
      </c>
      <c r="I16" s="5">
        <v>982.28800000000001</v>
      </c>
      <c r="J16" s="7">
        <v>1.029328703703704E-3</v>
      </c>
      <c r="K16" s="8" t="b">
        <v>0</v>
      </c>
      <c r="L16" s="8" t="b">
        <v>0</v>
      </c>
      <c r="M16" s="8" t="b">
        <v>0</v>
      </c>
    </row>
    <row r="17" spans="1:13" x14ac:dyDescent="0.3">
      <c r="A17" s="3">
        <v>12</v>
      </c>
      <c r="B17" s="4" t="s">
        <v>159</v>
      </c>
      <c r="C17" s="5">
        <v>88.861000000000004</v>
      </c>
      <c r="D17" s="5">
        <v>23.111000000000001</v>
      </c>
      <c r="E17" s="5">
        <v>23.739000000000001</v>
      </c>
      <c r="F17" s="5">
        <v>14.313000000000001</v>
      </c>
      <c r="G17" s="5">
        <v>27.698</v>
      </c>
      <c r="H17" s="6">
        <v>341.8</v>
      </c>
      <c r="I17" s="5">
        <v>1071.1489999999999</v>
      </c>
      <c r="J17" s="7">
        <v>1.028483796296296E-3</v>
      </c>
      <c r="K17" s="8" t="b">
        <v>0</v>
      </c>
      <c r="L17" s="8" t="b">
        <v>0</v>
      </c>
      <c r="M17" s="8" t="b">
        <v>0</v>
      </c>
    </row>
    <row r="18" spans="1:13" x14ac:dyDescent="0.3">
      <c r="A18" s="3">
        <v>13</v>
      </c>
      <c r="B18" s="4" t="s">
        <v>160</v>
      </c>
      <c r="C18" s="5">
        <v>88.983999999999995</v>
      </c>
      <c r="D18" s="5">
        <v>23.1</v>
      </c>
      <c r="E18" s="5">
        <v>23.744</v>
      </c>
      <c r="F18" s="5">
        <v>14.273999999999999</v>
      </c>
      <c r="G18" s="5">
        <v>27.866</v>
      </c>
      <c r="H18" s="6">
        <v>340.7</v>
      </c>
      <c r="I18" s="5">
        <v>1160.133</v>
      </c>
      <c r="J18" s="7">
        <v>1.0299074074074069E-3</v>
      </c>
      <c r="K18" s="8" t="b">
        <v>0</v>
      </c>
      <c r="L18" s="8" t="b">
        <v>0</v>
      </c>
      <c r="M18" s="8" t="b">
        <v>0</v>
      </c>
    </row>
  </sheetData>
  <autoFilter ref="A5:M18" xr:uid="{00000000-0009-0000-0000-000008000000}"/>
  <mergeCells count="1">
    <mergeCell ref="A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18"/>
  <sheetViews>
    <sheetView zoomScale="80" zoomScaleNormal="80" workbookViewId="0">
      <pane ySplit="5" topLeftCell="A6" activePane="bottomLeft" state="frozen"/>
      <selection pane="bottomLeft" sqref="A1:M1"/>
    </sheetView>
  </sheetViews>
  <sheetFormatPr defaultRowHeight="14.4" x14ac:dyDescent="0.3"/>
  <cols>
    <col min="1" max="1" width="8.6640625" customWidth="1"/>
    <col min="2" max="2" width="12.6640625" customWidth="1"/>
    <col min="3" max="10" width="18.6640625" customWidth="1"/>
    <col min="11" max="13" width="15.6640625" customWidth="1"/>
  </cols>
  <sheetData>
    <row r="1" spans="1:14" ht="21" x14ac:dyDescent="0.3">
      <c r="A1" s="31" t="s">
        <v>161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3" spans="1:14" x14ac:dyDescent="0.3">
      <c r="A3" s="1" t="s">
        <v>1</v>
      </c>
      <c r="B3" s="1" t="s">
        <v>40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>
        <v>13</v>
      </c>
      <c r="I3" s="1" t="s">
        <v>8</v>
      </c>
      <c r="J3" s="1">
        <v>12</v>
      </c>
      <c r="K3" s="1" t="s">
        <v>9</v>
      </c>
      <c r="L3" s="1" t="s">
        <v>10</v>
      </c>
      <c r="M3" s="1" t="s">
        <v>11</v>
      </c>
      <c r="N3" s="1" t="s">
        <v>12</v>
      </c>
    </row>
    <row r="5" spans="1:14" x14ac:dyDescent="0.3">
      <c r="A5" s="2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  <c r="H5" s="2" t="s">
        <v>20</v>
      </c>
      <c r="I5" s="2" t="s">
        <v>21</v>
      </c>
      <c r="J5" s="2" t="s">
        <v>22</v>
      </c>
      <c r="K5" s="2" t="s">
        <v>23</v>
      </c>
      <c r="L5" s="2" t="s">
        <v>24</v>
      </c>
      <c r="M5" s="2" t="s">
        <v>25</v>
      </c>
    </row>
    <row r="6" spans="1:14" x14ac:dyDescent="0.3">
      <c r="A6" s="3">
        <v>1</v>
      </c>
      <c r="B6" s="4" t="s">
        <v>162</v>
      </c>
      <c r="C6" s="5">
        <v>96.781000000000006</v>
      </c>
      <c r="D6" s="5">
        <v>30.071999999999999</v>
      </c>
      <c r="E6" s="5">
        <v>24.495000000000001</v>
      </c>
      <c r="F6" s="5">
        <v>14.698</v>
      </c>
      <c r="G6" s="5">
        <v>27.515999999999998</v>
      </c>
      <c r="H6" s="6">
        <v>263</v>
      </c>
      <c r="I6" s="5">
        <v>96.781000000000006</v>
      </c>
      <c r="J6" s="7">
        <v>1.120150462962963E-3</v>
      </c>
      <c r="K6" s="8" t="b">
        <v>0</v>
      </c>
      <c r="L6" s="8" t="b">
        <v>0</v>
      </c>
      <c r="M6" s="8" t="b">
        <v>0</v>
      </c>
    </row>
    <row r="7" spans="1:14" x14ac:dyDescent="0.3">
      <c r="A7" s="3">
        <v>2</v>
      </c>
      <c r="B7" s="4" t="s">
        <v>163</v>
      </c>
      <c r="C7" s="5">
        <v>88.924999999999997</v>
      </c>
      <c r="D7" s="5">
        <v>23.305</v>
      </c>
      <c r="E7" s="5">
        <v>23.856999999999999</v>
      </c>
      <c r="F7" s="5">
        <v>14.311</v>
      </c>
      <c r="G7" s="5">
        <v>27.452000000000002</v>
      </c>
      <c r="H7" s="6">
        <v>323.39999999999998</v>
      </c>
      <c r="I7" s="5">
        <v>185.70599999999999</v>
      </c>
      <c r="J7" s="7">
        <v>1.029224537037037E-3</v>
      </c>
      <c r="K7" s="8" t="b">
        <v>0</v>
      </c>
      <c r="L7" s="8" t="b">
        <v>0</v>
      </c>
      <c r="M7" s="8" t="b">
        <v>0</v>
      </c>
    </row>
    <row r="8" spans="1:14" x14ac:dyDescent="0.3">
      <c r="A8" s="3">
        <v>3</v>
      </c>
      <c r="B8" s="4" t="s">
        <v>143</v>
      </c>
      <c r="C8" s="5">
        <v>88.37</v>
      </c>
      <c r="D8" s="5">
        <v>23.015999999999998</v>
      </c>
      <c r="E8" s="5">
        <v>23.641999999999999</v>
      </c>
      <c r="F8" s="5">
        <v>14.304</v>
      </c>
      <c r="G8" s="5">
        <v>27.408000000000001</v>
      </c>
      <c r="H8" s="6">
        <v>338.6</v>
      </c>
      <c r="I8" s="5">
        <v>274.07600000000002</v>
      </c>
      <c r="J8" s="7">
        <v>1.0228009259259259E-3</v>
      </c>
      <c r="K8" s="8" t="b">
        <v>0</v>
      </c>
      <c r="L8" s="8" t="b">
        <v>0</v>
      </c>
      <c r="M8" s="8" t="b">
        <v>0</v>
      </c>
    </row>
    <row r="9" spans="1:14" x14ac:dyDescent="0.3">
      <c r="A9" s="3">
        <v>4</v>
      </c>
      <c r="B9" s="4" t="s">
        <v>164</v>
      </c>
      <c r="C9" s="5">
        <v>88.638000000000005</v>
      </c>
      <c r="D9" s="5">
        <v>22.899000000000001</v>
      </c>
      <c r="E9" s="5">
        <v>23.975000000000001</v>
      </c>
      <c r="F9" s="5">
        <v>14.25</v>
      </c>
      <c r="G9" s="5">
        <v>27.513999999999999</v>
      </c>
      <c r="H9" s="6">
        <v>347.3</v>
      </c>
      <c r="I9" s="5">
        <v>362.714</v>
      </c>
      <c r="J9" s="7">
        <v>1.0259027777777779E-3</v>
      </c>
      <c r="K9" s="8" t="b">
        <v>0</v>
      </c>
      <c r="L9" s="8" t="b">
        <v>0</v>
      </c>
      <c r="M9" s="8" t="b">
        <v>0</v>
      </c>
    </row>
    <row r="10" spans="1:14" x14ac:dyDescent="0.3">
      <c r="A10" s="3">
        <v>5</v>
      </c>
      <c r="B10" s="4" t="s">
        <v>165</v>
      </c>
      <c r="C10" s="5">
        <v>88.302999999999997</v>
      </c>
      <c r="D10" s="5">
        <v>23.021000000000001</v>
      </c>
      <c r="E10" s="5">
        <v>23.622</v>
      </c>
      <c r="F10" s="5">
        <v>14.163</v>
      </c>
      <c r="G10" s="5">
        <v>27.497</v>
      </c>
      <c r="H10" s="6">
        <v>344</v>
      </c>
      <c r="I10" s="5">
        <v>451.017</v>
      </c>
      <c r="J10" s="7">
        <v>1.0220254629629631E-3</v>
      </c>
      <c r="K10" s="8" t="b">
        <v>0</v>
      </c>
      <c r="L10" s="8" t="b">
        <v>0</v>
      </c>
      <c r="M10" s="8" t="b">
        <v>0</v>
      </c>
    </row>
    <row r="11" spans="1:14" x14ac:dyDescent="0.3">
      <c r="A11" s="3">
        <v>6</v>
      </c>
      <c r="B11" s="4" t="s">
        <v>166</v>
      </c>
      <c r="C11" s="5">
        <v>88.076999999999998</v>
      </c>
      <c r="D11" s="5">
        <v>22.946000000000002</v>
      </c>
      <c r="E11" s="5">
        <v>23.611999999999998</v>
      </c>
      <c r="F11" s="5">
        <v>14.11</v>
      </c>
      <c r="G11" s="5">
        <v>27.408999999999999</v>
      </c>
      <c r="H11" s="6">
        <v>345</v>
      </c>
      <c r="I11" s="5">
        <v>539.09400000000005</v>
      </c>
      <c r="J11" s="7">
        <v>1.0194097222222219E-3</v>
      </c>
      <c r="K11" s="8" t="b">
        <v>0</v>
      </c>
      <c r="L11" s="8" t="b">
        <v>0</v>
      </c>
      <c r="M11" s="8" t="b">
        <v>0</v>
      </c>
    </row>
    <row r="12" spans="1:14" x14ac:dyDescent="0.3">
      <c r="A12" s="3">
        <v>7</v>
      </c>
      <c r="B12" s="4" t="s">
        <v>167</v>
      </c>
      <c r="C12" s="5">
        <v>88.614000000000004</v>
      </c>
      <c r="D12" s="5">
        <v>23.212</v>
      </c>
      <c r="E12" s="5">
        <v>23.733000000000001</v>
      </c>
      <c r="F12" s="5">
        <v>14.29</v>
      </c>
      <c r="G12" s="5">
        <v>27.379000000000001</v>
      </c>
      <c r="H12" s="6">
        <v>345</v>
      </c>
      <c r="I12" s="5">
        <v>627.70799999999997</v>
      </c>
      <c r="J12" s="7">
        <v>1.0256250000000001E-3</v>
      </c>
      <c r="K12" s="8" t="b">
        <v>0</v>
      </c>
      <c r="L12" s="8" t="b">
        <v>0</v>
      </c>
      <c r="M12" s="8" t="b">
        <v>0</v>
      </c>
    </row>
    <row r="13" spans="1:14" x14ac:dyDescent="0.3">
      <c r="A13" s="3">
        <v>8</v>
      </c>
      <c r="B13" s="4" t="s">
        <v>168</v>
      </c>
      <c r="C13" s="5">
        <v>88.542000000000002</v>
      </c>
      <c r="D13" s="5">
        <v>23.166</v>
      </c>
      <c r="E13" s="5">
        <v>23.635999999999999</v>
      </c>
      <c r="F13" s="5">
        <v>14.332000000000001</v>
      </c>
      <c r="G13" s="5">
        <v>27.408000000000001</v>
      </c>
      <c r="H13" s="6">
        <v>341.8</v>
      </c>
      <c r="I13" s="5">
        <v>716.25</v>
      </c>
      <c r="J13" s="7">
        <v>1.0247916666666669E-3</v>
      </c>
      <c r="K13" s="8" t="b">
        <v>0</v>
      </c>
      <c r="L13" s="8" t="b">
        <v>0</v>
      </c>
      <c r="M13" s="8" t="b">
        <v>0</v>
      </c>
    </row>
    <row r="14" spans="1:14" x14ac:dyDescent="0.3">
      <c r="A14" s="3">
        <v>9</v>
      </c>
      <c r="B14" s="4" t="s">
        <v>169</v>
      </c>
      <c r="C14" s="5">
        <v>88.402000000000001</v>
      </c>
      <c r="D14" s="5">
        <v>23.027000000000001</v>
      </c>
      <c r="E14" s="5">
        <v>23.599</v>
      </c>
      <c r="F14" s="5">
        <v>14.227</v>
      </c>
      <c r="G14" s="5">
        <v>27.548999999999999</v>
      </c>
      <c r="H14" s="6">
        <v>354.1</v>
      </c>
      <c r="I14" s="5">
        <v>804.65200000000004</v>
      </c>
      <c r="J14" s="7">
        <v>1.0231712962962959E-3</v>
      </c>
      <c r="K14" s="8" t="b">
        <v>0</v>
      </c>
      <c r="L14" s="8" t="b">
        <v>0</v>
      </c>
      <c r="M14" s="8" t="b">
        <v>0</v>
      </c>
    </row>
    <row r="15" spans="1:14" x14ac:dyDescent="0.3">
      <c r="A15" s="3">
        <v>10</v>
      </c>
      <c r="B15" s="4" t="s">
        <v>170</v>
      </c>
      <c r="C15" s="5">
        <v>88.59</v>
      </c>
      <c r="D15" s="5">
        <v>23.048999999999999</v>
      </c>
      <c r="E15" s="5">
        <v>23.692</v>
      </c>
      <c r="F15" s="5">
        <v>14.228</v>
      </c>
      <c r="G15" s="5">
        <v>27.620999999999999</v>
      </c>
      <c r="H15" s="6">
        <v>341.8</v>
      </c>
      <c r="I15" s="5">
        <v>893.24199999999996</v>
      </c>
      <c r="J15" s="7">
        <v>1.025347222222222E-3</v>
      </c>
      <c r="K15" s="8" t="b">
        <v>0</v>
      </c>
      <c r="L15" s="8" t="b">
        <v>0</v>
      </c>
      <c r="M15" s="8" t="b">
        <v>0</v>
      </c>
    </row>
    <row r="16" spans="1:14" x14ac:dyDescent="0.3">
      <c r="A16" s="3">
        <v>11</v>
      </c>
      <c r="B16" s="4" t="s">
        <v>171</v>
      </c>
      <c r="C16" s="5">
        <v>88.986000000000004</v>
      </c>
      <c r="D16" s="5">
        <v>23.306999999999999</v>
      </c>
      <c r="E16" s="5">
        <v>23.79</v>
      </c>
      <c r="F16" s="5">
        <v>14.214</v>
      </c>
      <c r="G16" s="5">
        <v>27.675000000000001</v>
      </c>
      <c r="H16" s="6">
        <v>341.8</v>
      </c>
      <c r="I16" s="5">
        <v>982.22799999999995</v>
      </c>
      <c r="J16" s="7">
        <v>1.0299305555555561E-3</v>
      </c>
      <c r="K16" s="8" t="b">
        <v>0</v>
      </c>
      <c r="L16" s="8" t="b">
        <v>0</v>
      </c>
      <c r="M16" s="8" t="b">
        <v>0</v>
      </c>
    </row>
    <row r="17" spans="1:13" x14ac:dyDescent="0.3">
      <c r="A17" s="3">
        <v>12</v>
      </c>
      <c r="B17" s="4" t="s">
        <v>172</v>
      </c>
      <c r="C17" s="5">
        <v>88.783000000000001</v>
      </c>
      <c r="D17" s="5">
        <v>23.010999999999999</v>
      </c>
      <c r="E17" s="5">
        <v>23.791</v>
      </c>
      <c r="F17" s="5">
        <v>14.268000000000001</v>
      </c>
      <c r="G17" s="5">
        <v>27.713000000000001</v>
      </c>
      <c r="H17" s="6">
        <v>341.8</v>
      </c>
      <c r="I17" s="5">
        <v>1071.011</v>
      </c>
      <c r="J17" s="7">
        <v>1.027581018518519E-3</v>
      </c>
      <c r="K17" s="8" t="b">
        <v>0</v>
      </c>
      <c r="L17" s="8" t="b">
        <v>0</v>
      </c>
      <c r="M17" s="8" t="b">
        <v>0</v>
      </c>
    </row>
    <row r="18" spans="1:13" x14ac:dyDescent="0.3">
      <c r="A18" s="3">
        <v>13</v>
      </c>
      <c r="B18" s="4" t="s">
        <v>173</v>
      </c>
      <c r="C18" s="5">
        <v>89.173000000000002</v>
      </c>
      <c r="D18" s="5">
        <v>23.097999999999999</v>
      </c>
      <c r="E18" s="5">
        <v>23.725999999999999</v>
      </c>
      <c r="F18" s="5">
        <v>14.317</v>
      </c>
      <c r="G18" s="5">
        <v>28.032</v>
      </c>
      <c r="H18" s="6">
        <v>341.8</v>
      </c>
      <c r="I18" s="5">
        <v>1160.184</v>
      </c>
      <c r="J18" s="7">
        <v>1.0320949074074069E-3</v>
      </c>
      <c r="K18" s="8" t="b">
        <v>0</v>
      </c>
      <c r="L18" s="8" t="b">
        <v>0</v>
      </c>
      <c r="M18" s="8" t="b">
        <v>0</v>
      </c>
    </row>
  </sheetData>
  <autoFilter ref="A5:M18" xr:uid="{00000000-0009-0000-0000-000009000000}"/>
  <mergeCells count="1">
    <mergeCell ref="A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18"/>
  <sheetViews>
    <sheetView zoomScale="80" zoomScaleNormal="80" workbookViewId="0">
      <pane ySplit="5" topLeftCell="A6" activePane="bottomLeft" state="frozen"/>
      <selection pane="bottomLeft" sqref="A1:M1"/>
    </sheetView>
  </sheetViews>
  <sheetFormatPr defaultRowHeight="14.4" x14ac:dyDescent="0.3"/>
  <cols>
    <col min="1" max="1" width="8.6640625" customWidth="1"/>
    <col min="2" max="2" width="12.6640625" customWidth="1"/>
    <col min="3" max="10" width="18.6640625" customWidth="1"/>
    <col min="11" max="13" width="15.6640625" customWidth="1"/>
  </cols>
  <sheetData>
    <row r="1" spans="1:14" ht="21" x14ac:dyDescent="0.3">
      <c r="A1" s="31" t="s">
        <v>174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3" spans="1:14" x14ac:dyDescent="0.3">
      <c r="A3" s="1" t="s">
        <v>1</v>
      </c>
      <c r="B3" s="1" t="s">
        <v>175</v>
      </c>
      <c r="C3" s="1" t="s">
        <v>3</v>
      </c>
      <c r="D3" s="1" t="s">
        <v>131</v>
      </c>
      <c r="E3" s="1" t="s">
        <v>5</v>
      </c>
      <c r="F3" s="1" t="s">
        <v>176</v>
      </c>
      <c r="G3" s="1" t="s">
        <v>7</v>
      </c>
      <c r="H3" s="1">
        <v>13</v>
      </c>
      <c r="I3" s="1" t="s">
        <v>8</v>
      </c>
      <c r="J3" s="1">
        <v>12</v>
      </c>
      <c r="K3" s="1" t="s">
        <v>9</v>
      </c>
      <c r="L3" s="1" t="s">
        <v>10</v>
      </c>
      <c r="M3" s="1" t="s">
        <v>11</v>
      </c>
      <c r="N3" s="1" t="s">
        <v>12</v>
      </c>
    </row>
    <row r="5" spans="1:14" x14ac:dyDescent="0.3">
      <c r="A5" s="2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  <c r="H5" s="2" t="s">
        <v>20</v>
      </c>
      <c r="I5" s="2" t="s">
        <v>21</v>
      </c>
      <c r="J5" s="2" t="s">
        <v>22</v>
      </c>
      <c r="K5" s="2" t="s">
        <v>23</v>
      </c>
      <c r="L5" s="2" t="s">
        <v>24</v>
      </c>
      <c r="M5" s="2" t="s">
        <v>25</v>
      </c>
    </row>
    <row r="6" spans="1:14" x14ac:dyDescent="0.3">
      <c r="A6" s="3">
        <v>1</v>
      </c>
      <c r="B6" s="4" t="s">
        <v>177</v>
      </c>
      <c r="C6" s="5">
        <v>97.116</v>
      </c>
      <c r="D6" s="5">
        <v>30.486999999999998</v>
      </c>
      <c r="E6" s="5">
        <v>24.355</v>
      </c>
      <c r="F6" s="5">
        <v>14.558999999999999</v>
      </c>
      <c r="G6" s="5">
        <v>27.715</v>
      </c>
      <c r="H6" s="6">
        <v>254.3</v>
      </c>
      <c r="I6" s="5">
        <v>97.116</v>
      </c>
      <c r="J6" s="7">
        <v>1.124027777777778E-3</v>
      </c>
      <c r="K6" s="8" t="b">
        <v>0</v>
      </c>
      <c r="L6" s="8" t="b">
        <v>0</v>
      </c>
      <c r="M6" s="8" t="b">
        <v>0</v>
      </c>
    </row>
    <row r="7" spans="1:14" x14ac:dyDescent="0.3">
      <c r="A7" s="3">
        <v>2</v>
      </c>
      <c r="B7" s="4" t="s">
        <v>178</v>
      </c>
      <c r="C7" s="5">
        <v>88.971999999999994</v>
      </c>
      <c r="D7" s="5">
        <v>23.210999999999999</v>
      </c>
      <c r="E7" s="5">
        <v>23.952000000000002</v>
      </c>
      <c r="F7" s="5">
        <v>14.336</v>
      </c>
      <c r="G7" s="5">
        <v>27.472999999999999</v>
      </c>
      <c r="H7" s="6">
        <v>342.9</v>
      </c>
      <c r="I7" s="5">
        <v>186.08799999999999</v>
      </c>
      <c r="J7" s="7">
        <v>1.029768518518518E-3</v>
      </c>
      <c r="K7" s="8" t="b">
        <v>0</v>
      </c>
      <c r="L7" s="8" t="b">
        <v>0</v>
      </c>
      <c r="M7" s="8" t="b">
        <v>0</v>
      </c>
    </row>
    <row r="8" spans="1:14" x14ac:dyDescent="0.3">
      <c r="A8" s="3">
        <v>3</v>
      </c>
      <c r="B8" s="4" t="s">
        <v>179</v>
      </c>
      <c r="C8" s="5">
        <v>88.412999999999997</v>
      </c>
      <c r="D8" s="5">
        <v>23.035</v>
      </c>
      <c r="E8" s="5">
        <v>23.664000000000001</v>
      </c>
      <c r="F8" s="5">
        <v>14.27</v>
      </c>
      <c r="G8" s="5">
        <v>27.443999999999999</v>
      </c>
      <c r="H8" s="6">
        <v>346.1</v>
      </c>
      <c r="I8" s="5">
        <v>274.50099999999998</v>
      </c>
      <c r="J8" s="7">
        <v>1.0232986111111109E-3</v>
      </c>
      <c r="K8" s="8" t="b">
        <v>0</v>
      </c>
      <c r="L8" s="8" t="b">
        <v>0</v>
      </c>
      <c r="M8" s="8" t="b">
        <v>0</v>
      </c>
    </row>
    <row r="9" spans="1:14" x14ac:dyDescent="0.3">
      <c r="A9" s="3">
        <v>4</v>
      </c>
      <c r="B9" s="4" t="s">
        <v>180</v>
      </c>
      <c r="C9" s="5">
        <v>88.426000000000002</v>
      </c>
      <c r="D9" s="5">
        <v>22.981999999999999</v>
      </c>
      <c r="E9" s="5">
        <v>23.63</v>
      </c>
      <c r="F9" s="5">
        <v>14.291</v>
      </c>
      <c r="G9" s="5">
        <v>27.523</v>
      </c>
      <c r="H9" s="6">
        <v>346.1</v>
      </c>
      <c r="I9" s="5">
        <v>362.92700000000002</v>
      </c>
      <c r="J9" s="7">
        <v>1.023449074074074E-3</v>
      </c>
      <c r="K9" s="8" t="b">
        <v>0</v>
      </c>
      <c r="L9" s="8" t="b">
        <v>0</v>
      </c>
      <c r="M9" s="8" t="b">
        <v>0</v>
      </c>
    </row>
    <row r="10" spans="1:14" x14ac:dyDescent="0.3">
      <c r="A10" s="3">
        <v>5</v>
      </c>
      <c r="B10" s="4" t="s">
        <v>181</v>
      </c>
      <c r="C10" s="5">
        <v>88.435000000000002</v>
      </c>
      <c r="D10" s="5">
        <v>23.045000000000002</v>
      </c>
      <c r="E10" s="5">
        <v>23.629000000000001</v>
      </c>
      <c r="F10" s="5">
        <v>14.233000000000001</v>
      </c>
      <c r="G10" s="5">
        <v>27.527999999999999</v>
      </c>
      <c r="H10" s="6">
        <v>348.4</v>
      </c>
      <c r="I10" s="5">
        <v>451.36200000000002</v>
      </c>
      <c r="J10" s="7">
        <v>1.0235532407407411E-3</v>
      </c>
      <c r="K10" s="8" t="b">
        <v>0</v>
      </c>
      <c r="L10" s="8" t="b">
        <v>0</v>
      </c>
      <c r="M10" s="8" t="b">
        <v>0</v>
      </c>
    </row>
    <row r="11" spans="1:14" x14ac:dyDescent="0.3">
      <c r="A11" s="3">
        <v>6</v>
      </c>
      <c r="B11" s="4" t="s">
        <v>182</v>
      </c>
      <c r="C11" s="5">
        <v>89.078999999999994</v>
      </c>
      <c r="D11" s="5">
        <v>23.1</v>
      </c>
      <c r="E11" s="5">
        <v>24.007999999999999</v>
      </c>
      <c r="F11" s="5">
        <v>14.352</v>
      </c>
      <c r="G11" s="5">
        <v>27.619</v>
      </c>
      <c r="H11" s="6">
        <v>344</v>
      </c>
      <c r="I11" s="5">
        <v>540.44100000000003</v>
      </c>
      <c r="J11" s="7">
        <v>1.031006944444444E-3</v>
      </c>
      <c r="K11" s="8" t="b">
        <v>0</v>
      </c>
      <c r="L11" s="8" t="b">
        <v>0</v>
      </c>
      <c r="M11" s="8" t="b">
        <v>0</v>
      </c>
    </row>
    <row r="12" spans="1:14" x14ac:dyDescent="0.3">
      <c r="A12" s="3">
        <v>7</v>
      </c>
      <c r="B12" s="4" t="s">
        <v>183</v>
      </c>
      <c r="C12" s="5">
        <v>88.631</v>
      </c>
      <c r="D12" s="5">
        <v>23.148</v>
      </c>
      <c r="E12" s="5">
        <v>23.721</v>
      </c>
      <c r="F12" s="5">
        <v>14.228</v>
      </c>
      <c r="G12" s="5">
        <v>27.533999999999999</v>
      </c>
      <c r="H12" s="6">
        <v>344</v>
      </c>
      <c r="I12" s="5">
        <v>629.072</v>
      </c>
      <c r="J12" s="7">
        <v>1.0258217592592591E-3</v>
      </c>
      <c r="K12" s="8" t="b">
        <v>0</v>
      </c>
      <c r="L12" s="8" t="b">
        <v>0</v>
      </c>
      <c r="M12" s="8" t="b">
        <v>0</v>
      </c>
    </row>
    <row r="13" spans="1:14" x14ac:dyDescent="0.3">
      <c r="A13" s="3">
        <v>8</v>
      </c>
      <c r="B13" s="4" t="s">
        <v>184</v>
      </c>
      <c r="C13" s="5">
        <v>88.790999999999997</v>
      </c>
      <c r="D13" s="5">
        <v>23.286000000000001</v>
      </c>
      <c r="E13" s="5">
        <v>23.582999999999998</v>
      </c>
      <c r="F13" s="5">
        <v>14.308</v>
      </c>
      <c r="G13" s="5">
        <v>27.614000000000001</v>
      </c>
      <c r="H13" s="6">
        <v>341.8</v>
      </c>
      <c r="I13" s="5">
        <v>717.86300000000006</v>
      </c>
      <c r="J13" s="7">
        <v>1.0276736111111109E-3</v>
      </c>
      <c r="K13" s="8" t="b">
        <v>0</v>
      </c>
      <c r="L13" s="8" t="b">
        <v>0</v>
      </c>
      <c r="M13" s="8" t="b">
        <v>0</v>
      </c>
    </row>
    <row r="14" spans="1:14" x14ac:dyDescent="0.3">
      <c r="A14" s="3">
        <v>9</v>
      </c>
      <c r="B14" s="4" t="s">
        <v>185</v>
      </c>
      <c r="C14" s="5">
        <v>88.513999999999996</v>
      </c>
      <c r="D14" s="5">
        <v>23.047000000000001</v>
      </c>
      <c r="E14" s="5">
        <v>23.559000000000001</v>
      </c>
      <c r="F14" s="5">
        <v>14.332000000000001</v>
      </c>
      <c r="G14" s="5">
        <v>27.576000000000001</v>
      </c>
      <c r="H14" s="6">
        <v>341.8</v>
      </c>
      <c r="I14" s="5">
        <v>806.37699999999995</v>
      </c>
      <c r="J14" s="7">
        <v>1.024467592592592E-3</v>
      </c>
      <c r="K14" s="8" t="b">
        <v>0</v>
      </c>
      <c r="L14" s="8" t="b">
        <v>0</v>
      </c>
      <c r="M14" s="8" t="b">
        <v>0</v>
      </c>
    </row>
    <row r="15" spans="1:14" x14ac:dyDescent="0.3">
      <c r="A15" s="3">
        <v>10</v>
      </c>
      <c r="B15" s="4" t="s">
        <v>186</v>
      </c>
      <c r="C15" s="5">
        <v>88.55</v>
      </c>
      <c r="D15" s="5">
        <v>23.120999999999999</v>
      </c>
      <c r="E15" s="5">
        <v>23.617000000000001</v>
      </c>
      <c r="F15" s="5">
        <v>14.208</v>
      </c>
      <c r="G15" s="5">
        <v>27.603999999999999</v>
      </c>
      <c r="H15" s="6">
        <v>342.9</v>
      </c>
      <c r="I15" s="5">
        <v>894.92700000000002</v>
      </c>
      <c r="J15" s="7">
        <v>1.024884259259259E-3</v>
      </c>
      <c r="K15" s="8" t="b">
        <v>0</v>
      </c>
      <c r="L15" s="8" t="b">
        <v>0</v>
      </c>
      <c r="M15" s="8" t="b">
        <v>0</v>
      </c>
    </row>
    <row r="16" spans="1:14" x14ac:dyDescent="0.3">
      <c r="A16" s="3">
        <v>11</v>
      </c>
      <c r="B16" s="4" t="s">
        <v>187</v>
      </c>
      <c r="C16" s="5">
        <v>88.486999999999995</v>
      </c>
      <c r="D16" s="5">
        <v>22.978000000000002</v>
      </c>
      <c r="E16" s="5">
        <v>23.683</v>
      </c>
      <c r="F16" s="5">
        <v>14.29</v>
      </c>
      <c r="G16" s="5">
        <v>27.536000000000001</v>
      </c>
      <c r="H16" s="6">
        <v>342.9</v>
      </c>
      <c r="I16" s="5">
        <v>983.41399999999999</v>
      </c>
      <c r="J16" s="7">
        <v>1.024155092592593E-3</v>
      </c>
      <c r="K16" s="8" t="b">
        <v>0</v>
      </c>
      <c r="L16" s="8" t="b">
        <v>0</v>
      </c>
      <c r="M16" s="8" t="b">
        <v>0</v>
      </c>
    </row>
    <row r="17" spans="1:13" x14ac:dyDescent="0.3">
      <c r="A17" s="3">
        <v>12</v>
      </c>
      <c r="B17" s="4" t="s">
        <v>150</v>
      </c>
      <c r="C17" s="5">
        <v>88.525999999999996</v>
      </c>
      <c r="D17" s="5">
        <v>23.050999999999998</v>
      </c>
      <c r="E17" s="5">
        <v>23.56</v>
      </c>
      <c r="F17" s="5">
        <v>14.21</v>
      </c>
      <c r="G17" s="5">
        <v>27.704999999999998</v>
      </c>
      <c r="H17" s="6">
        <v>345</v>
      </c>
      <c r="I17" s="5">
        <v>1071.94</v>
      </c>
      <c r="J17" s="7">
        <v>1.0246064814814809E-3</v>
      </c>
      <c r="K17" s="8" t="b">
        <v>0</v>
      </c>
      <c r="L17" s="8" t="b">
        <v>0</v>
      </c>
      <c r="M17" s="8" t="b">
        <v>0</v>
      </c>
    </row>
    <row r="18" spans="1:13" x14ac:dyDescent="0.3">
      <c r="A18" s="3">
        <v>13</v>
      </c>
      <c r="B18" s="4" t="s">
        <v>188</v>
      </c>
      <c r="C18" s="5">
        <v>88.686000000000007</v>
      </c>
      <c r="D18" s="5">
        <v>23.181999999999999</v>
      </c>
      <c r="E18" s="5">
        <v>23.596</v>
      </c>
      <c r="F18" s="5">
        <v>14.294</v>
      </c>
      <c r="G18" s="5">
        <v>27.614000000000001</v>
      </c>
      <c r="H18" s="6">
        <v>344</v>
      </c>
      <c r="I18" s="5">
        <v>1160.626</v>
      </c>
      <c r="J18" s="7">
        <v>1.026458333333333E-3</v>
      </c>
      <c r="K18" s="8" t="b">
        <v>0</v>
      </c>
      <c r="L18" s="8" t="b">
        <v>0</v>
      </c>
      <c r="M18" s="8" t="b">
        <v>0</v>
      </c>
    </row>
  </sheetData>
  <autoFilter ref="A5:M18" xr:uid="{00000000-0009-0000-0000-00000A000000}"/>
  <mergeCells count="1">
    <mergeCell ref="A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18"/>
  <sheetViews>
    <sheetView zoomScale="80" zoomScaleNormal="80" workbookViewId="0">
      <pane ySplit="5" topLeftCell="A6" activePane="bottomLeft" state="frozen"/>
      <selection pane="bottomLeft" sqref="A1:M1"/>
    </sheetView>
  </sheetViews>
  <sheetFormatPr defaultRowHeight="14.4" x14ac:dyDescent="0.3"/>
  <cols>
    <col min="1" max="1" width="8.6640625" customWidth="1"/>
    <col min="2" max="2" width="12.6640625" customWidth="1"/>
    <col min="3" max="10" width="18.6640625" customWidth="1"/>
    <col min="11" max="13" width="15.6640625" customWidth="1"/>
  </cols>
  <sheetData>
    <row r="1" spans="1:14" ht="21" x14ac:dyDescent="0.3">
      <c r="A1" s="31" t="s">
        <v>189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3" spans="1:14" x14ac:dyDescent="0.3">
      <c r="A3" s="1" t="s">
        <v>1</v>
      </c>
      <c r="B3" s="1" t="s">
        <v>190</v>
      </c>
      <c r="C3" s="1" t="s">
        <v>3</v>
      </c>
      <c r="D3" s="1" t="s">
        <v>86</v>
      </c>
      <c r="E3" s="1" t="s">
        <v>5</v>
      </c>
      <c r="F3" s="1" t="s">
        <v>56</v>
      </c>
      <c r="G3" s="1" t="s">
        <v>7</v>
      </c>
      <c r="H3" s="1">
        <v>13</v>
      </c>
      <c r="I3" s="1" t="s">
        <v>8</v>
      </c>
      <c r="J3" s="1">
        <v>12</v>
      </c>
      <c r="K3" s="1" t="s">
        <v>9</v>
      </c>
      <c r="L3" s="1" t="s">
        <v>10</v>
      </c>
      <c r="M3" s="1" t="s">
        <v>11</v>
      </c>
      <c r="N3" s="1" t="s">
        <v>12</v>
      </c>
    </row>
    <row r="5" spans="1:14" x14ac:dyDescent="0.3">
      <c r="A5" s="2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  <c r="H5" s="2" t="s">
        <v>20</v>
      </c>
      <c r="I5" s="2" t="s">
        <v>21</v>
      </c>
      <c r="J5" s="2" t="s">
        <v>22</v>
      </c>
      <c r="K5" s="2" t="s">
        <v>23</v>
      </c>
      <c r="L5" s="2" t="s">
        <v>24</v>
      </c>
      <c r="M5" s="2" t="s">
        <v>25</v>
      </c>
    </row>
    <row r="6" spans="1:14" x14ac:dyDescent="0.3">
      <c r="A6" s="3">
        <v>1</v>
      </c>
      <c r="B6" s="4" t="s">
        <v>191</v>
      </c>
      <c r="C6" s="5">
        <v>96.117000000000004</v>
      </c>
      <c r="D6" s="5">
        <v>29.812999999999999</v>
      </c>
      <c r="E6" s="5">
        <v>24.242999999999999</v>
      </c>
      <c r="F6" s="5">
        <v>14.391999999999999</v>
      </c>
      <c r="G6" s="5">
        <v>27.669</v>
      </c>
      <c r="H6" s="6">
        <v>260.39999999999998</v>
      </c>
      <c r="I6" s="5">
        <v>96.117000000000004</v>
      </c>
      <c r="J6" s="7">
        <v>1.112465277777778E-3</v>
      </c>
      <c r="K6" s="8" t="b">
        <v>0</v>
      </c>
      <c r="L6" s="8" t="b">
        <v>0</v>
      </c>
      <c r="M6" s="8" t="b">
        <v>0</v>
      </c>
    </row>
    <row r="7" spans="1:14" x14ac:dyDescent="0.3">
      <c r="A7" s="3">
        <v>2</v>
      </c>
      <c r="B7" s="4" t="s">
        <v>192</v>
      </c>
      <c r="C7" s="5">
        <v>90.006</v>
      </c>
      <c r="D7" s="5">
        <v>23.545000000000002</v>
      </c>
      <c r="E7" s="5">
        <v>24.148</v>
      </c>
      <c r="F7" s="5">
        <v>14.343999999999999</v>
      </c>
      <c r="G7" s="5">
        <v>27.969000000000001</v>
      </c>
      <c r="H7" s="6">
        <v>333.4</v>
      </c>
      <c r="I7" s="5">
        <v>186.12299999999999</v>
      </c>
      <c r="J7" s="7">
        <v>1.0417361111111109E-3</v>
      </c>
      <c r="K7" s="8" t="b">
        <v>0</v>
      </c>
      <c r="L7" s="8" t="b">
        <v>0</v>
      </c>
      <c r="M7" s="8" t="b">
        <v>0</v>
      </c>
    </row>
    <row r="8" spans="1:14" x14ac:dyDescent="0.3">
      <c r="A8" s="3">
        <v>3</v>
      </c>
      <c r="B8" s="4" t="s">
        <v>193</v>
      </c>
      <c r="C8" s="5">
        <v>88.619</v>
      </c>
      <c r="D8" s="5">
        <v>23.099</v>
      </c>
      <c r="E8" s="5">
        <v>23.946999999999999</v>
      </c>
      <c r="F8" s="5">
        <v>14.244</v>
      </c>
      <c r="G8" s="5">
        <v>27.329000000000001</v>
      </c>
      <c r="H8" s="6">
        <v>342.9</v>
      </c>
      <c r="I8" s="5">
        <v>274.74200000000002</v>
      </c>
      <c r="J8" s="7">
        <v>1.0256828703703699E-3</v>
      </c>
      <c r="K8" s="8" t="b">
        <v>0</v>
      </c>
      <c r="L8" s="8" t="b">
        <v>0</v>
      </c>
      <c r="M8" s="8" t="b">
        <v>0</v>
      </c>
    </row>
    <row r="9" spans="1:14" x14ac:dyDescent="0.3">
      <c r="A9" s="3">
        <v>4</v>
      </c>
      <c r="B9" s="4" t="s">
        <v>194</v>
      </c>
      <c r="C9" s="5">
        <v>88.230999999999995</v>
      </c>
      <c r="D9" s="5">
        <v>22.943000000000001</v>
      </c>
      <c r="E9" s="5">
        <v>23.629000000000001</v>
      </c>
      <c r="F9" s="5">
        <v>14.272</v>
      </c>
      <c r="G9" s="5">
        <v>27.387</v>
      </c>
      <c r="H9" s="6">
        <v>345</v>
      </c>
      <c r="I9" s="5">
        <v>362.97300000000001</v>
      </c>
      <c r="J9" s="7">
        <v>1.0211921296296291E-3</v>
      </c>
      <c r="K9" s="8" t="b">
        <v>0</v>
      </c>
      <c r="L9" s="8" t="b">
        <v>0</v>
      </c>
      <c r="M9" s="8" t="b">
        <v>0</v>
      </c>
    </row>
    <row r="10" spans="1:14" x14ac:dyDescent="0.3">
      <c r="A10" s="3">
        <v>5</v>
      </c>
      <c r="B10" s="4" t="s">
        <v>195</v>
      </c>
      <c r="C10" s="5">
        <v>88.418999999999997</v>
      </c>
      <c r="D10" s="5">
        <v>23.114999999999998</v>
      </c>
      <c r="E10" s="5">
        <v>23.672000000000001</v>
      </c>
      <c r="F10" s="5">
        <v>14.266999999999999</v>
      </c>
      <c r="G10" s="5">
        <v>27.364999999999998</v>
      </c>
      <c r="H10" s="6">
        <v>347.3</v>
      </c>
      <c r="I10" s="5">
        <v>451.392</v>
      </c>
      <c r="J10" s="7">
        <v>1.023368055555556E-3</v>
      </c>
      <c r="K10" s="8" t="b">
        <v>0</v>
      </c>
      <c r="L10" s="8" t="b">
        <v>0</v>
      </c>
      <c r="M10" s="8" t="b">
        <v>0</v>
      </c>
    </row>
    <row r="11" spans="1:14" x14ac:dyDescent="0.3">
      <c r="A11" s="3">
        <v>6</v>
      </c>
      <c r="B11" s="4" t="s">
        <v>196</v>
      </c>
      <c r="C11" s="5">
        <v>88.997</v>
      </c>
      <c r="D11" s="5">
        <v>23.140999999999998</v>
      </c>
      <c r="E11" s="5">
        <v>23.815999999999999</v>
      </c>
      <c r="F11" s="5">
        <v>14.367000000000001</v>
      </c>
      <c r="G11" s="5">
        <v>27.672999999999998</v>
      </c>
      <c r="H11" s="6">
        <v>347.3</v>
      </c>
      <c r="I11" s="5">
        <v>540.38900000000001</v>
      </c>
      <c r="J11" s="7">
        <v>1.03005787037037E-3</v>
      </c>
      <c r="K11" s="8" t="b">
        <v>0</v>
      </c>
      <c r="L11" s="8" t="b">
        <v>0</v>
      </c>
      <c r="M11" s="8" t="b">
        <v>0</v>
      </c>
    </row>
    <row r="12" spans="1:14" x14ac:dyDescent="0.3">
      <c r="A12" s="3">
        <v>7</v>
      </c>
      <c r="B12" s="4" t="s">
        <v>197</v>
      </c>
      <c r="C12" s="5">
        <v>89.686999999999998</v>
      </c>
      <c r="D12" s="5">
        <v>23.042000000000002</v>
      </c>
      <c r="E12" s="5">
        <v>24.753</v>
      </c>
      <c r="F12" s="5">
        <v>14.343</v>
      </c>
      <c r="G12" s="5">
        <v>27.548999999999999</v>
      </c>
      <c r="H12" s="6">
        <v>350.6</v>
      </c>
      <c r="I12" s="5">
        <v>630.07600000000002</v>
      </c>
      <c r="J12" s="7">
        <v>1.0380439814814809E-3</v>
      </c>
      <c r="K12" s="8" t="b">
        <v>0</v>
      </c>
      <c r="L12" s="8" t="b">
        <v>0</v>
      </c>
      <c r="M12" s="8" t="b">
        <v>0</v>
      </c>
    </row>
    <row r="13" spans="1:14" x14ac:dyDescent="0.3">
      <c r="A13" s="3">
        <v>8</v>
      </c>
      <c r="B13" s="4" t="s">
        <v>198</v>
      </c>
      <c r="C13" s="5">
        <v>88.347999999999999</v>
      </c>
      <c r="D13" s="5">
        <v>22.916</v>
      </c>
      <c r="E13" s="5">
        <v>23.574999999999999</v>
      </c>
      <c r="F13" s="5">
        <v>14.353</v>
      </c>
      <c r="G13" s="5">
        <v>27.504000000000001</v>
      </c>
      <c r="H13" s="6">
        <v>347.3</v>
      </c>
      <c r="I13" s="5">
        <v>718.42399999999998</v>
      </c>
      <c r="J13" s="7">
        <v>1.0225462962962959E-3</v>
      </c>
      <c r="K13" s="8" t="b">
        <v>0</v>
      </c>
      <c r="L13" s="8" t="b">
        <v>0</v>
      </c>
      <c r="M13" s="8" t="b">
        <v>0</v>
      </c>
    </row>
    <row r="14" spans="1:14" x14ac:dyDescent="0.3">
      <c r="A14" s="3">
        <v>9</v>
      </c>
      <c r="B14" s="4" t="s">
        <v>199</v>
      </c>
      <c r="C14" s="5">
        <v>88.492999999999995</v>
      </c>
      <c r="D14" s="5">
        <v>22.997</v>
      </c>
      <c r="E14" s="5">
        <v>23.614999999999998</v>
      </c>
      <c r="F14" s="5">
        <v>14.355</v>
      </c>
      <c r="G14" s="5">
        <v>27.526</v>
      </c>
      <c r="H14" s="6">
        <v>348.4</v>
      </c>
      <c r="I14" s="5">
        <v>806.91700000000003</v>
      </c>
      <c r="J14" s="7">
        <v>1.024224537037037E-3</v>
      </c>
      <c r="K14" s="8" t="b">
        <v>0</v>
      </c>
      <c r="L14" s="8" t="b">
        <v>0</v>
      </c>
      <c r="M14" s="8" t="b">
        <v>0</v>
      </c>
    </row>
    <row r="15" spans="1:14" x14ac:dyDescent="0.3">
      <c r="A15" s="3">
        <v>10</v>
      </c>
      <c r="B15" s="4" t="s">
        <v>200</v>
      </c>
      <c r="C15" s="5">
        <v>88.394000000000005</v>
      </c>
      <c r="D15" s="5">
        <v>22.931999999999999</v>
      </c>
      <c r="E15" s="5">
        <v>23.603000000000002</v>
      </c>
      <c r="F15" s="5">
        <v>14.375999999999999</v>
      </c>
      <c r="G15" s="5">
        <v>27.483000000000001</v>
      </c>
      <c r="H15" s="6">
        <v>351.8</v>
      </c>
      <c r="I15" s="5">
        <v>895.31100000000004</v>
      </c>
      <c r="J15" s="7">
        <v>1.023078703703704E-3</v>
      </c>
      <c r="K15" s="8" t="b">
        <v>0</v>
      </c>
      <c r="L15" s="8" t="b">
        <v>0</v>
      </c>
      <c r="M15" s="8" t="b">
        <v>0</v>
      </c>
    </row>
    <row r="16" spans="1:14" x14ac:dyDescent="0.3">
      <c r="A16" s="3">
        <v>11</v>
      </c>
      <c r="B16" s="4" t="s">
        <v>201</v>
      </c>
      <c r="C16" s="5">
        <v>88.331999999999994</v>
      </c>
      <c r="D16" s="5">
        <v>22.91</v>
      </c>
      <c r="E16" s="5">
        <v>23.670999999999999</v>
      </c>
      <c r="F16" s="5">
        <v>14.317</v>
      </c>
      <c r="G16" s="5">
        <v>27.434000000000001</v>
      </c>
      <c r="H16" s="6">
        <v>350.6</v>
      </c>
      <c r="I16" s="5">
        <v>983.64300000000003</v>
      </c>
      <c r="J16" s="7">
        <v>1.022361111111111E-3</v>
      </c>
      <c r="K16" s="8" t="b">
        <v>0</v>
      </c>
      <c r="L16" s="8" t="b">
        <v>0</v>
      </c>
      <c r="M16" s="8" t="b">
        <v>0</v>
      </c>
    </row>
    <row r="17" spans="1:13" x14ac:dyDescent="0.3">
      <c r="A17" s="3">
        <v>12</v>
      </c>
      <c r="B17" s="4" t="s">
        <v>202</v>
      </c>
      <c r="C17" s="5">
        <v>88.414000000000001</v>
      </c>
      <c r="D17" s="5">
        <v>22.949000000000002</v>
      </c>
      <c r="E17" s="5">
        <v>23.707999999999998</v>
      </c>
      <c r="F17" s="5">
        <v>14.25</v>
      </c>
      <c r="G17" s="5">
        <v>27.507000000000001</v>
      </c>
      <c r="H17" s="6">
        <v>354.1</v>
      </c>
      <c r="I17" s="5">
        <v>1072.057</v>
      </c>
      <c r="J17" s="7">
        <v>1.023310185185185E-3</v>
      </c>
      <c r="K17" s="8" t="b">
        <v>0</v>
      </c>
      <c r="L17" s="8" t="b">
        <v>0</v>
      </c>
      <c r="M17" s="8" t="b">
        <v>0</v>
      </c>
    </row>
    <row r="18" spans="1:13" x14ac:dyDescent="0.3">
      <c r="A18" s="3">
        <v>13</v>
      </c>
      <c r="B18" s="4" t="s">
        <v>184</v>
      </c>
      <c r="C18" s="5">
        <v>88.790999999999997</v>
      </c>
      <c r="D18" s="5">
        <v>23.193000000000001</v>
      </c>
      <c r="E18" s="5">
        <v>23.774999999999999</v>
      </c>
      <c r="F18" s="5">
        <v>14.247999999999999</v>
      </c>
      <c r="G18" s="5">
        <v>27.574999999999999</v>
      </c>
      <c r="H18" s="6">
        <v>352.9</v>
      </c>
      <c r="I18" s="5">
        <v>1160.848</v>
      </c>
      <c r="J18" s="7">
        <v>1.0276736111111109E-3</v>
      </c>
      <c r="K18" s="8" t="b">
        <v>0</v>
      </c>
      <c r="L18" s="8" t="b">
        <v>0</v>
      </c>
      <c r="M18" s="8" t="b">
        <v>0</v>
      </c>
    </row>
  </sheetData>
  <autoFilter ref="A5:M18" xr:uid="{00000000-0009-0000-0000-00000B000000}"/>
  <mergeCells count="1">
    <mergeCell ref="A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18"/>
  <sheetViews>
    <sheetView zoomScale="80" zoomScaleNormal="80" workbookViewId="0">
      <pane ySplit="5" topLeftCell="A6" activePane="bottomLeft" state="frozen"/>
      <selection pane="bottomLeft" sqref="A1:M1"/>
    </sheetView>
  </sheetViews>
  <sheetFormatPr defaultRowHeight="14.4" x14ac:dyDescent="0.3"/>
  <cols>
    <col min="1" max="1" width="8.6640625" customWidth="1"/>
    <col min="2" max="2" width="12.6640625" customWidth="1"/>
    <col min="3" max="10" width="18.6640625" customWidth="1"/>
    <col min="11" max="13" width="15.6640625" customWidth="1"/>
  </cols>
  <sheetData>
    <row r="1" spans="1:14" ht="21" x14ac:dyDescent="0.3">
      <c r="A1" s="31" t="s">
        <v>203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3" spans="1:14" x14ac:dyDescent="0.3">
      <c r="A3" s="1" t="s">
        <v>1</v>
      </c>
      <c r="B3" s="1" t="s">
        <v>175</v>
      </c>
      <c r="C3" s="1" t="s">
        <v>3</v>
      </c>
      <c r="D3" s="1" t="s">
        <v>131</v>
      </c>
      <c r="E3" s="1" t="s">
        <v>5</v>
      </c>
      <c r="F3" s="1" t="s">
        <v>6</v>
      </c>
      <c r="G3" s="1" t="s">
        <v>7</v>
      </c>
      <c r="H3" s="1">
        <v>13</v>
      </c>
      <c r="I3" s="1" t="s">
        <v>8</v>
      </c>
      <c r="J3" s="1">
        <v>12</v>
      </c>
      <c r="K3" s="1" t="s">
        <v>9</v>
      </c>
      <c r="L3" s="1" t="s">
        <v>10</v>
      </c>
      <c r="M3" s="1" t="s">
        <v>11</v>
      </c>
      <c r="N3" s="1" t="s">
        <v>12</v>
      </c>
    </row>
    <row r="5" spans="1:14" x14ac:dyDescent="0.3">
      <c r="A5" s="2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  <c r="H5" s="2" t="s">
        <v>20</v>
      </c>
      <c r="I5" s="2" t="s">
        <v>21</v>
      </c>
      <c r="J5" s="2" t="s">
        <v>22</v>
      </c>
      <c r="K5" s="2" t="s">
        <v>23</v>
      </c>
      <c r="L5" s="2" t="s">
        <v>24</v>
      </c>
      <c r="M5" s="2" t="s">
        <v>25</v>
      </c>
    </row>
    <row r="6" spans="1:14" x14ac:dyDescent="0.3">
      <c r="A6" s="3">
        <v>1</v>
      </c>
      <c r="B6" s="4" t="s">
        <v>204</v>
      </c>
      <c r="C6" s="5">
        <v>97.847999999999999</v>
      </c>
      <c r="D6" s="5">
        <v>30.806999999999999</v>
      </c>
      <c r="E6" s="5">
        <v>24.672000000000001</v>
      </c>
      <c r="F6" s="5">
        <v>14.603999999999999</v>
      </c>
      <c r="G6" s="5">
        <v>27.765000000000001</v>
      </c>
      <c r="H6" s="6">
        <v>261.7</v>
      </c>
      <c r="I6" s="5">
        <v>97.847999999999999</v>
      </c>
      <c r="J6" s="7">
        <v>1.1325E-3</v>
      </c>
      <c r="K6" s="8" t="b">
        <v>0</v>
      </c>
      <c r="L6" s="8" t="b">
        <v>0</v>
      </c>
      <c r="M6" s="8" t="b">
        <v>0</v>
      </c>
    </row>
    <row r="7" spans="1:14" x14ac:dyDescent="0.3">
      <c r="A7" s="3">
        <v>2</v>
      </c>
      <c r="B7" s="4" t="s">
        <v>205</v>
      </c>
      <c r="C7" s="5">
        <v>89.995000000000005</v>
      </c>
      <c r="D7" s="5">
        <v>23.774000000000001</v>
      </c>
      <c r="E7" s="5">
        <v>24.148</v>
      </c>
      <c r="F7" s="5">
        <v>14.566000000000001</v>
      </c>
      <c r="G7" s="5">
        <v>27.507000000000001</v>
      </c>
      <c r="H7" s="6">
        <v>321.5</v>
      </c>
      <c r="I7" s="5">
        <v>187.84299999999999</v>
      </c>
      <c r="J7" s="7">
        <v>1.0416087962962959E-3</v>
      </c>
      <c r="K7" s="8" t="b">
        <v>0</v>
      </c>
      <c r="L7" s="8" t="b">
        <v>0</v>
      </c>
      <c r="M7" s="8" t="b">
        <v>0</v>
      </c>
    </row>
    <row r="8" spans="1:14" x14ac:dyDescent="0.3">
      <c r="A8" s="3">
        <v>3</v>
      </c>
      <c r="B8" s="4" t="s">
        <v>206</v>
      </c>
      <c r="C8" s="5">
        <v>88.825999999999993</v>
      </c>
      <c r="D8" s="5">
        <v>23.13</v>
      </c>
      <c r="E8" s="5">
        <v>23.966999999999999</v>
      </c>
      <c r="F8" s="5">
        <v>14.317</v>
      </c>
      <c r="G8" s="5">
        <v>27.411999999999999</v>
      </c>
      <c r="H8" s="6">
        <v>342.9</v>
      </c>
      <c r="I8" s="5">
        <v>276.66899999999998</v>
      </c>
      <c r="J8" s="7">
        <v>1.028078703703704E-3</v>
      </c>
      <c r="K8" s="8" t="b">
        <v>0</v>
      </c>
      <c r="L8" s="8" t="b">
        <v>0</v>
      </c>
      <c r="M8" s="8" t="b">
        <v>0</v>
      </c>
    </row>
    <row r="9" spans="1:14" x14ac:dyDescent="0.3">
      <c r="A9" s="3">
        <v>4</v>
      </c>
      <c r="B9" s="4" t="s">
        <v>207</v>
      </c>
      <c r="C9" s="5">
        <v>88.466999999999999</v>
      </c>
      <c r="D9" s="5">
        <v>23.125</v>
      </c>
      <c r="E9" s="5">
        <v>23.588000000000001</v>
      </c>
      <c r="F9" s="5">
        <v>14.260999999999999</v>
      </c>
      <c r="G9" s="5">
        <v>27.492999999999999</v>
      </c>
      <c r="H9" s="6">
        <v>344</v>
      </c>
      <c r="I9" s="5">
        <v>365.13600000000002</v>
      </c>
      <c r="J9" s="7">
        <v>1.0239236111111111E-3</v>
      </c>
      <c r="K9" s="8" t="b">
        <v>0</v>
      </c>
      <c r="L9" s="8" t="b">
        <v>0</v>
      </c>
      <c r="M9" s="8" t="b">
        <v>0</v>
      </c>
    </row>
    <row r="10" spans="1:14" x14ac:dyDescent="0.3">
      <c r="A10" s="3">
        <v>5</v>
      </c>
      <c r="B10" s="4" t="s">
        <v>128</v>
      </c>
      <c r="C10" s="5">
        <v>88.585999999999999</v>
      </c>
      <c r="D10" s="5">
        <v>22.931999999999999</v>
      </c>
      <c r="E10" s="5">
        <v>23.712</v>
      </c>
      <c r="F10" s="5">
        <v>14.329000000000001</v>
      </c>
      <c r="G10" s="5">
        <v>27.613</v>
      </c>
      <c r="H10" s="6">
        <v>346.1</v>
      </c>
      <c r="I10" s="5">
        <v>453.72199999999998</v>
      </c>
      <c r="J10" s="7">
        <v>1.025300925925926E-3</v>
      </c>
      <c r="K10" s="8" t="b">
        <v>0</v>
      </c>
      <c r="L10" s="8" t="b">
        <v>0</v>
      </c>
      <c r="M10" s="8" t="b">
        <v>0</v>
      </c>
    </row>
    <row r="11" spans="1:14" x14ac:dyDescent="0.3">
      <c r="A11" s="3">
        <v>6</v>
      </c>
      <c r="B11" s="4" t="s">
        <v>208</v>
      </c>
      <c r="C11" s="5">
        <v>88.494</v>
      </c>
      <c r="D11" s="5">
        <v>23.114000000000001</v>
      </c>
      <c r="E11" s="5">
        <v>23.645</v>
      </c>
      <c r="F11" s="5">
        <v>14.196999999999999</v>
      </c>
      <c r="G11" s="5">
        <v>27.538</v>
      </c>
      <c r="H11" s="6">
        <v>339.6</v>
      </c>
      <c r="I11" s="5">
        <v>542.21600000000001</v>
      </c>
      <c r="J11" s="7">
        <v>1.024236111111111E-3</v>
      </c>
      <c r="K11" s="8" t="b">
        <v>0</v>
      </c>
      <c r="L11" s="8" t="b">
        <v>0</v>
      </c>
      <c r="M11" s="8" t="b">
        <v>0</v>
      </c>
    </row>
    <row r="12" spans="1:14" x14ac:dyDescent="0.3">
      <c r="A12" s="3">
        <v>7</v>
      </c>
      <c r="B12" s="4" t="s">
        <v>209</v>
      </c>
      <c r="C12" s="5">
        <v>88.266000000000005</v>
      </c>
      <c r="D12" s="5">
        <v>23.021000000000001</v>
      </c>
      <c r="E12" s="5">
        <v>23.52</v>
      </c>
      <c r="F12" s="5">
        <v>14.250999999999999</v>
      </c>
      <c r="G12" s="5">
        <v>27.474</v>
      </c>
      <c r="H12" s="6">
        <v>340.7</v>
      </c>
      <c r="I12" s="5">
        <v>630.48199999999997</v>
      </c>
      <c r="J12" s="7">
        <v>1.0215972222222219E-3</v>
      </c>
      <c r="K12" s="8" t="b">
        <v>0</v>
      </c>
      <c r="L12" s="8" t="b">
        <v>0</v>
      </c>
      <c r="M12" s="8" t="b">
        <v>0</v>
      </c>
    </row>
    <row r="13" spans="1:14" x14ac:dyDescent="0.3">
      <c r="A13" s="3">
        <v>8</v>
      </c>
      <c r="B13" s="4" t="s">
        <v>201</v>
      </c>
      <c r="C13" s="5">
        <v>88.331999999999994</v>
      </c>
      <c r="D13" s="5">
        <v>22.945</v>
      </c>
      <c r="E13" s="5">
        <v>23.623999999999999</v>
      </c>
      <c r="F13" s="5">
        <v>14.374000000000001</v>
      </c>
      <c r="G13" s="5">
        <v>27.388999999999999</v>
      </c>
      <c r="H13" s="6">
        <v>344</v>
      </c>
      <c r="I13" s="5">
        <v>718.81399999999996</v>
      </c>
      <c r="J13" s="7">
        <v>1.022361111111111E-3</v>
      </c>
      <c r="K13" s="8" t="b">
        <v>0</v>
      </c>
      <c r="L13" s="8" t="b">
        <v>0</v>
      </c>
      <c r="M13" s="8" t="b">
        <v>0</v>
      </c>
    </row>
    <row r="14" spans="1:14" x14ac:dyDescent="0.3">
      <c r="A14" s="3">
        <v>9</v>
      </c>
      <c r="B14" s="4" t="s">
        <v>210</v>
      </c>
      <c r="C14" s="5">
        <v>88.15</v>
      </c>
      <c r="D14" s="5">
        <v>22.957999999999998</v>
      </c>
      <c r="E14" s="5">
        <v>23.588999999999999</v>
      </c>
      <c r="F14" s="5">
        <v>14.276999999999999</v>
      </c>
      <c r="G14" s="5">
        <v>27.326000000000001</v>
      </c>
      <c r="H14" s="6">
        <v>344</v>
      </c>
      <c r="I14" s="5">
        <v>806.96400000000006</v>
      </c>
      <c r="J14" s="7">
        <v>1.0202546296296301E-3</v>
      </c>
      <c r="K14" s="8" t="b">
        <v>0</v>
      </c>
      <c r="L14" s="8" t="b">
        <v>0</v>
      </c>
      <c r="M14" s="8" t="b">
        <v>0</v>
      </c>
    </row>
    <row r="15" spans="1:14" x14ac:dyDescent="0.3">
      <c r="A15" s="3">
        <v>10</v>
      </c>
      <c r="B15" s="4" t="s">
        <v>27</v>
      </c>
      <c r="C15" s="5">
        <v>88.385999999999996</v>
      </c>
      <c r="D15" s="5">
        <v>22.954999999999998</v>
      </c>
      <c r="E15" s="5">
        <v>23.655999999999999</v>
      </c>
      <c r="F15" s="5">
        <v>14.337999999999999</v>
      </c>
      <c r="G15" s="5">
        <v>27.437000000000001</v>
      </c>
      <c r="H15" s="6">
        <v>346.1</v>
      </c>
      <c r="I15" s="5">
        <v>895.35</v>
      </c>
      <c r="J15" s="7">
        <v>1.022986111111111E-3</v>
      </c>
      <c r="K15" s="8" t="b">
        <v>0</v>
      </c>
      <c r="L15" s="8" t="b">
        <v>0</v>
      </c>
      <c r="M15" s="8" t="b">
        <v>0</v>
      </c>
    </row>
    <row r="16" spans="1:14" x14ac:dyDescent="0.3">
      <c r="A16" s="3">
        <v>11</v>
      </c>
      <c r="B16" s="4" t="s">
        <v>211</v>
      </c>
      <c r="C16" s="5">
        <v>88.335999999999999</v>
      </c>
      <c r="D16" s="5">
        <v>22.925999999999998</v>
      </c>
      <c r="E16" s="5">
        <v>23.690999999999999</v>
      </c>
      <c r="F16" s="5">
        <v>14.366</v>
      </c>
      <c r="G16" s="5">
        <v>27.353000000000002</v>
      </c>
      <c r="H16" s="6">
        <v>342.9</v>
      </c>
      <c r="I16" s="5">
        <v>983.68600000000004</v>
      </c>
      <c r="J16" s="7">
        <v>1.022407407407407E-3</v>
      </c>
      <c r="K16" s="8" t="b">
        <v>0</v>
      </c>
      <c r="L16" s="8" t="b">
        <v>0</v>
      </c>
      <c r="M16" s="8" t="b">
        <v>0</v>
      </c>
    </row>
    <row r="17" spans="1:13" x14ac:dyDescent="0.3">
      <c r="A17" s="3">
        <v>12</v>
      </c>
      <c r="B17" s="4" t="s">
        <v>126</v>
      </c>
      <c r="C17" s="5">
        <v>88.576999999999998</v>
      </c>
      <c r="D17" s="5">
        <v>23.085999999999999</v>
      </c>
      <c r="E17" s="5">
        <v>23.81</v>
      </c>
      <c r="F17" s="5">
        <v>14.263999999999999</v>
      </c>
      <c r="G17" s="5">
        <v>27.417000000000002</v>
      </c>
      <c r="H17" s="6">
        <v>334.4</v>
      </c>
      <c r="I17" s="5">
        <v>1072.2629999999999</v>
      </c>
      <c r="J17" s="7">
        <v>1.0251967592592589E-3</v>
      </c>
      <c r="K17" s="8" t="b">
        <v>0</v>
      </c>
      <c r="L17" s="8" t="b">
        <v>0</v>
      </c>
      <c r="M17" s="8" t="b">
        <v>0</v>
      </c>
    </row>
    <row r="18" spans="1:13" x14ac:dyDescent="0.3">
      <c r="A18" s="3">
        <v>13</v>
      </c>
      <c r="B18" s="4" t="s">
        <v>212</v>
      </c>
      <c r="C18" s="5">
        <v>88.715999999999994</v>
      </c>
      <c r="D18" s="5">
        <v>23.102</v>
      </c>
      <c r="E18" s="5">
        <v>23.809000000000001</v>
      </c>
      <c r="F18" s="5">
        <v>14.236000000000001</v>
      </c>
      <c r="G18" s="5">
        <v>27.568999999999999</v>
      </c>
      <c r="H18" s="6">
        <v>346.1</v>
      </c>
      <c r="I18" s="5">
        <v>1160.979</v>
      </c>
      <c r="J18" s="7">
        <v>1.026805555555556E-3</v>
      </c>
      <c r="K18" s="8" t="b">
        <v>0</v>
      </c>
      <c r="L18" s="8" t="b">
        <v>0</v>
      </c>
      <c r="M18" s="8" t="b">
        <v>0</v>
      </c>
    </row>
  </sheetData>
  <autoFilter ref="A5:M18" xr:uid="{00000000-0009-0000-0000-00000C000000}"/>
  <mergeCells count="1">
    <mergeCell ref="A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18"/>
  <sheetViews>
    <sheetView zoomScale="80" zoomScaleNormal="80" workbookViewId="0">
      <pane ySplit="5" topLeftCell="A6" activePane="bottomLeft" state="frozen"/>
      <selection pane="bottomLeft" sqref="A1:M1"/>
    </sheetView>
  </sheetViews>
  <sheetFormatPr defaultRowHeight="14.4" x14ac:dyDescent="0.3"/>
  <cols>
    <col min="1" max="1" width="8.6640625" customWidth="1"/>
    <col min="2" max="2" width="12.6640625" customWidth="1"/>
    <col min="3" max="10" width="18.6640625" customWidth="1"/>
    <col min="11" max="13" width="15.6640625" customWidth="1"/>
  </cols>
  <sheetData>
    <row r="1" spans="1:14" ht="21" x14ac:dyDescent="0.3">
      <c r="A1" s="31" t="s">
        <v>213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3" spans="1:14" x14ac:dyDescent="0.3">
      <c r="A3" s="1" t="s">
        <v>1</v>
      </c>
      <c r="B3" s="1" t="s">
        <v>55</v>
      </c>
      <c r="C3" s="1" t="s">
        <v>3</v>
      </c>
      <c r="D3" s="1" t="s">
        <v>4</v>
      </c>
      <c r="E3" s="1" t="s">
        <v>5</v>
      </c>
      <c r="F3" s="1" t="s">
        <v>56</v>
      </c>
      <c r="G3" s="1" t="s">
        <v>7</v>
      </c>
      <c r="H3" s="1">
        <v>13</v>
      </c>
      <c r="I3" s="1" t="s">
        <v>8</v>
      </c>
      <c r="J3" s="1">
        <v>12</v>
      </c>
      <c r="K3" s="1" t="s">
        <v>9</v>
      </c>
      <c r="L3" s="1" t="s">
        <v>10</v>
      </c>
      <c r="M3" s="1" t="s">
        <v>11</v>
      </c>
      <c r="N3" s="1" t="s">
        <v>12</v>
      </c>
    </row>
    <row r="5" spans="1:14" x14ac:dyDescent="0.3">
      <c r="A5" s="2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  <c r="H5" s="2" t="s">
        <v>20</v>
      </c>
      <c r="I5" s="2" t="s">
        <v>21</v>
      </c>
      <c r="J5" s="2" t="s">
        <v>22</v>
      </c>
      <c r="K5" s="2" t="s">
        <v>23</v>
      </c>
      <c r="L5" s="2" t="s">
        <v>24</v>
      </c>
      <c r="M5" s="2" t="s">
        <v>25</v>
      </c>
    </row>
    <row r="6" spans="1:14" x14ac:dyDescent="0.3">
      <c r="A6" s="3">
        <v>1</v>
      </c>
      <c r="B6" s="4" t="s">
        <v>214</v>
      </c>
      <c r="C6" s="5">
        <v>97.683000000000007</v>
      </c>
      <c r="D6" s="5">
        <v>30.745000000000001</v>
      </c>
      <c r="E6" s="5">
        <v>24.666</v>
      </c>
      <c r="F6" s="5">
        <v>14.554</v>
      </c>
      <c r="G6" s="5">
        <v>27.718</v>
      </c>
      <c r="H6" s="6">
        <v>264.2</v>
      </c>
      <c r="I6" s="5">
        <v>97.683000000000007</v>
      </c>
      <c r="J6" s="7">
        <v>1.1305902777777781E-3</v>
      </c>
      <c r="K6" s="8" t="b">
        <v>0</v>
      </c>
      <c r="L6" s="8" t="b">
        <v>0</v>
      </c>
      <c r="M6" s="8" t="b">
        <v>0</v>
      </c>
    </row>
    <row r="7" spans="1:14" x14ac:dyDescent="0.3">
      <c r="A7" s="3">
        <v>2</v>
      </c>
      <c r="B7" s="4" t="s">
        <v>215</v>
      </c>
      <c r="C7" s="5">
        <v>89.304000000000002</v>
      </c>
      <c r="D7" s="5">
        <v>23.614999999999998</v>
      </c>
      <c r="E7" s="5">
        <v>23.760999999999999</v>
      </c>
      <c r="F7" s="5">
        <v>14.435</v>
      </c>
      <c r="G7" s="5">
        <v>27.492999999999999</v>
      </c>
      <c r="H7" s="6">
        <v>321.5</v>
      </c>
      <c r="I7" s="5">
        <v>186.98699999999999</v>
      </c>
      <c r="J7" s="7">
        <v>1.033611111111111E-3</v>
      </c>
      <c r="K7" s="8" t="b">
        <v>0</v>
      </c>
      <c r="L7" s="8" t="b">
        <v>0</v>
      </c>
      <c r="M7" s="8" t="b">
        <v>0</v>
      </c>
    </row>
    <row r="8" spans="1:14" x14ac:dyDescent="0.3">
      <c r="A8" s="3">
        <v>3</v>
      </c>
      <c r="B8" s="4" t="s">
        <v>216</v>
      </c>
      <c r="C8" s="5">
        <v>89.65</v>
      </c>
      <c r="D8" s="5">
        <v>23.638999999999999</v>
      </c>
      <c r="E8" s="5">
        <v>23.975999999999999</v>
      </c>
      <c r="F8" s="5">
        <v>14.52</v>
      </c>
      <c r="G8" s="5">
        <v>27.515000000000001</v>
      </c>
      <c r="H8" s="6">
        <v>325.39999999999998</v>
      </c>
      <c r="I8" s="5">
        <v>276.637</v>
      </c>
      <c r="J8" s="7">
        <v>1.0376157407407411E-3</v>
      </c>
      <c r="K8" s="8" t="b">
        <v>0</v>
      </c>
      <c r="L8" s="8" t="b">
        <v>0</v>
      </c>
      <c r="M8" s="8" t="b">
        <v>0</v>
      </c>
    </row>
    <row r="9" spans="1:14" x14ac:dyDescent="0.3">
      <c r="A9" s="3">
        <v>4</v>
      </c>
      <c r="B9" s="4" t="s">
        <v>217</v>
      </c>
      <c r="C9" s="5">
        <v>89.344999999999999</v>
      </c>
      <c r="D9" s="5">
        <v>23.605</v>
      </c>
      <c r="E9" s="5">
        <v>23.823</v>
      </c>
      <c r="F9" s="5">
        <v>14.426</v>
      </c>
      <c r="G9" s="5">
        <v>27.491</v>
      </c>
      <c r="H9" s="6">
        <v>332.3</v>
      </c>
      <c r="I9" s="5">
        <v>365.98200000000003</v>
      </c>
      <c r="J9" s="7">
        <v>1.0340856481481479E-3</v>
      </c>
      <c r="K9" s="8" t="b">
        <v>0</v>
      </c>
      <c r="L9" s="8" t="b">
        <v>0</v>
      </c>
      <c r="M9" s="8" t="b">
        <v>0</v>
      </c>
    </row>
    <row r="10" spans="1:14" x14ac:dyDescent="0.3">
      <c r="A10" s="3">
        <v>5</v>
      </c>
      <c r="B10" s="4" t="s">
        <v>218</v>
      </c>
      <c r="C10" s="5">
        <v>89.061999999999998</v>
      </c>
      <c r="D10" s="5">
        <v>23.367999999999999</v>
      </c>
      <c r="E10" s="5">
        <v>23.7</v>
      </c>
      <c r="F10" s="5">
        <v>14.403</v>
      </c>
      <c r="G10" s="5">
        <v>27.591000000000001</v>
      </c>
      <c r="H10" s="6">
        <v>332.3</v>
      </c>
      <c r="I10" s="5">
        <v>455.04399999999998</v>
      </c>
      <c r="J10" s="7">
        <v>1.030810185185185E-3</v>
      </c>
      <c r="K10" s="8" t="b">
        <v>0</v>
      </c>
      <c r="L10" s="8" t="b">
        <v>0</v>
      </c>
      <c r="M10" s="8" t="b">
        <v>0</v>
      </c>
    </row>
    <row r="11" spans="1:14" x14ac:dyDescent="0.3">
      <c r="A11" s="3">
        <v>6</v>
      </c>
      <c r="B11" s="4" t="s">
        <v>219</v>
      </c>
      <c r="C11" s="5">
        <v>89.097999999999999</v>
      </c>
      <c r="D11" s="5">
        <v>23.581</v>
      </c>
      <c r="E11" s="5">
        <v>23.588999999999999</v>
      </c>
      <c r="F11" s="5">
        <v>14.349</v>
      </c>
      <c r="G11" s="5">
        <v>27.579000000000001</v>
      </c>
      <c r="H11" s="6">
        <v>328.3</v>
      </c>
      <c r="I11" s="5">
        <v>544.14200000000005</v>
      </c>
      <c r="J11" s="7">
        <v>1.031226851851852E-3</v>
      </c>
      <c r="K11" s="8" t="b">
        <v>0</v>
      </c>
      <c r="L11" s="8" t="b">
        <v>0</v>
      </c>
      <c r="M11" s="8" t="b">
        <v>0</v>
      </c>
    </row>
    <row r="12" spans="1:14" x14ac:dyDescent="0.3">
      <c r="A12" s="3">
        <v>7</v>
      </c>
      <c r="B12" s="4" t="s">
        <v>220</v>
      </c>
      <c r="C12" s="5">
        <v>89.075000000000003</v>
      </c>
      <c r="D12" s="5">
        <v>23.356000000000002</v>
      </c>
      <c r="E12" s="5">
        <v>23.71</v>
      </c>
      <c r="F12" s="5">
        <v>14.442</v>
      </c>
      <c r="G12" s="5">
        <v>27.567</v>
      </c>
      <c r="H12" s="6">
        <v>339.6</v>
      </c>
      <c r="I12" s="5">
        <v>633.21699999999998</v>
      </c>
      <c r="J12" s="7">
        <v>1.030960648148148E-3</v>
      </c>
      <c r="K12" s="8" t="b">
        <v>0</v>
      </c>
      <c r="L12" s="8" t="b">
        <v>0</v>
      </c>
      <c r="M12" s="8" t="b">
        <v>0</v>
      </c>
    </row>
    <row r="13" spans="1:14" x14ac:dyDescent="0.3">
      <c r="A13" s="3">
        <v>8</v>
      </c>
      <c r="B13" s="4" t="s">
        <v>221</v>
      </c>
      <c r="C13" s="5">
        <v>89.16</v>
      </c>
      <c r="D13" s="5">
        <v>23.297999999999998</v>
      </c>
      <c r="E13" s="5">
        <v>23.52</v>
      </c>
      <c r="F13" s="5">
        <v>14.768000000000001</v>
      </c>
      <c r="G13" s="5">
        <v>27.574000000000002</v>
      </c>
      <c r="H13" s="6">
        <v>336.5</v>
      </c>
      <c r="I13" s="5">
        <v>722.37699999999995</v>
      </c>
      <c r="J13" s="7">
        <v>1.0319444444444441E-3</v>
      </c>
      <c r="K13" s="8" t="b">
        <v>0</v>
      </c>
      <c r="L13" s="8" t="b">
        <v>0</v>
      </c>
      <c r="M13" s="8" t="b">
        <v>0</v>
      </c>
    </row>
    <row r="14" spans="1:14" x14ac:dyDescent="0.3">
      <c r="A14" s="3">
        <v>9</v>
      </c>
      <c r="B14" s="4" t="s">
        <v>222</v>
      </c>
      <c r="C14" s="5">
        <v>89.016000000000005</v>
      </c>
      <c r="D14" s="5">
        <v>23.501999999999999</v>
      </c>
      <c r="E14" s="5">
        <v>23.611999999999998</v>
      </c>
      <c r="F14" s="5">
        <v>14.32</v>
      </c>
      <c r="G14" s="5">
        <v>27.582000000000001</v>
      </c>
      <c r="H14" s="6">
        <v>337.5</v>
      </c>
      <c r="I14" s="5">
        <v>811.39300000000003</v>
      </c>
      <c r="J14" s="7">
        <v>1.030277777777778E-3</v>
      </c>
      <c r="K14" s="8" t="b">
        <v>0</v>
      </c>
      <c r="L14" s="8" t="b">
        <v>0</v>
      </c>
      <c r="M14" s="8" t="b">
        <v>0</v>
      </c>
    </row>
    <row r="15" spans="1:14" x14ac:dyDescent="0.3">
      <c r="A15" s="3">
        <v>10</v>
      </c>
      <c r="B15" s="4" t="s">
        <v>223</v>
      </c>
      <c r="C15" s="5">
        <v>88.95</v>
      </c>
      <c r="D15" s="5">
        <v>23.39</v>
      </c>
      <c r="E15" s="5">
        <v>23.576000000000001</v>
      </c>
      <c r="F15" s="5">
        <v>14.337999999999999</v>
      </c>
      <c r="G15" s="5">
        <v>27.646000000000001</v>
      </c>
      <c r="H15" s="6">
        <v>337.5</v>
      </c>
      <c r="I15" s="5">
        <v>900.34299999999996</v>
      </c>
      <c r="J15" s="7">
        <v>1.0295138888888891E-3</v>
      </c>
      <c r="K15" s="8" t="b">
        <v>0</v>
      </c>
      <c r="L15" s="8" t="b">
        <v>0</v>
      </c>
      <c r="M15" s="8" t="b">
        <v>0</v>
      </c>
    </row>
    <row r="16" spans="1:14" x14ac:dyDescent="0.3">
      <c r="A16" s="3">
        <v>11</v>
      </c>
      <c r="B16" s="4" t="s">
        <v>223</v>
      </c>
      <c r="C16" s="5">
        <v>88.95</v>
      </c>
      <c r="D16" s="5">
        <v>23.402999999999999</v>
      </c>
      <c r="E16" s="5">
        <v>23.611999999999998</v>
      </c>
      <c r="F16" s="5">
        <v>14.331</v>
      </c>
      <c r="G16" s="5">
        <v>27.603999999999999</v>
      </c>
      <c r="H16" s="6">
        <v>339.6</v>
      </c>
      <c r="I16" s="5">
        <v>989.29300000000001</v>
      </c>
      <c r="J16" s="7">
        <v>1.0295138888888891E-3</v>
      </c>
      <c r="K16" s="8" t="b">
        <v>0</v>
      </c>
      <c r="L16" s="8" t="b">
        <v>0</v>
      </c>
      <c r="M16" s="8" t="b">
        <v>0</v>
      </c>
    </row>
    <row r="17" spans="1:13" x14ac:dyDescent="0.3">
      <c r="A17" s="3">
        <v>12</v>
      </c>
      <c r="B17" s="4" t="s">
        <v>224</v>
      </c>
      <c r="C17" s="5">
        <v>89.287000000000006</v>
      </c>
      <c r="D17" s="5">
        <v>23.667000000000002</v>
      </c>
      <c r="E17" s="5">
        <v>23.619</v>
      </c>
      <c r="F17" s="5">
        <v>14.305</v>
      </c>
      <c r="G17" s="5">
        <v>27.696000000000002</v>
      </c>
      <c r="H17" s="6">
        <v>338.6</v>
      </c>
      <c r="I17" s="5">
        <v>1078.58</v>
      </c>
      <c r="J17" s="7">
        <v>1.033414351851852E-3</v>
      </c>
      <c r="K17" s="8" t="b">
        <v>0</v>
      </c>
      <c r="L17" s="8" t="b">
        <v>0</v>
      </c>
      <c r="M17" s="8" t="b">
        <v>0</v>
      </c>
    </row>
    <row r="18" spans="1:13" x14ac:dyDescent="0.3">
      <c r="A18" s="3">
        <v>13</v>
      </c>
      <c r="B18" s="4" t="s">
        <v>225</v>
      </c>
      <c r="C18" s="5">
        <v>89.108000000000004</v>
      </c>
      <c r="D18" s="5">
        <v>23.452000000000002</v>
      </c>
      <c r="E18" s="5">
        <v>23.559000000000001</v>
      </c>
      <c r="F18" s="5">
        <v>14.364000000000001</v>
      </c>
      <c r="G18" s="5">
        <v>27.733000000000001</v>
      </c>
      <c r="H18" s="6">
        <v>338.6</v>
      </c>
      <c r="I18" s="5">
        <v>1167.6880000000001</v>
      </c>
      <c r="J18" s="7">
        <v>1.031342592592593E-3</v>
      </c>
      <c r="K18" s="8" t="b">
        <v>0</v>
      </c>
      <c r="L18" s="8" t="b">
        <v>0</v>
      </c>
      <c r="M18" s="8" t="b">
        <v>0</v>
      </c>
    </row>
  </sheetData>
  <autoFilter ref="A5:M18" xr:uid="{00000000-0009-0000-0000-00000D000000}"/>
  <mergeCells count="1">
    <mergeCell ref="A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18"/>
  <sheetViews>
    <sheetView zoomScale="80" zoomScaleNormal="80" workbookViewId="0">
      <pane ySplit="5" topLeftCell="A6" activePane="bottomLeft" state="frozen"/>
      <selection pane="bottomLeft" sqref="A1:M1"/>
    </sheetView>
  </sheetViews>
  <sheetFormatPr defaultRowHeight="14.4" x14ac:dyDescent="0.3"/>
  <cols>
    <col min="1" max="1" width="8.6640625" customWidth="1"/>
    <col min="2" max="2" width="12.6640625" customWidth="1"/>
    <col min="3" max="10" width="18.6640625" customWidth="1"/>
    <col min="11" max="13" width="15.6640625" customWidth="1"/>
  </cols>
  <sheetData>
    <row r="1" spans="1:14" ht="21" x14ac:dyDescent="0.3">
      <c r="A1" s="31" t="s">
        <v>226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3" spans="1:14" x14ac:dyDescent="0.3">
      <c r="A3" s="1" t="s">
        <v>1</v>
      </c>
      <c r="B3" s="1" t="s">
        <v>227</v>
      </c>
      <c r="C3" s="1" t="s">
        <v>3</v>
      </c>
      <c r="D3" s="1" t="s">
        <v>131</v>
      </c>
      <c r="E3" s="1" t="s">
        <v>5</v>
      </c>
      <c r="F3" s="1" t="s">
        <v>6</v>
      </c>
      <c r="G3" s="1" t="s">
        <v>7</v>
      </c>
      <c r="H3" s="1">
        <v>13</v>
      </c>
      <c r="I3" s="1" t="s">
        <v>8</v>
      </c>
      <c r="J3" s="1">
        <v>12</v>
      </c>
      <c r="K3" s="1" t="s">
        <v>9</v>
      </c>
      <c r="L3" s="1" t="s">
        <v>10</v>
      </c>
      <c r="M3" s="1" t="s">
        <v>11</v>
      </c>
      <c r="N3" s="1" t="s">
        <v>12</v>
      </c>
    </row>
    <row r="5" spans="1:14" x14ac:dyDescent="0.3">
      <c r="A5" s="2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  <c r="H5" s="2" t="s">
        <v>20</v>
      </c>
      <c r="I5" s="2" t="s">
        <v>21</v>
      </c>
      <c r="J5" s="2" t="s">
        <v>22</v>
      </c>
      <c r="K5" s="2" t="s">
        <v>23</v>
      </c>
      <c r="L5" s="2" t="s">
        <v>24</v>
      </c>
      <c r="M5" s="2" t="s">
        <v>25</v>
      </c>
    </row>
    <row r="6" spans="1:14" x14ac:dyDescent="0.3">
      <c r="A6" s="3">
        <v>1</v>
      </c>
      <c r="B6" s="4" t="s">
        <v>228</v>
      </c>
      <c r="C6" s="5">
        <v>97.638000000000005</v>
      </c>
      <c r="D6" s="5">
        <v>30.308</v>
      </c>
      <c r="E6" s="5">
        <v>24.939</v>
      </c>
      <c r="F6" s="5">
        <v>14.602</v>
      </c>
      <c r="G6" s="5">
        <v>27.789000000000001</v>
      </c>
      <c r="H6" s="6">
        <v>252</v>
      </c>
      <c r="I6" s="5">
        <v>97.638000000000005</v>
      </c>
      <c r="J6" s="7">
        <v>1.130069444444445E-3</v>
      </c>
      <c r="K6" s="8" t="b">
        <v>0</v>
      </c>
      <c r="L6" s="8" t="b">
        <v>0</v>
      </c>
      <c r="M6" s="8" t="b">
        <v>0</v>
      </c>
    </row>
    <row r="7" spans="1:14" x14ac:dyDescent="0.3">
      <c r="A7" s="3">
        <v>2</v>
      </c>
      <c r="B7" s="4" t="s">
        <v>229</v>
      </c>
      <c r="C7" s="5">
        <v>90.647000000000006</v>
      </c>
      <c r="D7" s="5">
        <v>23.771999999999998</v>
      </c>
      <c r="E7" s="5">
        <v>24.265000000000001</v>
      </c>
      <c r="F7" s="5">
        <v>14.763</v>
      </c>
      <c r="G7" s="5">
        <v>27.847000000000001</v>
      </c>
      <c r="H7" s="6">
        <v>316.8</v>
      </c>
      <c r="I7" s="5">
        <v>188.285</v>
      </c>
      <c r="J7" s="7">
        <v>1.0491550925925931E-3</v>
      </c>
      <c r="K7" s="8" t="b">
        <v>0</v>
      </c>
      <c r="L7" s="8" t="b">
        <v>0</v>
      </c>
      <c r="M7" s="8" t="b">
        <v>0</v>
      </c>
    </row>
    <row r="8" spans="1:14" x14ac:dyDescent="0.3">
      <c r="A8" s="3">
        <v>3</v>
      </c>
      <c r="B8" s="4" t="s">
        <v>230</v>
      </c>
      <c r="C8" s="5">
        <v>90.143000000000001</v>
      </c>
      <c r="D8" s="5">
        <v>23.561</v>
      </c>
      <c r="E8" s="5">
        <v>24.006</v>
      </c>
      <c r="F8" s="5">
        <v>14.48</v>
      </c>
      <c r="G8" s="5">
        <v>28.096</v>
      </c>
      <c r="H8" s="6">
        <v>328.3</v>
      </c>
      <c r="I8" s="5">
        <v>278.428</v>
      </c>
      <c r="J8" s="7">
        <v>1.043321759259259E-3</v>
      </c>
      <c r="K8" s="8" t="b">
        <v>0</v>
      </c>
      <c r="L8" s="8" t="b">
        <v>0</v>
      </c>
      <c r="M8" s="8" t="b">
        <v>0</v>
      </c>
    </row>
    <row r="9" spans="1:14" x14ac:dyDescent="0.3">
      <c r="A9" s="3">
        <v>4</v>
      </c>
      <c r="B9" s="4" t="s">
        <v>231</v>
      </c>
      <c r="C9" s="5">
        <v>90.222999999999999</v>
      </c>
      <c r="D9" s="5">
        <v>23.65</v>
      </c>
      <c r="E9" s="5">
        <v>23.994</v>
      </c>
      <c r="F9" s="5">
        <v>14.478</v>
      </c>
      <c r="G9" s="5">
        <v>28.100999999999999</v>
      </c>
      <c r="H9" s="6">
        <v>328.3</v>
      </c>
      <c r="I9" s="5">
        <v>368.65100000000001</v>
      </c>
      <c r="J9" s="7">
        <v>1.0442476851851849E-3</v>
      </c>
      <c r="K9" s="8" t="b">
        <v>0</v>
      </c>
      <c r="L9" s="8" t="b">
        <v>0</v>
      </c>
      <c r="M9" s="8" t="b">
        <v>0</v>
      </c>
    </row>
    <row r="10" spans="1:14" x14ac:dyDescent="0.3">
      <c r="A10" s="3">
        <v>5</v>
      </c>
      <c r="B10" s="4" t="s">
        <v>232</v>
      </c>
      <c r="C10" s="5">
        <v>90.111999999999995</v>
      </c>
      <c r="D10" s="5">
        <v>23.562999999999999</v>
      </c>
      <c r="E10" s="5">
        <v>23.988</v>
      </c>
      <c r="F10" s="5">
        <v>14.548999999999999</v>
      </c>
      <c r="G10" s="5">
        <v>28.012</v>
      </c>
      <c r="H10" s="6">
        <v>330.3</v>
      </c>
      <c r="I10" s="5">
        <v>458.76299999999998</v>
      </c>
      <c r="J10" s="7">
        <v>1.042962962962963E-3</v>
      </c>
      <c r="K10" s="8" t="b">
        <v>0</v>
      </c>
      <c r="L10" s="8" t="b">
        <v>0</v>
      </c>
      <c r="M10" s="8" t="b">
        <v>0</v>
      </c>
    </row>
    <row r="11" spans="1:14" x14ac:dyDescent="0.3">
      <c r="A11" s="3">
        <v>6</v>
      </c>
      <c r="B11" s="4" t="s">
        <v>233</v>
      </c>
      <c r="C11" s="5">
        <v>90.411000000000001</v>
      </c>
      <c r="D11" s="5">
        <v>23.677</v>
      </c>
      <c r="E11" s="5">
        <v>24.100999999999999</v>
      </c>
      <c r="F11" s="5">
        <v>14.536</v>
      </c>
      <c r="G11" s="5">
        <v>28.097000000000001</v>
      </c>
      <c r="H11" s="6">
        <v>333.4</v>
      </c>
      <c r="I11" s="5">
        <v>549.17399999999998</v>
      </c>
      <c r="J11" s="7">
        <v>1.046423611111111E-3</v>
      </c>
      <c r="K11" s="8" t="b">
        <v>0</v>
      </c>
      <c r="L11" s="8" t="b">
        <v>0</v>
      </c>
      <c r="M11" s="8" t="b">
        <v>0</v>
      </c>
    </row>
    <row r="12" spans="1:14" x14ac:dyDescent="0.3">
      <c r="A12" s="3">
        <v>7</v>
      </c>
      <c r="B12" s="4" t="s">
        <v>234</v>
      </c>
      <c r="C12" s="5">
        <v>90.784000000000006</v>
      </c>
      <c r="D12" s="5">
        <v>23.734000000000002</v>
      </c>
      <c r="E12" s="5">
        <v>24.065000000000001</v>
      </c>
      <c r="F12" s="5">
        <v>14.525</v>
      </c>
      <c r="G12" s="5">
        <v>28.46</v>
      </c>
      <c r="H12" s="6">
        <v>334.4</v>
      </c>
      <c r="I12" s="5">
        <v>639.95799999999997</v>
      </c>
      <c r="J12" s="7">
        <v>1.050740740740741E-3</v>
      </c>
      <c r="K12" s="8" t="b">
        <v>0</v>
      </c>
      <c r="L12" s="8" t="b">
        <v>0</v>
      </c>
      <c r="M12" s="8" t="b">
        <v>0</v>
      </c>
    </row>
    <row r="13" spans="1:14" x14ac:dyDescent="0.3">
      <c r="A13" s="3">
        <v>8</v>
      </c>
      <c r="B13" s="4" t="s">
        <v>235</v>
      </c>
      <c r="C13" s="5">
        <v>90.843999999999994</v>
      </c>
      <c r="D13" s="5">
        <v>23.681999999999999</v>
      </c>
      <c r="E13" s="5">
        <v>24.056999999999999</v>
      </c>
      <c r="F13" s="5">
        <v>14.849</v>
      </c>
      <c r="G13" s="5">
        <v>28.256</v>
      </c>
      <c r="H13" s="6">
        <v>333.4</v>
      </c>
      <c r="I13" s="5">
        <v>730.80200000000002</v>
      </c>
      <c r="J13" s="7">
        <v>1.051435185185185E-3</v>
      </c>
      <c r="K13" s="8" t="b">
        <v>0</v>
      </c>
      <c r="L13" s="8" t="b">
        <v>0</v>
      </c>
      <c r="M13" s="8" t="b">
        <v>0</v>
      </c>
    </row>
    <row r="14" spans="1:14" x14ac:dyDescent="0.3">
      <c r="A14" s="3">
        <v>9</v>
      </c>
      <c r="B14" s="4" t="s">
        <v>236</v>
      </c>
      <c r="C14" s="5">
        <v>90.911000000000001</v>
      </c>
      <c r="D14" s="5">
        <v>23.81</v>
      </c>
      <c r="E14" s="5">
        <v>24.187000000000001</v>
      </c>
      <c r="F14" s="5">
        <v>14.577</v>
      </c>
      <c r="G14" s="5">
        <v>28.337</v>
      </c>
      <c r="H14" s="6">
        <v>330.3</v>
      </c>
      <c r="I14" s="5">
        <v>821.71299999999997</v>
      </c>
      <c r="J14" s="7">
        <v>1.052210648148148E-3</v>
      </c>
      <c r="K14" s="8" t="b">
        <v>0</v>
      </c>
      <c r="L14" s="8" t="b">
        <v>0</v>
      </c>
      <c r="M14" s="8" t="b">
        <v>0</v>
      </c>
    </row>
    <row r="15" spans="1:14" x14ac:dyDescent="0.3">
      <c r="A15" s="3">
        <v>10</v>
      </c>
      <c r="B15" s="4" t="s">
        <v>237</v>
      </c>
      <c r="C15" s="5">
        <v>91.210999999999999</v>
      </c>
      <c r="D15" s="5">
        <v>24.021999999999998</v>
      </c>
      <c r="E15" s="5">
        <v>24.221</v>
      </c>
      <c r="F15" s="5">
        <v>14.717000000000001</v>
      </c>
      <c r="G15" s="5">
        <v>28.251000000000001</v>
      </c>
      <c r="H15" s="6">
        <v>330.3</v>
      </c>
      <c r="I15" s="5">
        <v>912.92399999999998</v>
      </c>
      <c r="J15" s="7">
        <v>1.05568287037037E-3</v>
      </c>
      <c r="K15" s="8" t="b">
        <v>0</v>
      </c>
      <c r="L15" s="8" t="b">
        <v>0</v>
      </c>
      <c r="M15" s="8" t="b">
        <v>0</v>
      </c>
    </row>
    <row r="16" spans="1:14" x14ac:dyDescent="0.3">
      <c r="A16" s="3">
        <v>11</v>
      </c>
      <c r="B16" s="4" t="s">
        <v>238</v>
      </c>
      <c r="C16" s="5">
        <v>91.143000000000001</v>
      </c>
      <c r="D16" s="5">
        <v>23.91</v>
      </c>
      <c r="E16" s="5">
        <v>24.276</v>
      </c>
      <c r="F16" s="5">
        <v>14.632999999999999</v>
      </c>
      <c r="G16" s="5">
        <v>28.324000000000002</v>
      </c>
      <c r="H16" s="6">
        <v>332.3</v>
      </c>
      <c r="I16" s="5">
        <v>1004.067</v>
      </c>
      <c r="J16" s="7">
        <v>1.054895833333333E-3</v>
      </c>
      <c r="K16" s="8" t="b">
        <v>0</v>
      </c>
      <c r="L16" s="8" t="b">
        <v>0</v>
      </c>
      <c r="M16" s="8" t="b">
        <v>0</v>
      </c>
    </row>
    <row r="17" spans="1:13" x14ac:dyDescent="0.3">
      <c r="A17" s="3">
        <v>12</v>
      </c>
      <c r="B17" s="4" t="s">
        <v>239</v>
      </c>
      <c r="C17" s="5">
        <v>91.879000000000005</v>
      </c>
      <c r="D17" s="5">
        <v>24.123000000000001</v>
      </c>
      <c r="E17" s="5">
        <v>24.44</v>
      </c>
      <c r="F17" s="5">
        <v>14.811</v>
      </c>
      <c r="G17" s="5">
        <v>28.504999999999999</v>
      </c>
      <c r="H17" s="6">
        <v>331.3</v>
      </c>
      <c r="I17" s="5">
        <v>1095.9459999999999</v>
      </c>
      <c r="J17" s="7">
        <v>1.0634143518518521E-3</v>
      </c>
      <c r="K17" s="8" t="b">
        <v>0</v>
      </c>
      <c r="L17" s="8" t="b">
        <v>0</v>
      </c>
      <c r="M17" s="8" t="b">
        <v>0</v>
      </c>
    </row>
    <row r="18" spans="1:13" x14ac:dyDescent="0.3">
      <c r="A18" s="3">
        <v>13</v>
      </c>
      <c r="B18" s="4" t="s">
        <v>240</v>
      </c>
      <c r="C18" s="5">
        <v>91.41</v>
      </c>
      <c r="D18" s="5">
        <v>23.972999999999999</v>
      </c>
      <c r="E18" s="5">
        <v>24.321999999999999</v>
      </c>
      <c r="F18" s="5">
        <v>14.714</v>
      </c>
      <c r="G18" s="5">
        <v>28.401</v>
      </c>
      <c r="H18" s="6">
        <v>331.3</v>
      </c>
      <c r="I18" s="5">
        <v>1187.356</v>
      </c>
      <c r="J18" s="7">
        <v>1.0579861111111111E-3</v>
      </c>
      <c r="K18" s="8" t="b">
        <v>0</v>
      </c>
      <c r="L18" s="8" t="b">
        <v>0</v>
      </c>
      <c r="M18" s="8" t="b">
        <v>0</v>
      </c>
    </row>
  </sheetData>
  <autoFilter ref="A5:M18" xr:uid="{00000000-0009-0000-0000-00000E000000}"/>
  <mergeCells count="1">
    <mergeCell ref="A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13"/>
  <sheetViews>
    <sheetView zoomScale="80" zoomScaleNormal="80" workbookViewId="0">
      <pane ySplit="5" topLeftCell="A6" activePane="bottomLeft" state="frozen"/>
      <selection pane="bottomLeft" sqref="A1:M1"/>
    </sheetView>
  </sheetViews>
  <sheetFormatPr defaultRowHeight="14.4" x14ac:dyDescent="0.3"/>
  <cols>
    <col min="1" max="1" width="8.6640625" customWidth="1"/>
    <col min="2" max="2" width="12.6640625" customWidth="1"/>
    <col min="3" max="10" width="18.6640625" customWidth="1"/>
    <col min="11" max="13" width="15.6640625" customWidth="1"/>
  </cols>
  <sheetData>
    <row r="1" spans="1:14" ht="21" x14ac:dyDescent="0.3">
      <c r="A1" s="31" t="s">
        <v>241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3" spans="1:14" x14ac:dyDescent="0.3">
      <c r="A3" s="1" t="s">
        <v>1</v>
      </c>
      <c r="B3" s="1" t="s">
        <v>100</v>
      </c>
      <c r="C3" s="1" t="s">
        <v>3</v>
      </c>
      <c r="D3" s="1" t="s">
        <v>71</v>
      </c>
      <c r="E3" s="1" t="s">
        <v>5</v>
      </c>
      <c r="F3" s="1" t="s">
        <v>6</v>
      </c>
      <c r="G3" s="1" t="s">
        <v>7</v>
      </c>
      <c r="H3" s="1">
        <v>8</v>
      </c>
      <c r="I3" s="1" t="s">
        <v>8</v>
      </c>
      <c r="J3" s="1">
        <v>7</v>
      </c>
      <c r="K3" s="1" t="s">
        <v>9</v>
      </c>
      <c r="L3" s="1" t="s">
        <v>10</v>
      </c>
      <c r="M3" s="1" t="s">
        <v>11</v>
      </c>
      <c r="N3" s="1" t="s">
        <v>12</v>
      </c>
    </row>
    <row r="5" spans="1:14" x14ac:dyDescent="0.3">
      <c r="A5" s="2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  <c r="H5" s="2" t="s">
        <v>20</v>
      </c>
      <c r="I5" s="2" t="s">
        <v>21</v>
      </c>
      <c r="J5" s="2" t="s">
        <v>22</v>
      </c>
      <c r="K5" s="2" t="s">
        <v>23</v>
      </c>
      <c r="L5" s="2" t="s">
        <v>24</v>
      </c>
      <c r="M5" s="2" t="s">
        <v>25</v>
      </c>
    </row>
    <row r="6" spans="1:14" x14ac:dyDescent="0.3">
      <c r="A6" s="3">
        <v>1</v>
      </c>
      <c r="B6" s="4" t="s">
        <v>242</v>
      </c>
      <c r="C6" s="5">
        <v>96.114000000000004</v>
      </c>
      <c r="D6" s="5">
        <v>29.742000000000001</v>
      </c>
      <c r="E6" s="5">
        <v>24.466000000000001</v>
      </c>
      <c r="F6" s="5">
        <v>14.343</v>
      </c>
      <c r="G6" s="5">
        <v>27.562999999999999</v>
      </c>
      <c r="H6" s="6">
        <v>247.9</v>
      </c>
      <c r="I6" s="5">
        <v>96.114000000000004</v>
      </c>
      <c r="J6" s="7">
        <v>1.112430555555556E-3</v>
      </c>
      <c r="K6" s="8" t="b">
        <v>0</v>
      </c>
      <c r="L6" s="8" t="b">
        <v>0</v>
      </c>
      <c r="M6" s="8" t="b">
        <v>0</v>
      </c>
    </row>
    <row r="7" spans="1:14" x14ac:dyDescent="0.3">
      <c r="A7" s="3">
        <v>2</v>
      </c>
      <c r="B7" s="4" t="s">
        <v>243</v>
      </c>
      <c r="C7" s="5">
        <v>88.33</v>
      </c>
      <c r="D7" s="5">
        <v>23.332999999999998</v>
      </c>
      <c r="E7" s="5">
        <v>23.646000000000001</v>
      </c>
      <c r="F7" s="5">
        <v>14.138</v>
      </c>
      <c r="G7" s="5">
        <v>27.213000000000001</v>
      </c>
      <c r="H7" s="6">
        <v>339.6</v>
      </c>
      <c r="I7" s="5">
        <v>184.44399999999999</v>
      </c>
      <c r="J7" s="7">
        <v>1.022337962962963E-3</v>
      </c>
      <c r="K7" s="8" t="b">
        <v>0</v>
      </c>
      <c r="L7" s="8" t="b">
        <v>0</v>
      </c>
      <c r="M7" s="8" t="b">
        <v>0</v>
      </c>
    </row>
    <row r="8" spans="1:14" x14ac:dyDescent="0.3">
      <c r="A8" s="3">
        <v>3</v>
      </c>
      <c r="B8" s="4" t="s">
        <v>165</v>
      </c>
      <c r="C8" s="5">
        <v>88.302999999999997</v>
      </c>
      <c r="D8" s="5">
        <v>23.062000000000001</v>
      </c>
      <c r="E8" s="5">
        <v>23.658000000000001</v>
      </c>
      <c r="F8" s="5">
        <v>14.169</v>
      </c>
      <c r="G8" s="5">
        <v>27.414000000000001</v>
      </c>
      <c r="H8" s="6">
        <v>341.8</v>
      </c>
      <c r="I8" s="5">
        <v>272.74700000000001</v>
      </c>
      <c r="J8" s="7">
        <v>1.0220254629629631E-3</v>
      </c>
      <c r="K8" s="8" t="b">
        <v>0</v>
      </c>
      <c r="L8" s="8" t="b">
        <v>0</v>
      </c>
      <c r="M8" s="8" t="b">
        <v>0</v>
      </c>
    </row>
    <row r="9" spans="1:14" x14ac:dyDescent="0.3">
      <c r="A9" s="3">
        <v>4</v>
      </c>
      <c r="B9" s="4" t="s">
        <v>244</v>
      </c>
      <c r="C9" s="5">
        <v>88.64</v>
      </c>
      <c r="D9" s="5">
        <v>23.062999999999999</v>
      </c>
      <c r="E9" s="5">
        <v>23.97</v>
      </c>
      <c r="F9" s="5">
        <v>14.151</v>
      </c>
      <c r="G9" s="5">
        <v>27.456</v>
      </c>
      <c r="H9" s="6">
        <v>344</v>
      </c>
      <c r="I9" s="5">
        <v>361.387</v>
      </c>
      <c r="J9" s="7">
        <v>1.025925925925926E-3</v>
      </c>
      <c r="K9" s="8" t="b">
        <v>0</v>
      </c>
      <c r="L9" s="8" t="b">
        <v>0</v>
      </c>
      <c r="M9" s="8" t="b">
        <v>0</v>
      </c>
    </row>
    <row r="10" spans="1:14" x14ac:dyDescent="0.3">
      <c r="A10" s="3">
        <v>5</v>
      </c>
      <c r="B10" s="4" t="s">
        <v>245</v>
      </c>
      <c r="C10" s="5">
        <v>88.272999999999996</v>
      </c>
      <c r="D10" s="5">
        <v>23.012</v>
      </c>
      <c r="E10" s="5">
        <v>23.63</v>
      </c>
      <c r="F10" s="5">
        <v>14.228</v>
      </c>
      <c r="G10" s="5">
        <v>27.402999999999999</v>
      </c>
      <c r="H10" s="6">
        <v>346.1</v>
      </c>
      <c r="I10" s="5">
        <v>449.66</v>
      </c>
      <c r="J10" s="7">
        <v>1.021678240740741E-3</v>
      </c>
      <c r="K10" s="8" t="b">
        <v>0</v>
      </c>
      <c r="L10" s="8" t="b">
        <v>0</v>
      </c>
      <c r="M10" s="8" t="b">
        <v>0</v>
      </c>
    </row>
    <row r="11" spans="1:14" x14ac:dyDescent="0.3">
      <c r="A11" s="3">
        <v>6</v>
      </c>
      <c r="B11" s="4" t="s">
        <v>246</v>
      </c>
      <c r="C11" s="5">
        <v>89.165999999999997</v>
      </c>
      <c r="D11" s="5">
        <v>23.061</v>
      </c>
      <c r="E11" s="5">
        <v>23.803000000000001</v>
      </c>
      <c r="F11" s="5">
        <v>14.323</v>
      </c>
      <c r="G11" s="5">
        <v>27.978999999999999</v>
      </c>
      <c r="H11" s="6">
        <v>341.8</v>
      </c>
      <c r="I11" s="5">
        <v>538.82600000000002</v>
      </c>
      <c r="J11" s="7">
        <v>1.032013888888889E-3</v>
      </c>
      <c r="K11" s="8" t="b">
        <v>0</v>
      </c>
      <c r="L11" s="8" t="b">
        <v>0</v>
      </c>
      <c r="M11" s="8" t="b">
        <v>0</v>
      </c>
    </row>
    <row r="12" spans="1:14" x14ac:dyDescent="0.3">
      <c r="A12" s="3">
        <v>7</v>
      </c>
      <c r="B12" s="4" t="s">
        <v>247</v>
      </c>
      <c r="C12" s="5">
        <v>88.215000000000003</v>
      </c>
      <c r="D12" s="5">
        <v>23.01</v>
      </c>
      <c r="E12" s="5">
        <v>23.555</v>
      </c>
      <c r="F12" s="5">
        <v>14.164</v>
      </c>
      <c r="G12" s="5">
        <v>27.486000000000001</v>
      </c>
      <c r="H12" s="6">
        <v>346.1</v>
      </c>
      <c r="I12" s="5">
        <v>627.04100000000005</v>
      </c>
      <c r="J12" s="7">
        <v>1.021006944444444E-3</v>
      </c>
      <c r="K12" s="8" t="b">
        <v>0</v>
      </c>
      <c r="L12" s="8" t="b">
        <v>0</v>
      </c>
      <c r="M12" s="8" t="b">
        <v>0</v>
      </c>
    </row>
    <row r="13" spans="1:14" x14ac:dyDescent="0.3">
      <c r="A13" s="3">
        <v>8</v>
      </c>
      <c r="B13" s="4" t="s">
        <v>248</v>
      </c>
      <c r="C13" s="5">
        <v>88.992999999999995</v>
      </c>
      <c r="D13" s="5">
        <v>23.207999999999998</v>
      </c>
      <c r="E13" s="5">
        <v>23.689</v>
      </c>
      <c r="F13" s="5">
        <v>14.513</v>
      </c>
      <c r="G13" s="5">
        <v>27.582999999999998</v>
      </c>
      <c r="H13" s="6">
        <v>344</v>
      </c>
      <c r="I13" s="5">
        <v>716.03399999999999</v>
      </c>
      <c r="J13" s="7">
        <v>1.030011574074074E-3</v>
      </c>
      <c r="K13" s="8" t="b">
        <v>0</v>
      </c>
      <c r="L13" s="8" t="b">
        <v>0</v>
      </c>
      <c r="M13" s="8" t="b">
        <v>0</v>
      </c>
    </row>
  </sheetData>
  <autoFilter ref="A5:M13" xr:uid="{00000000-0009-0000-0000-00000F000000}"/>
  <mergeCells count="1">
    <mergeCell ref="A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12"/>
  <sheetViews>
    <sheetView zoomScale="80" zoomScaleNormal="80" workbookViewId="0">
      <pane ySplit="5" topLeftCell="A6" activePane="bottomLeft" state="frozen"/>
      <selection pane="bottomLeft" sqref="A1:M1"/>
    </sheetView>
  </sheetViews>
  <sheetFormatPr defaultRowHeight="14.4" x14ac:dyDescent="0.3"/>
  <cols>
    <col min="1" max="1" width="8.6640625" customWidth="1"/>
    <col min="2" max="2" width="12.6640625" customWidth="1"/>
    <col min="3" max="10" width="18.6640625" customWidth="1"/>
    <col min="11" max="13" width="15.6640625" customWidth="1"/>
  </cols>
  <sheetData>
    <row r="1" spans="1:14" ht="21" x14ac:dyDescent="0.3">
      <c r="A1" s="31" t="s">
        <v>249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3" spans="1:14" x14ac:dyDescent="0.3">
      <c r="A3" s="1" t="s">
        <v>1</v>
      </c>
      <c r="B3" s="1" t="s">
        <v>70</v>
      </c>
      <c r="C3" s="1" t="s">
        <v>3</v>
      </c>
      <c r="D3" s="1" t="s">
        <v>71</v>
      </c>
      <c r="E3" s="1" t="s">
        <v>5</v>
      </c>
      <c r="F3" s="1" t="s">
        <v>6</v>
      </c>
      <c r="G3" s="1" t="s">
        <v>7</v>
      </c>
      <c r="H3" s="1">
        <v>7</v>
      </c>
      <c r="I3" s="1" t="s">
        <v>8</v>
      </c>
      <c r="J3" s="1">
        <v>6</v>
      </c>
      <c r="K3" s="1" t="s">
        <v>9</v>
      </c>
      <c r="L3" s="1" t="s">
        <v>10</v>
      </c>
      <c r="M3" s="1" t="s">
        <v>11</v>
      </c>
      <c r="N3" s="1" t="s">
        <v>12</v>
      </c>
    </row>
    <row r="5" spans="1:14" x14ac:dyDescent="0.3">
      <c r="A5" s="2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  <c r="H5" s="2" t="s">
        <v>20</v>
      </c>
      <c r="I5" s="2" t="s">
        <v>21</v>
      </c>
      <c r="J5" s="2" t="s">
        <v>22</v>
      </c>
      <c r="K5" s="2" t="s">
        <v>23</v>
      </c>
      <c r="L5" s="2" t="s">
        <v>24</v>
      </c>
      <c r="M5" s="2" t="s">
        <v>25</v>
      </c>
    </row>
    <row r="6" spans="1:14" x14ac:dyDescent="0.3">
      <c r="A6" s="3">
        <v>1</v>
      </c>
      <c r="B6" s="4" t="s">
        <v>250</v>
      </c>
      <c r="C6" s="5">
        <v>93.747</v>
      </c>
      <c r="D6" s="5">
        <v>28.66</v>
      </c>
      <c r="E6" s="5">
        <v>23.67</v>
      </c>
      <c r="F6" s="5">
        <v>14.137</v>
      </c>
      <c r="G6" s="5">
        <v>27.28</v>
      </c>
      <c r="H6" s="6">
        <v>251.4</v>
      </c>
      <c r="I6" s="5">
        <v>93.747</v>
      </c>
      <c r="J6" s="7">
        <v>1.085034722222222E-3</v>
      </c>
      <c r="K6" s="8" t="b">
        <v>0</v>
      </c>
      <c r="L6" s="8" t="b">
        <v>0</v>
      </c>
      <c r="M6" s="8" t="b">
        <v>0</v>
      </c>
    </row>
    <row r="7" spans="1:14" x14ac:dyDescent="0.3">
      <c r="A7" s="3">
        <v>2</v>
      </c>
      <c r="B7" s="4" t="s">
        <v>251</v>
      </c>
      <c r="C7" s="5">
        <v>88.572999999999993</v>
      </c>
      <c r="D7" s="5">
        <v>23.298999999999999</v>
      </c>
      <c r="E7" s="5">
        <v>23.513000000000002</v>
      </c>
      <c r="F7" s="5">
        <v>14.118</v>
      </c>
      <c r="G7" s="5">
        <v>27.643000000000001</v>
      </c>
      <c r="H7" s="6">
        <v>331.3</v>
      </c>
      <c r="I7" s="5">
        <v>182.32</v>
      </c>
      <c r="J7" s="7">
        <v>1.025150462962963E-3</v>
      </c>
      <c r="K7" s="8" t="b">
        <v>0</v>
      </c>
      <c r="L7" s="8" t="b">
        <v>0</v>
      </c>
      <c r="M7" s="8" t="b">
        <v>0</v>
      </c>
    </row>
    <row r="8" spans="1:14" x14ac:dyDescent="0.3">
      <c r="A8" s="3">
        <v>3</v>
      </c>
      <c r="B8" s="4" t="s">
        <v>252</v>
      </c>
      <c r="C8" s="5">
        <v>88.256</v>
      </c>
      <c r="D8" s="5">
        <v>22.914000000000001</v>
      </c>
      <c r="E8" s="5">
        <v>23.716999999999999</v>
      </c>
      <c r="F8" s="5">
        <v>14.276</v>
      </c>
      <c r="G8" s="5">
        <v>27.349</v>
      </c>
      <c r="H8" s="6">
        <v>347.3</v>
      </c>
      <c r="I8" s="5">
        <v>270.57600000000002</v>
      </c>
      <c r="J8" s="7">
        <v>1.0214814814814819E-3</v>
      </c>
      <c r="K8" s="8" t="b">
        <v>0</v>
      </c>
      <c r="L8" s="8" t="b">
        <v>0</v>
      </c>
      <c r="M8" s="8" t="b">
        <v>0</v>
      </c>
    </row>
    <row r="9" spans="1:14" x14ac:dyDescent="0.3">
      <c r="A9" s="3">
        <v>4</v>
      </c>
      <c r="B9" s="4" t="s">
        <v>253</v>
      </c>
      <c r="C9" s="5">
        <v>87.228999999999999</v>
      </c>
      <c r="D9" s="5">
        <v>22.782</v>
      </c>
      <c r="E9" s="5">
        <v>23.221</v>
      </c>
      <c r="F9" s="5">
        <v>14.055</v>
      </c>
      <c r="G9" s="5">
        <v>27.170999999999999</v>
      </c>
      <c r="H9" s="6">
        <v>342.9</v>
      </c>
      <c r="I9" s="5">
        <v>357.80500000000001</v>
      </c>
      <c r="J9" s="7">
        <v>1.009594907407407E-3</v>
      </c>
      <c r="K9" s="8" t="b">
        <v>0</v>
      </c>
      <c r="L9" s="8" t="b">
        <v>0</v>
      </c>
      <c r="M9" s="8" t="b">
        <v>0</v>
      </c>
    </row>
    <row r="10" spans="1:14" x14ac:dyDescent="0.3">
      <c r="A10" s="3">
        <v>5</v>
      </c>
      <c r="B10" s="4" t="s">
        <v>254</v>
      </c>
      <c r="C10" s="5">
        <v>88.055000000000007</v>
      </c>
      <c r="D10" s="5">
        <v>22.789000000000001</v>
      </c>
      <c r="E10" s="5">
        <v>23.861999999999998</v>
      </c>
      <c r="F10" s="5">
        <v>14.148</v>
      </c>
      <c r="G10" s="5">
        <v>27.256</v>
      </c>
      <c r="H10" s="6">
        <v>342.9</v>
      </c>
      <c r="I10" s="5">
        <v>445.86</v>
      </c>
      <c r="J10" s="7">
        <v>1.019155092592593E-3</v>
      </c>
      <c r="K10" s="8" t="b">
        <v>0</v>
      </c>
      <c r="L10" s="8" t="b">
        <v>0</v>
      </c>
      <c r="M10" s="8" t="b">
        <v>0</v>
      </c>
    </row>
    <row r="11" spans="1:14" x14ac:dyDescent="0.3">
      <c r="A11" s="3">
        <v>6</v>
      </c>
      <c r="B11" s="4" t="s">
        <v>255</v>
      </c>
      <c r="C11" s="5">
        <v>88.034999999999997</v>
      </c>
      <c r="D11" s="5">
        <v>22.984000000000002</v>
      </c>
      <c r="E11" s="5">
        <v>23.629000000000001</v>
      </c>
      <c r="F11" s="5">
        <v>14.106999999999999</v>
      </c>
      <c r="G11" s="5">
        <v>27.315000000000001</v>
      </c>
      <c r="H11" s="6">
        <v>346.1</v>
      </c>
      <c r="I11" s="5">
        <v>533.89499999999998</v>
      </c>
      <c r="J11" s="7">
        <v>1.0189236111111111E-3</v>
      </c>
      <c r="K11" s="8" t="b">
        <v>0</v>
      </c>
      <c r="L11" s="8" t="b">
        <v>0</v>
      </c>
      <c r="M11" s="8" t="b">
        <v>0</v>
      </c>
    </row>
    <row r="12" spans="1:14" x14ac:dyDescent="0.3">
      <c r="A12" s="3">
        <v>7</v>
      </c>
      <c r="B12" s="4" t="s">
        <v>256</v>
      </c>
      <c r="C12" s="5">
        <v>87.691999999999993</v>
      </c>
      <c r="D12" s="5">
        <v>22.9</v>
      </c>
      <c r="E12" s="5">
        <v>23.466999999999999</v>
      </c>
      <c r="F12" s="5">
        <v>14.035</v>
      </c>
      <c r="G12" s="5">
        <v>27.29</v>
      </c>
      <c r="H12" s="6">
        <v>345</v>
      </c>
      <c r="I12" s="5">
        <v>621.58699999999999</v>
      </c>
      <c r="J12" s="7">
        <v>1.0149537037037039E-3</v>
      </c>
      <c r="K12" s="8" t="b">
        <v>0</v>
      </c>
      <c r="L12" s="8" t="b">
        <v>0</v>
      </c>
      <c r="M12" s="8" t="b">
        <v>0</v>
      </c>
    </row>
  </sheetData>
  <autoFilter ref="A5:M12" xr:uid="{00000000-0009-0000-0000-000010000000}"/>
  <mergeCells count="1">
    <mergeCell ref="A1:M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N11"/>
  <sheetViews>
    <sheetView zoomScale="80" zoomScaleNormal="80" workbookViewId="0">
      <pane ySplit="5" topLeftCell="A6" activePane="bottomLeft" state="frozen"/>
      <selection pane="bottomLeft" sqref="A1:M1"/>
    </sheetView>
  </sheetViews>
  <sheetFormatPr defaultRowHeight="14.4" x14ac:dyDescent="0.3"/>
  <cols>
    <col min="1" max="1" width="8.6640625" customWidth="1"/>
    <col min="2" max="2" width="12.6640625" customWidth="1"/>
    <col min="3" max="10" width="18.6640625" customWidth="1"/>
    <col min="11" max="13" width="15.6640625" customWidth="1"/>
  </cols>
  <sheetData>
    <row r="1" spans="1:14" ht="21" x14ac:dyDescent="0.3">
      <c r="A1" s="31" t="s">
        <v>257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3" spans="1:14" x14ac:dyDescent="0.3">
      <c r="A3" s="1" t="s">
        <v>1</v>
      </c>
      <c r="B3" s="1" t="s">
        <v>190</v>
      </c>
      <c r="C3" s="1" t="s">
        <v>3</v>
      </c>
      <c r="D3" s="1" t="s">
        <v>86</v>
      </c>
      <c r="E3" s="1" t="s">
        <v>5</v>
      </c>
      <c r="F3" s="1" t="s">
        <v>6</v>
      </c>
      <c r="G3" s="1" t="s">
        <v>7</v>
      </c>
      <c r="H3" s="1">
        <v>6</v>
      </c>
      <c r="I3" s="1" t="s">
        <v>8</v>
      </c>
      <c r="J3" s="1">
        <v>5</v>
      </c>
      <c r="K3" s="1" t="s">
        <v>9</v>
      </c>
      <c r="L3" s="1" t="s">
        <v>10</v>
      </c>
      <c r="M3" s="1" t="s">
        <v>11</v>
      </c>
      <c r="N3" s="1" t="s">
        <v>12</v>
      </c>
    </row>
    <row r="5" spans="1:14" x14ac:dyDescent="0.3">
      <c r="A5" s="2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  <c r="H5" s="2" t="s">
        <v>20</v>
      </c>
      <c r="I5" s="2" t="s">
        <v>21</v>
      </c>
      <c r="J5" s="2" t="s">
        <v>22</v>
      </c>
      <c r="K5" s="2" t="s">
        <v>23</v>
      </c>
      <c r="L5" s="2" t="s">
        <v>24</v>
      </c>
      <c r="M5" s="2" t="s">
        <v>25</v>
      </c>
    </row>
    <row r="6" spans="1:14" x14ac:dyDescent="0.3">
      <c r="A6" s="3">
        <v>1</v>
      </c>
      <c r="B6" s="4" t="s">
        <v>258</v>
      </c>
      <c r="C6" s="5">
        <v>97.400999999999996</v>
      </c>
      <c r="D6" s="5">
        <v>30.148</v>
      </c>
      <c r="E6" s="5">
        <v>24.957000000000001</v>
      </c>
      <c r="F6" s="5">
        <v>14.587</v>
      </c>
      <c r="G6" s="5">
        <v>27.709</v>
      </c>
      <c r="H6" s="6">
        <v>266.2</v>
      </c>
      <c r="I6" s="5">
        <v>97.400999999999996</v>
      </c>
      <c r="J6" s="7">
        <v>1.1273263888888891E-3</v>
      </c>
      <c r="K6" s="8" t="b">
        <v>0</v>
      </c>
      <c r="L6" s="8" t="b">
        <v>0</v>
      </c>
      <c r="M6" s="8" t="b">
        <v>0</v>
      </c>
    </row>
    <row r="7" spans="1:14" x14ac:dyDescent="0.3">
      <c r="A7" s="3">
        <v>2</v>
      </c>
      <c r="B7" s="4" t="s">
        <v>259</v>
      </c>
      <c r="C7" s="5">
        <v>89.128</v>
      </c>
      <c r="D7" s="5">
        <v>23.256</v>
      </c>
      <c r="E7" s="5">
        <v>23.905999999999999</v>
      </c>
      <c r="F7" s="5">
        <v>14.388</v>
      </c>
      <c r="G7" s="5">
        <v>27.577999999999999</v>
      </c>
      <c r="H7" s="6">
        <v>329.3</v>
      </c>
      <c r="I7" s="5">
        <v>186.529</v>
      </c>
      <c r="J7" s="7">
        <v>1.0315740740740741E-3</v>
      </c>
      <c r="K7" s="8" t="b">
        <v>0</v>
      </c>
      <c r="L7" s="8" t="b">
        <v>0</v>
      </c>
      <c r="M7" s="8" t="b">
        <v>0</v>
      </c>
    </row>
    <row r="8" spans="1:14" x14ac:dyDescent="0.3">
      <c r="A8" s="3">
        <v>3</v>
      </c>
      <c r="B8" s="4" t="s">
        <v>260</v>
      </c>
      <c r="C8" s="5">
        <v>89.134</v>
      </c>
      <c r="D8" s="5">
        <v>23.119</v>
      </c>
      <c r="E8" s="5">
        <v>24.105</v>
      </c>
      <c r="F8" s="5">
        <v>14.284000000000001</v>
      </c>
      <c r="G8" s="5">
        <v>27.626000000000001</v>
      </c>
      <c r="H8" s="6">
        <v>347.3</v>
      </c>
      <c r="I8" s="5">
        <v>275.66300000000001</v>
      </c>
      <c r="J8" s="7">
        <v>1.031643518518519E-3</v>
      </c>
      <c r="K8" s="8" t="b">
        <v>0</v>
      </c>
      <c r="L8" s="8" t="b">
        <v>0</v>
      </c>
      <c r="M8" s="8" t="b">
        <v>0</v>
      </c>
    </row>
    <row r="9" spans="1:14" x14ac:dyDescent="0.3">
      <c r="A9" s="3">
        <v>4</v>
      </c>
      <c r="B9" s="4" t="s">
        <v>261</v>
      </c>
      <c r="C9" s="5">
        <v>89.158000000000001</v>
      </c>
      <c r="D9" s="5">
        <v>23.344999999999999</v>
      </c>
      <c r="E9" s="5">
        <v>23.768000000000001</v>
      </c>
      <c r="F9" s="5">
        <v>14.343999999999999</v>
      </c>
      <c r="G9" s="5">
        <v>27.701000000000001</v>
      </c>
      <c r="H9" s="6">
        <v>346.1</v>
      </c>
      <c r="I9" s="5">
        <v>364.82100000000003</v>
      </c>
      <c r="J9" s="7">
        <v>1.031921296296296E-3</v>
      </c>
      <c r="K9" s="8" t="b">
        <v>0</v>
      </c>
      <c r="L9" s="8" t="b">
        <v>0</v>
      </c>
      <c r="M9" s="8" t="b">
        <v>0</v>
      </c>
    </row>
    <row r="10" spans="1:14" x14ac:dyDescent="0.3">
      <c r="A10" s="3">
        <v>5</v>
      </c>
      <c r="B10" s="4" t="s">
        <v>262</v>
      </c>
      <c r="C10" s="5">
        <v>88.843000000000004</v>
      </c>
      <c r="D10" s="5">
        <v>23.122</v>
      </c>
      <c r="E10" s="5">
        <v>23.751000000000001</v>
      </c>
      <c r="F10" s="5">
        <v>14.305</v>
      </c>
      <c r="G10" s="5">
        <v>27.664999999999999</v>
      </c>
      <c r="H10" s="6">
        <v>345</v>
      </c>
      <c r="I10" s="5">
        <v>453.66399999999999</v>
      </c>
      <c r="J10" s="7">
        <v>1.028275462962963E-3</v>
      </c>
      <c r="K10" s="8" t="b">
        <v>0</v>
      </c>
      <c r="L10" s="8" t="b">
        <v>0</v>
      </c>
      <c r="M10" s="8" t="b">
        <v>0</v>
      </c>
    </row>
    <row r="11" spans="1:14" x14ac:dyDescent="0.3">
      <c r="A11" s="3">
        <v>6</v>
      </c>
      <c r="B11" s="4" t="s">
        <v>263</v>
      </c>
      <c r="C11" s="5">
        <v>89.248999999999995</v>
      </c>
      <c r="D11" s="5">
        <v>23.376000000000001</v>
      </c>
      <c r="E11" s="5">
        <v>23.884</v>
      </c>
      <c r="F11" s="5">
        <v>14.308</v>
      </c>
      <c r="G11" s="5">
        <v>27.681000000000001</v>
      </c>
      <c r="H11" s="6">
        <v>344</v>
      </c>
      <c r="I11" s="5">
        <v>542.91300000000001</v>
      </c>
      <c r="J11" s="7">
        <v>1.0329745370370371E-3</v>
      </c>
      <c r="K11" s="8" t="b">
        <v>0</v>
      </c>
      <c r="L11" s="8" t="b">
        <v>0</v>
      </c>
      <c r="M11" s="8" t="b">
        <v>0</v>
      </c>
    </row>
  </sheetData>
  <autoFilter ref="A5:M11" xr:uid="{00000000-0009-0000-0000-000011000000}"/>
  <mergeCells count="1">
    <mergeCell ref="A1:M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8"/>
  <sheetViews>
    <sheetView zoomScale="80" zoomScaleNormal="80" workbookViewId="0">
      <pane ySplit="5" topLeftCell="A6" activePane="bottomLeft" state="frozen"/>
      <selection pane="bottomLeft" sqref="A1:M1"/>
    </sheetView>
  </sheetViews>
  <sheetFormatPr defaultRowHeight="14.4" x14ac:dyDescent="0.3"/>
  <cols>
    <col min="1" max="1" width="8.6640625" customWidth="1"/>
    <col min="2" max="2" width="12.6640625" customWidth="1"/>
    <col min="3" max="10" width="18.6640625" customWidth="1"/>
    <col min="11" max="13" width="15.6640625" customWidth="1"/>
  </cols>
  <sheetData>
    <row r="1" spans="1:14" ht="21" x14ac:dyDescent="0.3">
      <c r="A1" s="31" t="s">
        <v>264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3" spans="1:14" x14ac:dyDescent="0.3">
      <c r="A3" s="1" t="s">
        <v>1</v>
      </c>
      <c r="B3" s="1" t="s">
        <v>265</v>
      </c>
      <c r="C3" s="1" t="s">
        <v>3</v>
      </c>
      <c r="D3" s="1" t="s">
        <v>147</v>
      </c>
      <c r="E3" s="1" t="s">
        <v>5</v>
      </c>
      <c r="F3" s="1" t="s">
        <v>176</v>
      </c>
      <c r="G3" s="1" t="s">
        <v>7</v>
      </c>
      <c r="H3" s="1">
        <v>3</v>
      </c>
      <c r="I3" s="1" t="s">
        <v>8</v>
      </c>
      <c r="J3" s="1">
        <v>2</v>
      </c>
      <c r="K3" s="1" t="s">
        <v>9</v>
      </c>
      <c r="L3" s="1" t="s">
        <v>266</v>
      </c>
      <c r="M3" s="1" t="s">
        <v>11</v>
      </c>
      <c r="N3" s="1" t="s">
        <v>12</v>
      </c>
    </row>
    <row r="5" spans="1:14" x14ac:dyDescent="0.3">
      <c r="A5" s="2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  <c r="H5" s="2" t="s">
        <v>20</v>
      </c>
      <c r="I5" s="2" t="s">
        <v>21</v>
      </c>
      <c r="J5" s="2" t="s">
        <v>22</v>
      </c>
      <c r="K5" s="2" t="s">
        <v>23</v>
      </c>
      <c r="L5" s="2" t="s">
        <v>24</v>
      </c>
      <c r="M5" s="2" t="s">
        <v>25</v>
      </c>
    </row>
    <row r="6" spans="1:14" x14ac:dyDescent="0.3">
      <c r="A6" s="3">
        <v>1</v>
      </c>
      <c r="B6" s="4" t="s">
        <v>267</v>
      </c>
      <c r="C6" s="5">
        <v>94.075000000000003</v>
      </c>
      <c r="D6" s="5">
        <v>28.844999999999999</v>
      </c>
      <c r="E6" s="5">
        <v>23.922999999999998</v>
      </c>
      <c r="F6" s="5">
        <v>14.084</v>
      </c>
      <c r="G6" s="5">
        <v>27.222999999999999</v>
      </c>
      <c r="H6" s="6">
        <v>246.8</v>
      </c>
      <c r="I6" s="5">
        <v>94.075000000000003</v>
      </c>
      <c r="J6" s="7">
        <v>1.0888310185185181E-3</v>
      </c>
      <c r="K6" s="8" t="b">
        <v>0</v>
      </c>
      <c r="L6" s="8" t="b">
        <v>0</v>
      </c>
      <c r="M6" s="8" t="b">
        <v>0</v>
      </c>
    </row>
    <row r="7" spans="1:14" x14ac:dyDescent="0.3">
      <c r="A7" s="3">
        <v>2</v>
      </c>
      <c r="B7" s="4" t="s">
        <v>268</v>
      </c>
      <c r="C7" s="5">
        <v>88.296999999999997</v>
      </c>
      <c r="D7" s="5">
        <v>23.143999999999998</v>
      </c>
      <c r="E7" s="5">
        <v>23.722999999999999</v>
      </c>
      <c r="F7" s="5">
        <v>14.058</v>
      </c>
      <c r="G7" s="5">
        <v>27.372</v>
      </c>
      <c r="H7" s="6">
        <v>341.8</v>
      </c>
      <c r="I7" s="5">
        <v>182.37200000000001</v>
      </c>
      <c r="J7" s="7">
        <v>1.021956018518518E-3</v>
      </c>
      <c r="K7" s="8" t="b">
        <v>0</v>
      </c>
      <c r="L7" s="8" t="b">
        <v>0</v>
      </c>
      <c r="M7" s="8" t="b">
        <v>0</v>
      </c>
    </row>
    <row r="8" spans="1:14" x14ac:dyDescent="0.3">
      <c r="A8" s="3">
        <v>3</v>
      </c>
      <c r="B8" s="4" t="s">
        <v>269</v>
      </c>
      <c r="C8" s="5">
        <v>88.936000000000007</v>
      </c>
      <c r="D8" s="5">
        <v>23.087</v>
      </c>
      <c r="E8" s="5">
        <v>24.065000000000001</v>
      </c>
      <c r="F8" s="5">
        <v>14.211</v>
      </c>
      <c r="G8" s="5">
        <v>27.573</v>
      </c>
      <c r="H8" s="6">
        <v>328.3</v>
      </c>
      <c r="I8" s="5">
        <v>271.30799999999999</v>
      </c>
      <c r="J8" s="7">
        <v>1.029351851851852E-3</v>
      </c>
      <c r="K8" s="8" t="b">
        <v>0</v>
      </c>
      <c r="L8" s="8" t="b">
        <v>0</v>
      </c>
      <c r="M8" s="8" t="b">
        <v>0</v>
      </c>
    </row>
  </sheetData>
  <autoFilter ref="A5:M8" xr:uid="{00000000-0009-0000-0000-000012000000}"/>
  <mergeCells count="1">
    <mergeCell ref="A1:M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N7"/>
  <sheetViews>
    <sheetView zoomScale="80" zoomScaleNormal="80" workbookViewId="0">
      <pane ySplit="5" topLeftCell="A6" activePane="bottomLeft" state="frozen"/>
      <selection pane="bottomLeft" sqref="A1:M1"/>
    </sheetView>
  </sheetViews>
  <sheetFormatPr defaultRowHeight="14.4" x14ac:dyDescent="0.3"/>
  <cols>
    <col min="1" max="1" width="8.6640625" customWidth="1"/>
    <col min="2" max="2" width="12.6640625" customWidth="1"/>
    <col min="3" max="10" width="18.6640625" customWidth="1"/>
    <col min="11" max="13" width="15.6640625" customWidth="1"/>
  </cols>
  <sheetData>
    <row r="1" spans="1:14" ht="21" x14ac:dyDescent="0.3">
      <c r="A1" s="31" t="s">
        <v>270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3" spans="1:14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56</v>
      </c>
      <c r="G3" s="1" t="s">
        <v>7</v>
      </c>
      <c r="H3" s="1">
        <v>2</v>
      </c>
      <c r="I3" s="1" t="s">
        <v>8</v>
      </c>
      <c r="J3" s="1">
        <v>1</v>
      </c>
      <c r="K3" s="1" t="s">
        <v>9</v>
      </c>
      <c r="L3" s="1" t="s">
        <v>10</v>
      </c>
      <c r="M3" s="1" t="s">
        <v>11</v>
      </c>
      <c r="N3" s="1" t="s">
        <v>12</v>
      </c>
    </row>
    <row r="5" spans="1:14" x14ac:dyDescent="0.3">
      <c r="A5" s="2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  <c r="H5" s="2" t="s">
        <v>20</v>
      </c>
      <c r="I5" s="2" t="s">
        <v>21</v>
      </c>
      <c r="J5" s="2" t="s">
        <v>22</v>
      </c>
      <c r="K5" s="2" t="s">
        <v>23</v>
      </c>
      <c r="L5" s="2" t="s">
        <v>24</v>
      </c>
      <c r="M5" s="2" t="s">
        <v>25</v>
      </c>
    </row>
    <row r="6" spans="1:14" x14ac:dyDescent="0.3">
      <c r="A6" s="3">
        <v>1</v>
      </c>
      <c r="B6" s="4" t="s">
        <v>271</v>
      </c>
      <c r="C6" s="5">
        <v>96.701999999999998</v>
      </c>
      <c r="D6" s="5">
        <v>30.135000000000002</v>
      </c>
      <c r="E6" s="5">
        <v>24.515999999999998</v>
      </c>
      <c r="F6" s="5">
        <v>14.538</v>
      </c>
      <c r="G6" s="5">
        <v>27.513000000000002</v>
      </c>
      <c r="H6" s="6">
        <v>261.10000000000002</v>
      </c>
      <c r="I6" s="5">
        <v>96.701999999999998</v>
      </c>
      <c r="J6" s="7">
        <v>1.119236111111111E-3</v>
      </c>
      <c r="K6" s="8" t="b">
        <v>0</v>
      </c>
      <c r="L6" s="8" t="b">
        <v>0</v>
      </c>
      <c r="M6" s="8" t="b">
        <v>0</v>
      </c>
    </row>
    <row r="7" spans="1:14" x14ac:dyDescent="0.3">
      <c r="A7" s="3">
        <v>2</v>
      </c>
      <c r="B7" s="4" t="s">
        <v>272</v>
      </c>
      <c r="C7" s="5">
        <v>95.475999999999999</v>
      </c>
      <c r="D7" s="5">
        <v>23.222999999999999</v>
      </c>
      <c r="E7" s="5">
        <v>24.196000000000002</v>
      </c>
      <c r="F7" s="5">
        <v>19.437999999999999</v>
      </c>
      <c r="G7" s="5">
        <v>28.619</v>
      </c>
      <c r="H7" s="6">
        <v>329.3</v>
      </c>
      <c r="I7" s="5">
        <v>192.178</v>
      </c>
      <c r="J7" s="7">
        <v>1.105046296296296E-3</v>
      </c>
      <c r="K7" s="8" t="b">
        <v>0</v>
      </c>
      <c r="L7" s="8" t="b">
        <v>0</v>
      </c>
      <c r="M7" s="8" t="b">
        <v>0</v>
      </c>
    </row>
  </sheetData>
  <autoFilter ref="A5:M7" xr:uid="{00000000-0009-0000-0000-000013000000}"/>
  <mergeCells count="1">
    <mergeCell ref="A1:M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T222"/>
  <sheetViews>
    <sheetView zoomScale="80" zoomScaleNormal="8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5.6640625" customWidth="1"/>
    <col min="2" max="3" width="11.6640625" customWidth="1"/>
    <col min="4" max="4" width="34.6640625" customWidth="1"/>
    <col min="5" max="20" width="16.6640625" customWidth="1"/>
  </cols>
  <sheetData>
    <row r="1" spans="1:20" x14ac:dyDescent="0.3">
      <c r="A1" t="s">
        <v>273</v>
      </c>
      <c r="B1" t="s">
        <v>274</v>
      </c>
      <c r="C1" t="s">
        <v>275</v>
      </c>
      <c r="D1" t="s">
        <v>1</v>
      </c>
      <c r="E1" t="s">
        <v>3</v>
      </c>
      <c r="F1" t="s">
        <v>5</v>
      </c>
      <c r="G1" t="s">
        <v>7</v>
      </c>
      <c r="H1" t="s">
        <v>8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23</v>
      </c>
      <c r="S1" t="s">
        <v>24</v>
      </c>
      <c r="T1" t="s">
        <v>25</v>
      </c>
    </row>
    <row r="2" spans="1:20" x14ac:dyDescent="0.3">
      <c r="A2" t="s">
        <v>276</v>
      </c>
      <c r="B2">
        <v>93</v>
      </c>
      <c r="C2">
        <v>1</v>
      </c>
      <c r="D2" t="s">
        <v>2</v>
      </c>
      <c r="E2" t="s">
        <v>4</v>
      </c>
      <c r="F2" t="s">
        <v>6</v>
      </c>
      <c r="G2">
        <v>13</v>
      </c>
      <c r="H2">
        <v>12</v>
      </c>
      <c r="I2">
        <v>1</v>
      </c>
      <c r="J2" t="s">
        <v>26</v>
      </c>
      <c r="K2">
        <v>93.677000000000007</v>
      </c>
      <c r="L2">
        <v>28.524000000000001</v>
      </c>
      <c r="M2">
        <v>23.568000000000001</v>
      </c>
      <c r="N2">
        <v>14.132</v>
      </c>
      <c r="O2">
        <v>27.452999999999999</v>
      </c>
      <c r="P2">
        <v>244</v>
      </c>
      <c r="Q2">
        <v>93.677000000000007</v>
      </c>
      <c r="R2" t="b">
        <v>0</v>
      </c>
      <c r="S2" t="b">
        <v>0</v>
      </c>
      <c r="T2" t="b">
        <v>0</v>
      </c>
    </row>
    <row r="3" spans="1:20" x14ac:dyDescent="0.3">
      <c r="A3" t="s">
        <v>276</v>
      </c>
      <c r="B3">
        <v>93</v>
      </c>
      <c r="C3">
        <v>1</v>
      </c>
      <c r="D3" t="s">
        <v>2</v>
      </c>
      <c r="E3" t="s">
        <v>4</v>
      </c>
      <c r="F3" t="s">
        <v>6</v>
      </c>
      <c r="G3">
        <v>13</v>
      </c>
      <c r="H3">
        <v>12</v>
      </c>
      <c r="I3">
        <v>2</v>
      </c>
      <c r="J3" t="s">
        <v>27</v>
      </c>
      <c r="K3">
        <v>88.385999999999996</v>
      </c>
      <c r="L3">
        <v>23.146999999999998</v>
      </c>
      <c r="M3">
        <v>23.584</v>
      </c>
      <c r="N3">
        <v>14.162000000000001</v>
      </c>
      <c r="O3">
        <v>27.492999999999999</v>
      </c>
      <c r="P3">
        <v>342.9</v>
      </c>
      <c r="Q3">
        <v>182.06299999999999</v>
      </c>
      <c r="R3" t="b">
        <v>0</v>
      </c>
      <c r="S3" t="b">
        <v>0</v>
      </c>
      <c r="T3" t="b">
        <v>0</v>
      </c>
    </row>
    <row r="4" spans="1:20" x14ac:dyDescent="0.3">
      <c r="A4" t="s">
        <v>276</v>
      </c>
      <c r="B4">
        <v>93</v>
      </c>
      <c r="C4">
        <v>1</v>
      </c>
      <c r="D4" t="s">
        <v>2</v>
      </c>
      <c r="E4" t="s">
        <v>4</v>
      </c>
      <c r="F4" t="s">
        <v>6</v>
      </c>
      <c r="G4">
        <v>13</v>
      </c>
      <c r="H4">
        <v>12</v>
      </c>
      <c r="I4">
        <v>3</v>
      </c>
      <c r="J4" t="s">
        <v>28</v>
      </c>
      <c r="K4">
        <v>88.637</v>
      </c>
      <c r="L4">
        <v>23.026</v>
      </c>
      <c r="M4">
        <v>23.760999999999999</v>
      </c>
      <c r="N4">
        <v>14.303000000000001</v>
      </c>
      <c r="O4">
        <v>27.547000000000001</v>
      </c>
      <c r="P4">
        <v>342.9</v>
      </c>
      <c r="Q4">
        <v>270.7</v>
      </c>
      <c r="R4" t="b">
        <v>0</v>
      </c>
      <c r="S4" t="b">
        <v>0</v>
      </c>
      <c r="T4" t="b">
        <v>0</v>
      </c>
    </row>
    <row r="5" spans="1:20" x14ac:dyDescent="0.3">
      <c r="A5" t="s">
        <v>276</v>
      </c>
      <c r="B5">
        <v>93</v>
      </c>
      <c r="C5">
        <v>1</v>
      </c>
      <c r="D5" t="s">
        <v>2</v>
      </c>
      <c r="E5" t="s">
        <v>4</v>
      </c>
      <c r="F5" t="s">
        <v>6</v>
      </c>
      <c r="G5">
        <v>13</v>
      </c>
      <c r="H5">
        <v>12</v>
      </c>
      <c r="I5">
        <v>4</v>
      </c>
      <c r="J5" t="s">
        <v>29</v>
      </c>
      <c r="K5">
        <v>87.29</v>
      </c>
      <c r="L5">
        <v>22.79</v>
      </c>
      <c r="M5">
        <v>23.315000000000001</v>
      </c>
      <c r="N5">
        <v>14.026</v>
      </c>
      <c r="O5">
        <v>27.158999999999999</v>
      </c>
      <c r="P5">
        <v>347.3</v>
      </c>
      <c r="Q5">
        <v>357.99</v>
      </c>
      <c r="R5" t="b">
        <v>0</v>
      </c>
      <c r="S5" t="b">
        <v>0</v>
      </c>
      <c r="T5" t="b">
        <v>0</v>
      </c>
    </row>
    <row r="6" spans="1:20" x14ac:dyDescent="0.3">
      <c r="A6" t="s">
        <v>276</v>
      </c>
      <c r="B6">
        <v>93</v>
      </c>
      <c r="C6">
        <v>1</v>
      </c>
      <c r="D6" t="s">
        <v>2</v>
      </c>
      <c r="E6" t="s">
        <v>4</v>
      </c>
      <c r="F6" t="s">
        <v>6</v>
      </c>
      <c r="G6">
        <v>13</v>
      </c>
      <c r="H6">
        <v>12</v>
      </c>
      <c r="I6">
        <v>5</v>
      </c>
      <c r="J6" t="s">
        <v>30</v>
      </c>
      <c r="K6">
        <v>87.8</v>
      </c>
      <c r="L6">
        <v>22.712</v>
      </c>
      <c r="M6">
        <v>23.417000000000002</v>
      </c>
      <c r="N6">
        <v>14.167999999999999</v>
      </c>
      <c r="O6">
        <v>27.503</v>
      </c>
      <c r="P6">
        <v>348.4</v>
      </c>
      <c r="Q6">
        <v>445.79</v>
      </c>
      <c r="R6" t="b">
        <v>0</v>
      </c>
      <c r="S6" t="b">
        <v>0</v>
      </c>
      <c r="T6" t="b">
        <v>0</v>
      </c>
    </row>
    <row r="7" spans="1:20" x14ac:dyDescent="0.3">
      <c r="A7" t="s">
        <v>276</v>
      </c>
      <c r="B7">
        <v>93</v>
      </c>
      <c r="C7">
        <v>1</v>
      </c>
      <c r="D7" t="s">
        <v>2</v>
      </c>
      <c r="E7" t="s">
        <v>4</v>
      </c>
      <c r="F7" t="s">
        <v>6</v>
      </c>
      <c r="G7">
        <v>13</v>
      </c>
      <c r="H7">
        <v>12</v>
      </c>
      <c r="I7">
        <v>6</v>
      </c>
      <c r="J7" t="s">
        <v>31</v>
      </c>
      <c r="K7">
        <v>88.016000000000005</v>
      </c>
      <c r="L7">
        <v>22.963000000000001</v>
      </c>
      <c r="M7">
        <v>23.581</v>
      </c>
      <c r="N7">
        <v>14.098000000000001</v>
      </c>
      <c r="O7">
        <v>27.373999999999999</v>
      </c>
      <c r="P7">
        <v>342.9</v>
      </c>
      <c r="Q7">
        <v>533.80600000000004</v>
      </c>
      <c r="R7" t="b">
        <v>0</v>
      </c>
      <c r="S7" t="b">
        <v>0</v>
      </c>
      <c r="T7" t="b">
        <v>0</v>
      </c>
    </row>
    <row r="8" spans="1:20" x14ac:dyDescent="0.3">
      <c r="A8" t="s">
        <v>276</v>
      </c>
      <c r="B8">
        <v>93</v>
      </c>
      <c r="C8">
        <v>1</v>
      </c>
      <c r="D8" t="s">
        <v>2</v>
      </c>
      <c r="E8" t="s">
        <v>4</v>
      </c>
      <c r="F8" t="s">
        <v>6</v>
      </c>
      <c r="G8">
        <v>13</v>
      </c>
      <c r="H8">
        <v>12</v>
      </c>
      <c r="I8">
        <v>7</v>
      </c>
      <c r="J8" t="s">
        <v>32</v>
      </c>
      <c r="K8">
        <v>87.706999999999994</v>
      </c>
      <c r="L8">
        <v>22.885999999999999</v>
      </c>
      <c r="M8">
        <v>23.364999999999998</v>
      </c>
      <c r="N8">
        <v>14.071</v>
      </c>
      <c r="O8">
        <v>27.385000000000002</v>
      </c>
      <c r="P8">
        <v>342.9</v>
      </c>
      <c r="Q8">
        <v>621.51300000000003</v>
      </c>
      <c r="R8" t="b">
        <v>0</v>
      </c>
      <c r="S8" t="b">
        <v>0</v>
      </c>
      <c r="T8" t="b">
        <v>0</v>
      </c>
    </row>
    <row r="9" spans="1:20" x14ac:dyDescent="0.3">
      <c r="A9" t="s">
        <v>276</v>
      </c>
      <c r="B9">
        <v>93</v>
      </c>
      <c r="C9">
        <v>1</v>
      </c>
      <c r="D9" t="s">
        <v>2</v>
      </c>
      <c r="E9" t="s">
        <v>4</v>
      </c>
      <c r="F9" t="s">
        <v>6</v>
      </c>
      <c r="G9">
        <v>13</v>
      </c>
      <c r="H9">
        <v>12</v>
      </c>
      <c r="I9">
        <v>8</v>
      </c>
      <c r="J9" t="s">
        <v>33</v>
      </c>
      <c r="K9">
        <v>88.251000000000005</v>
      </c>
      <c r="L9">
        <v>22.89</v>
      </c>
      <c r="M9">
        <v>23.832999999999998</v>
      </c>
      <c r="N9">
        <v>14.178000000000001</v>
      </c>
      <c r="O9">
        <v>27.35</v>
      </c>
      <c r="P9">
        <v>345</v>
      </c>
      <c r="Q9">
        <v>709.76400000000001</v>
      </c>
      <c r="R9" t="b">
        <v>0</v>
      </c>
      <c r="S9" t="b">
        <v>0</v>
      </c>
      <c r="T9" t="b">
        <v>0</v>
      </c>
    </row>
    <row r="10" spans="1:20" x14ac:dyDescent="0.3">
      <c r="A10" t="s">
        <v>276</v>
      </c>
      <c r="B10">
        <v>93</v>
      </c>
      <c r="C10">
        <v>1</v>
      </c>
      <c r="D10" t="s">
        <v>2</v>
      </c>
      <c r="E10" t="s">
        <v>4</v>
      </c>
      <c r="F10" t="s">
        <v>6</v>
      </c>
      <c r="G10">
        <v>13</v>
      </c>
      <c r="H10">
        <v>12</v>
      </c>
      <c r="I10">
        <v>9</v>
      </c>
      <c r="J10" t="s">
        <v>34</v>
      </c>
      <c r="K10">
        <v>88.039000000000001</v>
      </c>
      <c r="L10">
        <v>22.992999999999999</v>
      </c>
      <c r="M10">
        <v>23.49</v>
      </c>
      <c r="N10">
        <v>14.148</v>
      </c>
      <c r="O10">
        <v>27.408000000000001</v>
      </c>
      <c r="P10">
        <v>344</v>
      </c>
      <c r="Q10">
        <v>797.803</v>
      </c>
      <c r="R10" t="b">
        <v>0</v>
      </c>
      <c r="S10" t="b">
        <v>0</v>
      </c>
      <c r="T10" t="b">
        <v>0</v>
      </c>
    </row>
    <row r="11" spans="1:20" x14ac:dyDescent="0.3">
      <c r="A11" t="s">
        <v>276</v>
      </c>
      <c r="B11">
        <v>93</v>
      </c>
      <c r="C11">
        <v>1</v>
      </c>
      <c r="D11" t="s">
        <v>2</v>
      </c>
      <c r="E11" t="s">
        <v>4</v>
      </c>
      <c r="F11" t="s">
        <v>6</v>
      </c>
      <c r="G11">
        <v>13</v>
      </c>
      <c r="H11">
        <v>12</v>
      </c>
      <c r="I11">
        <v>10</v>
      </c>
      <c r="J11" t="s">
        <v>35</v>
      </c>
      <c r="K11">
        <v>87.866</v>
      </c>
      <c r="L11">
        <v>22.882999999999999</v>
      </c>
      <c r="M11">
        <v>23.419</v>
      </c>
      <c r="N11">
        <v>14.064</v>
      </c>
      <c r="O11">
        <v>27.5</v>
      </c>
      <c r="P11">
        <v>344</v>
      </c>
      <c r="Q11">
        <v>885.66899999999998</v>
      </c>
      <c r="R11" t="b">
        <v>0</v>
      </c>
      <c r="S11" t="b">
        <v>0</v>
      </c>
      <c r="T11" t="b">
        <v>0</v>
      </c>
    </row>
    <row r="12" spans="1:20" x14ac:dyDescent="0.3">
      <c r="A12" t="s">
        <v>276</v>
      </c>
      <c r="B12">
        <v>93</v>
      </c>
      <c r="C12">
        <v>1</v>
      </c>
      <c r="D12" t="s">
        <v>2</v>
      </c>
      <c r="E12" t="s">
        <v>4</v>
      </c>
      <c r="F12" t="s">
        <v>6</v>
      </c>
      <c r="G12">
        <v>13</v>
      </c>
      <c r="H12">
        <v>12</v>
      </c>
      <c r="I12">
        <v>11</v>
      </c>
      <c r="J12" t="s">
        <v>36</v>
      </c>
      <c r="K12">
        <v>87.915999999999997</v>
      </c>
      <c r="L12">
        <v>22.902000000000001</v>
      </c>
      <c r="M12">
        <v>23.414000000000001</v>
      </c>
      <c r="N12">
        <v>14.148</v>
      </c>
      <c r="O12">
        <v>27.452000000000002</v>
      </c>
      <c r="P12">
        <v>344</v>
      </c>
      <c r="Q12">
        <v>973.58500000000004</v>
      </c>
      <c r="R12" t="b">
        <v>0</v>
      </c>
      <c r="S12" t="b">
        <v>0</v>
      </c>
      <c r="T12" t="b">
        <v>0</v>
      </c>
    </row>
    <row r="13" spans="1:20" x14ac:dyDescent="0.3">
      <c r="A13" t="s">
        <v>276</v>
      </c>
      <c r="B13">
        <v>93</v>
      </c>
      <c r="C13">
        <v>1</v>
      </c>
      <c r="D13" t="s">
        <v>2</v>
      </c>
      <c r="E13" t="s">
        <v>4</v>
      </c>
      <c r="F13" t="s">
        <v>6</v>
      </c>
      <c r="G13">
        <v>13</v>
      </c>
      <c r="H13">
        <v>12</v>
      </c>
      <c r="I13">
        <v>12</v>
      </c>
      <c r="J13" t="s">
        <v>37</v>
      </c>
      <c r="K13">
        <v>87.936999999999998</v>
      </c>
      <c r="L13">
        <v>22.837</v>
      </c>
      <c r="M13">
        <v>23.427</v>
      </c>
      <c r="N13">
        <v>14.135</v>
      </c>
      <c r="O13">
        <v>27.538</v>
      </c>
      <c r="P13">
        <v>342.9</v>
      </c>
      <c r="Q13">
        <v>1061.5219999999999</v>
      </c>
      <c r="R13" t="b">
        <v>0</v>
      </c>
      <c r="S13" t="b">
        <v>0</v>
      </c>
      <c r="T13" t="b">
        <v>0</v>
      </c>
    </row>
    <row r="14" spans="1:20" x14ac:dyDescent="0.3">
      <c r="A14" t="s">
        <v>276</v>
      </c>
      <c r="B14">
        <v>93</v>
      </c>
      <c r="C14">
        <v>1</v>
      </c>
      <c r="D14" t="s">
        <v>2</v>
      </c>
      <c r="E14" t="s">
        <v>4</v>
      </c>
      <c r="F14" t="s">
        <v>6</v>
      </c>
      <c r="G14">
        <v>13</v>
      </c>
      <c r="H14">
        <v>12</v>
      </c>
      <c r="I14">
        <v>13</v>
      </c>
      <c r="J14" t="s">
        <v>38</v>
      </c>
      <c r="K14">
        <v>87.888999999999996</v>
      </c>
      <c r="L14">
        <v>22.902000000000001</v>
      </c>
      <c r="M14">
        <v>23.355</v>
      </c>
      <c r="N14">
        <v>14.188000000000001</v>
      </c>
      <c r="O14">
        <v>27.443999999999999</v>
      </c>
      <c r="P14">
        <v>344</v>
      </c>
      <c r="Q14">
        <v>1149.4110000000001</v>
      </c>
      <c r="R14" t="b">
        <v>0</v>
      </c>
      <c r="S14" t="b">
        <v>0</v>
      </c>
      <c r="T14" t="b">
        <v>0</v>
      </c>
    </row>
    <row r="15" spans="1:20" x14ac:dyDescent="0.3">
      <c r="A15" t="s">
        <v>277</v>
      </c>
      <c r="B15">
        <v>73</v>
      </c>
      <c r="C15">
        <v>2</v>
      </c>
      <c r="D15" t="s">
        <v>40</v>
      </c>
      <c r="E15" t="s">
        <v>4</v>
      </c>
      <c r="F15" t="s">
        <v>6</v>
      </c>
      <c r="G15">
        <v>13</v>
      </c>
      <c r="H15">
        <v>12</v>
      </c>
      <c r="I15">
        <v>1</v>
      </c>
      <c r="J15" t="s">
        <v>41</v>
      </c>
      <c r="K15">
        <v>94.126000000000005</v>
      </c>
      <c r="L15">
        <v>28.75</v>
      </c>
      <c r="M15">
        <v>24.221</v>
      </c>
      <c r="N15">
        <v>14.015000000000001</v>
      </c>
      <c r="O15">
        <v>27.14</v>
      </c>
      <c r="P15">
        <v>241.8</v>
      </c>
      <c r="Q15">
        <v>94.126000000000005</v>
      </c>
      <c r="R15" t="b">
        <v>0</v>
      </c>
      <c r="S15" t="b">
        <v>0</v>
      </c>
      <c r="T15" t="b">
        <v>0</v>
      </c>
    </row>
    <row r="16" spans="1:20" x14ac:dyDescent="0.3">
      <c r="A16" t="s">
        <v>277</v>
      </c>
      <c r="B16">
        <v>73</v>
      </c>
      <c r="C16">
        <v>2</v>
      </c>
      <c r="D16" t="s">
        <v>40</v>
      </c>
      <c r="E16" t="s">
        <v>4</v>
      </c>
      <c r="F16" t="s">
        <v>6</v>
      </c>
      <c r="G16">
        <v>13</v>
      </c>
      <c r="H16">
        <v>12</v>
      </c>
      <c r="I16">
        <v>2</v>
      </c>
      <c r="J16" t="s">
        <v>42</v>
      </c>
      <c r="K16">
        <v>88.156000000000006</v>
      </c>
      <c r="L16">
        <v>22.978999999999999</v>
      </c>
      <c r="M16">
        <v>23.594999999999999</v>
      </c>
      <c r="N16">
        <v>14.036</v>
      </c>
      <c r="O16">
        <v>27.545999999999999</v>
      </c>
      <c r="P16">
        <v>344</v>
      </c>
      <c r="Q16">
        <v>182.28200000000001</v>
      </c>
      <c r="R16" t="b">
        <v>0</v>
      </c>
      <c r="S16" t="b">
        <v>0</v>
      </c>
      <c r="T16" t="b">
        <v>0</v>
      </c>
    </row>
    <row r="17" spans="1:20" x14ac:dyDescent="0.3">
      <c r="A17" t="s">
        <v>277</v>
      </c>
      <c r="B17">
        <v>73</v>
      </c>
      <c r="C17">
        <v>2</v>
      </c>
      <c r="D17" t="s">
        <v>40</v>
      </c>
      <c r="E17" t="s">
        <v>4</v>
      </c>
      <c r="F17" t="s">
        <v>6</v>
      </c>
      <c r="G17">
        <v>13</v>
      </c>
      <c r="H17">
        <v>12</v>
      </c>
      <c r="I17">
        <v>3</v>
      </c>
      <c r="J17" t="s">
        <v>43</v>
      </c>
      <c r="K17">
        <v>88.876999999999995</v>
      </c>
      <c r="L17">
        <v>23.012</v>
      </c>
      <c r="M17">
        <v>23.768000000000001</v>
      </c>
      <c r="N17">
        <v>14.238</v>
      </c>
      <c r="O17">
        <v>27.859000000000002</v>
      </c>
      <c r="P17">
        <v>347.3</v>
      </c>
      <c r="Q17">
        <v>271.15899999999999</v>
      </c>
      <c r="R17" t="b">
        <v>0</v>
      </c>
      <c r="S17" t="b">
        <v>0</v>
      </c>
      <c r="T17" t="b">
        <v>0</v>
      </c>
    </row>
    <row r="18" spans="1:20" x14ac:dyDescent="0.3">
      <c r="A18" t="s">
        <v>277</v>
      </c>
      <c r="B18">
        <v>73</v>
      </c>
      <c r="C18">
        <v>2</v>
      </c>
      <c r="D18" t="s">
        <v>40</v>
      </c>
      <c r="E18" t="s">
        <v>4</v>
      </c>
      <c r="F18" t="s">
        <v>6</v>
      </c>
      <c r="G18">
        <v>13</v>
      </c>
      <c r="H18">
        <v>12</v>
      </c>
      <c r="I18">
        <v>4</v>
      </c>
      <c r="J18" t="s">
        <v>44</v>
      </c>
      <c r="K18">
        <v>88.186000000000007</v>
      </c>
      <c r="L18">
        <v>22.773</v>
      </c>
      <c r="M18">
        <v>23.855</v>
      </c>
      <c r="N18">
        <v>14.157</v>
      </c>
      <c r="O18">
        <v>27.401</v>
      </c>
      <c r="P18">
        <v>345</v>
      </c>
      <c r="Q18">
        <v>359.34500000000003</v>
      </c>
      <c r="R18" t="b">
        <v>0</v>
      </c>
      <c r="S18" t="b">
        <v>0</v>
      </c>
      <c r="T18" t="b">
        <v>0</v>
      </c>
    </row>
    <row r="19" spans="1:20" x14ac:dyDescent="0.3">
      <c r="A19" t="s">
        <v>277</v>
      </c>
      <c r="B19">
        <v>73</v>
      </c>
      <c r="C19">
        <v>2</v>
      </c>
      <c r="D19" t="s">
        <v>40</v>
      </c>
      <c r="E19" t="s">
        <v>4</v>
      </c>
      <c r="F19" t="s">
        <v>6</v>
      </c>
      <c r="G19">
        <v>13</v>
      </c>
      <c r="H19">
        <v>12</v>
      </c>
      <c r="I19">
        <v>5</v>
      </c>
      <c r="J19" t="s">
        <v>45</v>
      </c>
      <c r="K19">
        <v>87.777000000000001</v>
      </c>
      <c r="L19">
        <v>22.765999999999998</v>
      </c>
      <c r="M19">
        <v>23.516999999999999</v>
      </c>
      <c r="N19">
        <v>14.234</v>
      </c>
      <c r="O19">
        <v>27.26</v>
      </c>
      <c r="P19">
        <v>347.3</v>
      </c>
      <c r="Q19">
        <v>447.12200000000001</v>
      </c>
      <c r="R19" t="b">
        <v>0</v>
      </c>
      <c r="S19" t="b">
        <v>0</v>
      </c>
      <c r="T19" t="b">
        <v>0</v>
      </c>
    </row>
    <row r="20" spans="1:20" x14ac:dyDescent="0.3">
      <c r="A20" t="s">
        <v>277</v>
      </c>
      <c r="B20">
        <v>73</v>
      </c>
      <c r="C20">
        <v>2</v>
      </c>
      <c r="D20" t="s">
        <v>40</v>
      </c>
      <c r="E20" t="s">
        <v>4</v>
      </c>
      <c r="F20" t="s">
        <v>6</v>
      </c>
      <c r="G20">
        <v>13</v>
      </c>
      <c r="H20">
        <v>12</v>
      </c>
      <c r="I20">
        <v>6</v>
      </c>
      <c r="J20" t="s">
        <v>46</v>
      </c>
      <c r="K20">
        <v>87.477999999999994</v>
      </c>
      <c r="L20">
        <v>22.745000000000001</v>
      </c>
      <c r="M20">
        <v>23.466000000000001</v>
      </c>
      <c r="N20">
        <v>14.009</v>
      </c>
      <c r="O20">
        <v>27.257999999999999</v>
      </c>
      <c r="P20">
        <v>346.1</v>
      </c>
      <c r="Q20">
        <v>534.6</v>
      </c>
      <c r="R20" t="b">
        <v>0</v>
      </c>
      <c r="S20" t="b">
        <v>0</v>
      </c>
      <c r="T20" t="b">
        <v>0</v>
      </c>
    </row>
    <row r="21" spans="1:20" x14ac:dyDescent="0.3">
      <c r="A21" t="s">
        <v>277</v>
      </c>
      <c r="B21">
        <v>73</v>
      </c>
      <c r="C21">
        <v>2</v>
      </c>
      <c r="D21" t="s">
        <v>40</v>
      </c>
      <c r="E21" t="s">
        <v>4</v>
      </c>
      <c r="F21" t="s">
        <v>6</v>
      </c>
      <c r="G21">
        <v>13</v>
      </c>
      <c r="H21">
        <v>12</v>
      </c>
      <c r="I21">
        <v>7</v>
      </c>
      <c r="J21" t="s">
        <v>47</v>
      </c>
      <c r="K21">
        <v>87.6</v>
      </c>
      <c r="L21">
        <v>22.712</v>
      </c>
      <c r="M21">
        <v>23.542000000000002</v>
      </c>
      <c r="N21">
        <v>14.085000000000001</v>
      </c>
      <c r="O21">
        <v>27.260999999999999</v>
      </c>
      <c r="P21">
        <v>348.4</v>
      </c>
      <c r="Q21">
        <v>622.20000000000005</v>
      </c>
      <c r="R21" t="b">
        <v>0</v>
      </c>
      <c r="S21" t="b">
        <v>0</v>
      </c>
      <c r="T21" t="b">
        <v>0</v>
      </c>
    </row>
    <row r="22" spans="1:20" x14ac:dyDescent="0.3">
      <c r="A22" t="s">
        <v>277</v>
      </c>
      <c r="B22">
        <v>73</v>
      </c>
      <c r="C22">
        <v>2</v>
      </c>
      <c r="D22" t="s">
        <v>40</v>
      </c>
      <c r="E22" t="s">
        <v>4</v>
      </c>
      <c r="F22" t="s">
        <v>6</v>
      </c>
      <c r="G22">
        <v>13</v>
      </c>
      <c r="H22">
        <v>12</v>
      </c>
      <c r="I22">
        <v>8</v>
      </c>
      <c r="J22" t="s">
        <v>48</v>
      </c>
      <c r="K22">
        <v>87.882999999999996</v>
      </c>
      <c r="L22">
        <v>22.78</v>
      </c>
      <c r="M22">
        <v>23.704000000000001</v>
      </c>
      <c r="N22">
        <v>14.121</v>
      </c>
      <c r="O22">
        <v>27.277999999999999</v>
      </c>
      <c r="P22">
        <v>345</v>
      </c>
      <c r="Q22">
        <v>710.08299999999997</v>
      </c>
      <c r="R22" t="b">
        <v>0</v>
      </c>
      <c r="S22" t="b">
        <v>0</v>
      </c>
      <c r="T22" t="b">
        <v>0</v>
      </c>
    </row>
    <row r="23" spans="1:20" x14ac:dyDescent="0.3">
      <c r="A23" t="s">
        <v>277</v>
      </c>
      <c r="B23">
        <v>73</v>
      </c>
      <c r="C23">
        <v>2</v>
      </c>
      <c r="D23" t="s">
        <v>40</v>
      </c>
      <c r="E23" t="s">
        <v>4</v>
      </c>
      <c r="F23" t="s">
        <v>6</v>
      </c>
      <c r="G23">
        <v>13</v>
      </c>
      <c r="H23">
        <v>12</v>
      </c>
      <c r="I23">
        <v>9</v>
      </c>
      <c r="J23" t="s">
        <v>49</v>
      </c>
      <c r="K23">
        <v>87.826999999999998</v>
      </c>
      <c r="L23">
        <v>22.783000000000001</v>
      </c>
      <c r="M23">
        <v>23.637</v>
      </c>
      <c r="N23">
        <v>14.066000000000001</v>
      </c>
      <c r="O23">
        <v>27.341000000000001</v>
      </c>
      <c r="P23">
        <v>348.4</v>
      </c>
      <c r="Q23">
        <v>797.91</v>
      </c>
      <c r="R23" t="b">
        <v>0</v>
      </c>
      <c r="S23" t="b">
        <v>0</v>
      </c>
      <c r="T23" t="b">
        <v>0</v>
      </c>
    </row>
    <row r="24" spans="1:20" x14ac:dyDescent="0.3">
      <c r="A24" t="s">
        <v>277</v>
      </c>
      <c r="B24">
        <v>73</v>
      </c>
      <c r="C24">
        <v>2</v>
      </c>
      <c r="D24" t="s">
        <v>40</v>
      </c>
      <c r="E24" t="s">
        <v>4</v>
      </c>
      <c r="F24" t="s">
        <v>6</v>
      </c>
      <c r="G24">
        <v>13</v>
      </c>
      <c r="H24">
        <v>12</v>
      </c>
      <c r="I24">
        <v>10</v>
      </c>
      <c r="J24" t="s">
        <v>50</v>
      </c>
      <c r="K24">
        <v>87.944000000000003</v>
      </c>
      <c r="L24">
        <v>23.007999999999999</v>
      </c>
      <c r="M24">
        <v>23.614999999999998</v>
      </c>
      <c r="N24">
        <v>14.074</v>
      </c>
      <c r="O24">
        <v>27.247</v>
      </c>
      <c r="P24">
        <v>330.3</v>
      </c>
      <c r="Q24">
        <v>885.85400000000004</v>
      </c>
      <c r="R24" t="b">
        <v>0</v>
      </c>
      <c r="S24" t="b">
        <v>0</v>
      </c>
      <c r="T24" t="b">
        <v>0</v>
      </c>
    </row>
    <row r="25" spans="1:20" x14ac:dyDescent="0.3">
      <c r="A25" t="s">
        <v>277</v>
      </c>
      <c r="B25">
        <v>73</v>
      </c>
      <c r="C25">
        <v>2</v>
      </c>
      <c r="D25" t="s">
        <v>40</v>
      </c>
      <c r="E25" t="s">
        <v>4</v>
      </c>
      <c r="F25" t="s">
        <v>6</v>
      </c>
      <c r="G25">
        <v>13</v>
      </c>
      <c r="H25">
        <v>12</v>
      </c>
      <c r="I25">
        <v>11</v>
      </c>
      <c r="J25" t="s">
        <v>51</v>
      </c>
      <c r="K25">
        <v>88.006</v>
      </c>
      <c r="L25">
        <v>22.957999999999998</v>
      </c>
      <c r="M25">
        <v>23.613</v>
      </c>
      <c r="N25">
        <v>14.03</v>
      </c>
      <c r="O25">
        <v>27.405000000000001</v>
      </c>
      <c r="P25">
        <v>342.9</v>
      </c>
      <c r="Q25">
        <v>973.86</v>
      </c>
      <c r="R25" t="b">
        <v>0</v>
      </c>
      <c r="S25" t="b">
        <v>0</v>
      </c>
      <c r="T25" t="b">
        <v>0</v>
      </c>
    </row>
    <row r="26" spans="1:20" x14ac:dyDescent="0.3">
      <c r="A26" t="s">
        <v>277</v>
      </c>
      <c r="B26">
        <v>73</v>
      </c>
      <c r="C26">
        <v>2</v>
      </c>
      <c r="D26" t="s">
        <v>40</v>
      </c>
      <c r="E26" t="s">
        <v>4</v>
      </c>
      <c r="F26" t="s">
        <v>6</v>
      </c>
      <c r="G26">
        <v>13</v>
      </c>
      <c r="H26">
        <v>12</v>
      </c>
      <c r="I26">
        <v>12</v>
      </c>
      <c r="J26" t="s">
        <v>52</v>
      </c>
      <c r="K26">
        <v>87.927999999999997</v>
      </c>
      <c r="L26">
        <v>22.811</v>
      </c>
      <c r="M26">
        <v>23.655999999999999</v>
      </c>
      <c r="N26">
        <v>14.035</v>
      </c>
      <c r="O26">
        <v>27.425999999999998</v>
      </c>
      <c r="P26">
        <v>349.5</v>
      </c>
      <c r="Q26">
        <v>1061.788</v>
      </c>
      <c r="R26" t="b">
        <v>0</v>
      </c>
      <c r="S26" t="b">
        <v>0</v>
      </c>
      <c r="T26" t="b">
        <v>0</v>
      </c>
    </row>
    <row r="27" spans="1:20" x14ac:dyDescent="0.3">
      <c r="A27" t="s">
        <v>277</v>
      </c>
      <c r="B27">
        <v>73</v>
      </c>
      <c r="C27">
        <v>2</v>
      </c>
      <c r="D27" t="s">
        <v>40</v>
      </c>
      <c r="E27" t="s">
        <v>4</v>
      </c>
      <c r="F27" t="s">
        <v>6</v>
      </c>
      <c r="G27">
        <v>13</v>
      </c>
      <c r="H27">
        <v>12</v>
      </c>
      <c r="I27">
        <v>13</v>
      </c>
      <c r="J27" t="s">
        <v>53</v>
      </c>
      <c r="K27">
        <v>87.945999999999998</v>
      </c>
      <c r="L27">
        <v>22.844000000000001</v>
      </c>
      <c r="M27">
        <v>23.605</v>
      </c>
      <c r="N27">
        <v>13.987</v>
      </c>
      <c r="O27">
        <v>27.51</v>
      </c>
      <c r="P27">
        <v>346.1</v>
      </c>
      <c r="Q27">
        <v>1149.7339999999999</v>
      </c>
      <c r="R27" t="b">
        <v>0</v>
      </c>
      <c r="S27" t="b">
        <v>0</v>
      </c>
      <c r="T27" t="b">
        <v>0</v>
      </c>
    </row>
    <row r="28" spans="1:20" x14ac:dyDescent="0.3">
      <c r="A28" t="s">
        <v>278</v>
      </c>
      <c r="B28">
        <v>49</v>
      </c>
      <c r="C28">
        <v>3</v>
      </c>
      <c r="D28" t="s">
        <v>55</v>
      </c>
      <c r="E28" t="s">
        <v>4</v>
      </c>
      <c r="F28" t="s">
        <v>56</v>
      </c>
      <c r="G28">
        <v>13</v>
      </c>
      <c r="H28">
        <v>12</v>
      </c>
      <c r="I28">
        <v>1</v>
      </c>
      <c r="J28" t="s">
        <v>57</v>
      </c>
      <c r="K28">
        <v>95.38</v>
      </c>
      <c r="L28">
        <v>29.370999999999999</v>
      </c>
      <c r="M28">
        <v>24.344000000000001</v>
      </c>
      <c r="N28">
        <v>14.224</v>
      </c>
      <c r="O28">
        <v>27.440999999999999</v>
      </c>
      <c r="P28">
        <v>247.3</v>
      </c>
      <c r="Q28">
        <v>95.38</v>
      </c>
      <c r="R28" t="b">
        <v>0</v>
      </c>
      <c r="S28" t="b">
        <v>0</v>
      </c>
      <c r="T28" t="b">
        <v>0</v>
      </c>
    </row>
    <row r="29" spans="1:20" x14ac:dyDescent="0.3">
      <c r="A29" t="s">
        <v>278</v>
      </c>
      <c r="B29">
        <v>49</v>
      </c>
      <c r="C29">
        <v>3</v>
      </c>
      <c r="D29" t="s">
        <v>55</v>
      </c>
      <c r="E29" t="s">
        <v>4</v>
      </c>
      <c r="F29" t="s">
        <v>56</v>
      </c>
      <c r="G29">
        <v>13</v>
      </c>
      <c r="H29">
        <v>12</v>
      </c>
      <c r="I29">
        <v>2</v>
      </c>
      <c r="J29" t="s">
        <v>58</v>
      </c>
      <c r="K29">
        <v>88.501999999999995</v>
      </c>
      <c r="L29">
        <v>23.312999999999999</v>
      </c>
      <c r="M29">
        <v>23.895</v>
      </c>
      <c r="N29">
        <v>14.090999999999999</v>
      </c>
      <c r="O29">
        <v>27.202999999999999</v>
      </c>
      <c r="P29">
        <v>331.3</v>
      </c>
      <c r="Q29">
        <v>183.88200000000001</v>
      </c>
      <c r="R29" t="b">
        <v>0</v>
      </c>
      <c r="S29" t="b">
        <v>0</v>
      </c>
      <c r="T29" t="b">
        <v>0</v>
      </c>
    </row>
    <row r="30" spans="1:20" x14ac:dyDescent="0.3">
      <c r="A30" t="s">
        <v>278</v>
      </c>
      <c r="B30">
        <v>49</v>
      </c>
      <c r="C30">
        <v>3</v>
      </c>
      <c r="D30" t="s">
        <v>55</v>
      </c>
      <c r="E30" t="s">
        <v>4</v>
      </c>
      <c r="F30" t="s">
        <v>56</v>
      </c>
      <c r="G30">
        <v>13</v>
      </c>
      <c r="H30">
        <v>12</v>
      </c>
      <c r="I30">
        <v>3</v>
      </c>
      <c r="J30" t="s">
        <v>59</v>
      </c>
      <c r="K30">
        <v>88.007999999999996</v>
      </c>
      <c r="L30">
        <v>23.033000000000001</v>
      </c>
      <c r="M30">
        <v>23.602</v>
      </c>
      <c r="N30">
        <v>14.08</v>
      </c>
      <c r="O30">
        <v>27.292999999999999</v>
      </c>
      <c r="P30">
        <v>347.3</v>
      </c>
      <c r="Q30">
        <v>271.89</v>
      </c>
      <c r="R30" t="b">
        <v>0</v>
      </c>
      <c r="S30" t="b">
        <v>0</v>
      </c>
      <c r="T30" t="b">
        <v>0</v>
      </c>
    </row>
    <row r="31" spans="1:20" x14ac:dyDescent="0.3">
      <c r="A31" t="s">
        <v>278</v>
      </c>
      <c r="B31">
        <v>49</v>
      </c>
      <c r="C31">
        <v>3</v>
      </c>
      <c r="D31" t="s">
        <v>55</v>
      </c>
      <c r="E31" t="s">
        <v>4</v>
      </c>
      <c r="F31" t="s">
        <v>56</v>
      </c>
      <c r="G31">
        <v>13</v>
      </c>
      <c r="H31">
        <v>12</v>
      </c>
      <c r="I31">
        <v>4</v>
      </c>
      <c r="J31" t="s">
        <v>60</v>
      </c>
      <c r="K31">
        <v>88.015000000000001</v>
      </c>
      <c r="L31">
        <v>23.001999999999999</v>
      </c>
      <c r="M31">
        <v>23.591999999999999</v>
      </c>
      <c r="N31">
        <v>14.103999999999999</v>
      </c>
      <c r="O31">
        <v>27.317</v>
      </c>
      <c r="P31">
        <v>334.4</v>
      </c>
      <c r="Q31">
        <v>359.90499999999997</v>
      </c>
      <c r="R31" t="b">
        <v>0</v>
      </c>
      <c r="S31" t="b">
        <v>0</v>
      </c>
      <c r="T31" t="b">
        <v>0</v>
      </c>
    </row>
    <row r="32" spans="1:20" x14ac:dyDescent="0.3">
      <c r="A32" t="s">
        <v>278</v>
      </c>
      <c r="B32">
        <v>49</v>
      </c>
      <c r="C32">
        <v>3</v>
      </c>
      <c r="D32" t="s">
        <v>55</v>
      </c>
      <c r="E32" t="s">
        <v>4</v>
      </c>
      <c r="F32" t="s">
        <v>56</v>
      </c>
      <c r="G32">
        <v>13</v>
      </c>
      <c r="H32">
        <v>12</v>
      </c>
      <c r="I32">
        <v>5</v>
      </c>
      <c r="J32" t="s">
        <v>61</v>
      </c>
      <c r="K32">
        <v>87.900999999999996</v>
      </c>
      <c r="L32">
        <v>22.934000000000001</v>
      </c>
      <c r="M32">
        <v>23.603999999999999</v>
      </c>
      <c r="N32">
        <v>14.09</v>
      </c>
      <c r="O32">
        <v>27.273</v>
      </c>
      <c r="P32">
        <v>344</v>
      </c>
      <c r="Q32">
        <v>447.80599999999998</v>
      </c>
      <c r="R32" t="b">
        <v>0</v>
      </c>
      <c r="S32" t="b">
        <v>0</v>
      </c>
      <c r="T32" t="b">
        <v>0</v>
      </c>
    </row>
    <row r="33" spans="1:20" x14ac:dyDescent="0.3">
      <c r="A33" t="s">
        <v>278</v>
      </c>
      <c r="B33">
        <v>49</v>
      </c>
      <c r="C33">
        <v>3</v>
      </c>
      <c r="D33" t="s">
        <v>55</v>
      </c>
      <c r="E33" t="s">
        <v>4</v>
      </c>
      <c r="F33" t="s">
        <v>56</v>
      </c>
      <c r="G33">
        <v>13</v>
      </c>
      <c r="H33">
        <v>12</v>
      </c>
      <c r="I33">
        <v>6</v>
      </c>
      <c r="J33" t="s">
        <v>62</v>
      </c>
      <c r="K33">
        <v>88.045000000000002</v>
      </c>
      <c r="L33">
        <v>22.968</v>
      </c>
      <c r="M33">
        <v>23.515999999999998</v>
      </c>
      <c r="N33">
        <v>14.06</v>
      </c>
      <c r="O33">
        <v>27.501000000000001</v>
      </c>
      <c r="P33">
        <v>332.3</v>
      </c>
      <c r="Q33">
        <v>535.851</v>
      </c>
      <c r="R33" t="b">
        <v>0</v>
      </c>
      <c r="S33" t="b">
        <v>0</v>
      </c>
      <c r="T33" t="b">
        <v>0</v>
      </c>
    </row>
    <row r="34" spans="1:20" x14ac:dyDescent="0.3">
      <c r="A34" t="s">
        <v>278</v>
      </c>
      <c r="B34">
        <v>49</v>
      </c>
      <c r="C34">
        <v>3</v>
      </c>
      <c r="D34" t="s">
        <v>55</v>
      </c>
      <c r="E34" t="s">
        <v>4</v>
      </c>
      <c r="F34" t="s">
        <v>56</v>
      </c>
      <c r="G34">
        <v>13</v>
      </c>
      <c r="H34">
        <v>12</v>
      </c>
      <c r="I34">
        <v>7</v>
      </c>
      <c r="J34" t="s">
        <v>63</v>
      </c>
      <c r="K34">
        <v>87.713999999999999</v>
      </c>
      <c r="L34">
        <v>22.835000000000001</v>
      </c>
      <c r="M34">
        <v>23.492999999999999</v>
      </c>
      <c r="N34">
        <v>14.074</v>
      </c>
      <c r="O34">
        <v>27.312000000000001</v>
      </c>
      <c r="P34">
        <v>344</v>
      </c>
      <c r="Q34">
        <v>623.56500000000005</v>
      </c>
      <c r="R34" t="b">
        <v>0</v>
      </c>
      <c r="S34" t="b">
        <v>0</v>
      </c>
      <c r="T34" t="b">
        <v>0</v>
      </c>
    </row>
    <row r="35" spans="1:20" x14ac:dyDescent="0.3">
      <c r="A35" t="s">
        <v>278</v>
      </c>
      <c r="B35">
        <v>49</v>
      </c>
      <c r="C35">
        <v>3</v>
      </c>
      <c r="D35" t="s">
        <v>55</v>
      </c>
      <c r="E35" t="s">
        <v>4</v>
      </c>
      <c r="F35" t="s">
        <v>56</v>
      </c>
      <c r="G35">
        <v>13</v>
      </c>
      <c r="H35">
        <v>12</v>
      </c>
      <c r="I35">
        <v>8</v>
      </c>
      <c r="J35" t="s">
        <v>53</v>
      </c>
      <c r="K35">
        <v>87.945999999999998</v>
      </c>
      <c r="L35">
        <v>22.888999999999999</v>
      </c>
      <c r="M35">
        <v>23.547999999999998</v>
      </c>
      <c r="N35">
        <v>14.151999999999999</v>
      </c>
      <c r="O35">
        <v>27.356999999999999</v>
      </c>
      <c r="P35">
        <v>345</v>
      </c>
      <c r="Q35">
        <v>711.51099999999997</v>
      </c>
      <c r="R35" t="b">
        <v>0</v>
      </c>
      <c r="S35" t="b">
        <v>0</v>
      </c>
      <c r="T35" t="b">
        <v>0</v>
      </c>
    </row>
    <row r="36" spans="1:20" x14ac:dyDescent="0.3">
      <c r="A36" t="s">
        <v>278</v>
      </c>
      <c r="B36">
        <v>49</v>
      </c>
      <c r="C36">
        <v>3</v>
      </c>
      <c r="D36" t="s">
        <v>55</v>
      </c>
      <c r="E36" t="s">
        <v>4</v>
      </c>
      <c r="F36" t="s">
        <v>56</v>
      </c>
      <c r="G36">
        <v>13</v>
      </c>
      <c r="H36">
        <v>12</v>
      </c>
      <c r="I36">
        <v>9</v>
      </c>
      <c r="J36" t="s">
        <v>64</v>
      </c>
      <c r="K36">
        <v>87.796999999999997</v>
      </c>
      <c r="L36">
        <v>22.818999999999999</v>
      </c>
      <c r="M36">
        <v>23.454000000000001</v>
      </c>
      <c r="N36">
        <v>14.180999999999999</v>
      </c>
      <c r="O36">
        <v>27.343</v>
      </c>
      <c r="P36">
        <v>342.9</v>
      </c>
      <c r="Q36">
        <v>799.30799999999999</v>
      </c>
      <c r="R36" t="b">
        <v>0</v>
      </c>
      <c r="S36" t="b">
        <v>0</v>
      </c>
      <c r="T36" t="b">
        <v>0</v>
      </c>
    </row>
    <row r="37" spans="1:20" x14ac:dyDescent="0.3">
      <c r="A37" t="s">
        <v>278</v>
      </c>
      <c r="B37">
        <v>49</v>
      </c>
      <c r="C37">
        <v>3</v>
      </c>
      <c r="D37" t="s">
        <v>55</v>
      </c>
      <c r="E37" t="s">
        <v>4</v>
      </c>
      <c r="F37" t="s">
        <v>56</v>
      </c>
      <c r="G37">
        <v>13</v>
      </c>
      <c r="H37">
        <v>12</v>
      </c>
      <c r="I37">
        <v>10</v>
      </c>
      <c r="J37" t="s">
        <v>65</v>
      </c>
      <c r="K37">
        <v>87.632999999999996</v>
      </c>
      <c r="L37">
        <v>22.83</v>
      </c>
      <c r="M37">
        <v>23.494</v>
      </c>
      <c r="N37">
        <v>14.013999999999999</v>
      </c>
      <c r="O37">
        <v>27.295000000000002</v>
      </c>
      <c r="P37">
        <v>344</v>
      </c>
      <c r="Q37">
        <v>886.94100000000003</v>
      </c>
      <c r="R37" t="b">
        <v>0</v>
      </c>
      <c r="S37" t="b">
        <v>0</v>
      </c>
      <c r="T37" t="b">
        <v>0</v>
      </c>
    </row>
    <row r="38" spans="1:20" x14ac:dyDescent="0.3">
      <c r="A38" t="s">
        <v>278</v>
      </c>
      <c r="B38">
        <v>49</v>
      </c>
      <c r="C38">
        <v>3</v>
      </c>
      <c r="D38" t="s">
        <v>55</v>
      </c>
      <c r="E38" t="s">
        <v>4</v>
      </c>
      <c r="F38" t="s">
        <v>56</v>
      </c>
      <c r="G38">
        <v>13</v>
      </c>
      <c r="H38">
        <v>12</v>
      </c>
      <c r="I38">
        <v>11</v>
      </c>
      <c r="J38" t="s">
        <v>66</v>
      </c>
      <c r="K38">
        <v>87.674000000000007</v>
      </c>
      <c r="L38">
        <v>22.852</v>
      </c>
      <c r="M38">
        <v>23.381</v>
      </c>
      <c r="N38">
        <v>14.082000000000001</v>
      </c>
      <c r="O38">
        <v>27.359000000000002</v>
      </c>
      <c r="P38">
        <v>346.1</v>
      </c>
      <c r="Q38">
        <v>974.61500000000001</v>
      </c>
      <c r="R38" t="b">
        <v>0</v>
      </c>
      <c r="S38" t="b">
        <v>0</v>
      </c>
      <c r="T38" t="b">
        <v>0</v>
      </c>
    </row>
    <row r="39" spans="1:20" x14ac:dyDescent="0.3">
      <c r="A39" t="s">
        <v>278</v>
      </c>
      <c r="B39">
        <v>49</v>
      </c>
      <c r="C39">
        <v>3</v>
      </c>
      <c r="D39" t="s">
        <v>55</v>
      </c>
      <c r="E39" t="s">
        <v>4</v>
      </c>
      <c r="F39" t="s">
        <v>56</v>
      </c>
      <c r="G39">
        <v>13</v>
      </c>
      <c r="H39">
        <v>12</v>
      </c>
      <c r="I39">
        <v>12</v>
      </c>
      <c r="J39" t="s">
        <v>67</v>
      </c>
      <c r="K39">
        <v>87.611999999999995</v>
      </c>
      <c r="L39">
        <v>22.766999999999999</v>
      </c>
      <c r="M39">
        <v>23.465</v>
      </c>
      <c r="N39">
        <v>14.093999999999999</v>
      </c>
      <c r="O39">
        <v>27.286000000000001</v>
      </c>
      <c r="P39">
        <v>346.1</v>
      </c>
      <c r="Q39">
        <v>1062.2270000000001</v>
      </c>
      <c r="R39" t="b">
        <v>0</v>
      </c>
      <c r="S39" t="b">
        <v>0</v>
      </c>
      <c r="T39" t="b">
        <v>0</v>
      </c>
    </row>
    <row r="40" spans="1:20" x14ac:dyDescent="0.3">
      <c r="A40" t="s">
        <v>278</v>
      </c>
      <c r="B40">
        <v>49</v>
      </c>
      <c r="C40">
        <v>3</v>
      </c>
      <c r="D40" t="s">
        <v>55</v>
      </c>
      <c r="E40" t="s">
        <v>4</v>
      </c>
      <c r="F40" t="s">
        <v>56</v>
      </c>
      <c r="G40">
        <v>13</v>
      </c>
      <c r="H40">
        <v>12</v>
      </c>
      <c r="I40">
        <v>13</v>
      </c>
      <c r="J40" t="s">
        <v>68</v>
      </c>
      <c r="K40">
        <v>87.774000000000001</v>
      </c>
      <c r="L40">
        <v>22.841000000000001</v>
      </c>
      <c r="M40">
        <v>23.489000000000001</v>
      </c>
      <c r="N40">
        <v>14.099</v>
      </c>
      <c r="O40">
        <v>27.344999999999999</v>
      </c>
      <c r="P40">
        <v>348.4</v>
      </c>
      <c r="Q40">
        <v>1150.001</v>
      </c>
      <c r="R40" t="b">
        <v>0</v>
      </c>
      <c r="S40" t="b">
        <v>0</v>
      </c>
      <c r="T40" t="b">
        <v>0</v>
      </c>
    </row>
    <row r="41" spans="1:20" x14ac:dyDescent="0.3">
      <c r="A41" t="s">
        <v>279</v>
      </c>
      <c r="B41">
        <v>72</v>
      </c>
      <c r="C41">
        <v>4</v>
      </c>
      <c r="D41" t="s">
        <v>70</v>
      </c>
      <c r="E41" t="s">
        <v>71</v>
      </c>
      <c r="F41" t="s">
        <v>56</v>
      </c>
      <c r="G41">
        <v>13</v>
      </c>
      <c r="H41">
        <v>12</v>
      </c>
      <c r="I41">
        <v>1</v>
      </c>
      <c r="J41" t="s">
        <v>72</v>
      </c>
      <c r="K41">
        <v>96.138999999999996</v>
      </c>
      <c r="L41">
        <v>29.736000000000001</v>
      </c>
      <c r="M41">
        <v>24.561</v>
      </c>
      <c r="N41">
        <v>14.37</v>
      </c>
      <c r="O41">
        <v>27.472000000000001</v>
      </c>
      <c r="P41">
        <v>252.5</v>
      </c>
      <c r="Q41">
        <v>96.138999999999996</v>
      </c>
      <c r="R41" t="b">
        <v>0</v>
      </c>
      <c r="S41" t="b">
        <v>0</v>
      </c>
      <c r="T41" t="b">
        <v>0</v>
      </c>
    </row>
    <row r="42" spans="1:20" x14ac:dyDescent="0.3">
      <c r="A42" t="s">
        <v>279</v>
      </c>
      <c r="B42">
        <v>72</v>
      </c>
      <c r="C42">
        <v>4</v>
      </c>
      <c r="D42" t="s">
        <v>70</v>
      </c>
      <c r="E42" t="s">
        <v>71</v>
      </c>
      <c r="F42" t="s">
        <v>56</v>
      </c>
      <c r="G42">
        <v>13</v>
      </c>
      <c r="H42">
        <v>12</v>
      </c>
      <c r="I42">
        <v>2</v>
      </c>
      <c r="J42" t="s">
        <v>50</v>
      </c>
      <c r="K42">
        <v>87.944000000000003</v>
      </c>
      <c r="L42">
        <v>23.026</v>
      </c>
      <c r="M42">
        <v>23.611999999999998</v>
      </c>
      <c r="N42">
        <v>14.106999999999999</v>
      </c>
      <c r="O42">
        <v>27.199000000000002</v>
      </c>
      <c r="P42">
        <v>348.4</v>
      </c>
      <c r="Q42">
        <v>184.083</v>
      </c>
      <c r="R42" t="b">
        <v>0</v>
      </c>
      <c r="S42" t="b">
        <v>0</v>
      </c>
      <c r="T42" t="b">
        <v>0</v>
      </c>
    </row>
    <row r="43" spans="1:20" x14ac:dyDescent="0.3">
      <c r="A43" t="s">
        <v>279</v>
      </c>
      <c r="B43">
        <v>72</v>
      </c>
      <c r="C43">
        <v>4</v>
      </c>
      <c r="D43" t="s">
        <v>70</v>
      </c>
      <c r="E43" t="s">
        <v>71</v>
      </c>
      <c r="F43" t="s">
        <v>56</v>
      </c>
      <c r="G43">
        <v>13</v>
      </c>
      <c r="H43">
        <v>12</v>
      </c>
      <c r="I43">
        <v>3</v>
      </c>
      <c r="J43" t="s">
        <v>73</v>
      </c>
      <c r="K43">
        <v>88.28</v>
      </c>
      <c r="L43">
        <v>23.17</v>
      </c>
      <c r="M43">
        <v>23.670999999999999</v>
      </c>
      <c r="N43">
        <v>14.172000000000001</v>
      </c>
      <c r="O43">
        <v>27.266999999999999</v>
      </c>
      <c r="P43">
        <v>335.4</v>
      </c>
      <c r="Q43">
        <v>272.363</v>
      </c>
      <c r="R43" t="b">
        <v>0</v>
      </c>
      <c r="S43" t="b">
        <v>0</v>
      </c>
      <c r="T43" t="b">
        <v>0</v>
      </c>
    </row>
    <row r="44" spans="1:20" x14ac:dyDescent="0.3">
      <c r="A44" t="s">
        <v>279</v>
      </c>
      <c r="B44">
        <v>72</v>
      </c>
      <c r="C44">
        <v>4</v>
      </c>
      <c r="D44" t="s">
        <v>70</v>
      </c>
      <c r="E44" t="s">
        <v>71</v>
      </c>
      <c r="F44" t="s">
        <v>56</v>
      </c>
      <c r="G44">
        <v>13</v>
      </c>
      <c r="H44">
        <v>12</v>
      </c>
      <c r="I44">
        <v>4</v>
      </c>
      <c r="J44" t="s">
        <v>74</v>
      </c>
      <c r="K44">
        <v>88.254999999999995</v>
      </c>
      <c r="L44">
        <v>22.913</v>
      </c>
      <c r="M44">
        <v>23.576000000000001</v>
      </c>
      <c r="N44">
        <v>14.302</v>
      </c>
      <c r="O44">
        <v>27.463999999999999</v>
      </c>
      <c r="P44">
        <v>342.9</v>
      </c>
      <c r="Q44">
        <v>360.61799999999999</v>
      </c>
      <c r="R44" t="b">
        <v>0</v>
      </c>
      <c r="S44" t="b">
        <v>0</v>
      </c>
      <c r="T44" t="b">
        <v>0</v>
      </c>
    </row>
    <row r="45" spans="1:20" x14ac:dyDescent="0.3">
      <c r="A45" t="s">
        <v>279</v>
      </c>
      <c r="B45">
        <v>72</v>
      </c>
      <c r="C45">
        <v>4</v>
      </c>
      <c r="D45" t="s">
        <v>70</v>
      </c>
      <c r="E45" t="s">
        <v>71</v>
      </c>
      <c r="F45" t="s">
        <v>56</v>
      </c>
      <c r="G45">
        <v>13</v>
      </c>
      <c r="H45">
        <v>12</v>
      </c>
      <c r="I45">
        <v>5</v>
      </c>
      <c r="J45" t="s">
        <v>75</v>
      </c>
      <c r="K45">
        <v>88.126999999999995</v>
      </c>
      <c r="L45">
        <v>22.914000000000001</v>
      </c>
      <c r="M45">
        <v>23.626999999999999</v>
      </c>
      <c r="N45">
        <v>14.145</v>
      </c>
      <c r="O45">
        <v>27.440999999999999</v>
      </c>
      <c r="P45">
        <v>350.6</v>
      </c>
      <c r="Q45">
        <v>448.745</v>
      </c>
      <c r="R45" t="b">
        <v>0</v>
      </c>
      <c r="S45" t="b">
        <v>0</v>
      </c>
      <c r="T45" t="b">
        <v>0</v>
      </c>
    </row>
    <row r="46" spans="1:20" x14ac:dyDescent="0.3">
      <c r="A46" t="s">
        <v>279</v>
      </c>
      <c r="B46">
        <v>72</v>
      </c>
      <c r="C46">
        <v>4</v>
      </c>
      <c r="D46" t="s">
        <v>70</v>
      </c>
      <c r="E46" t="s">
        <v>71</v>
      </c>
      <c r="F46" t="s">
        <v>56</v>
      </c>
      <c r="G46">
        <v>13</v>
      </c>
      <c r="H46">
        <v>12</v>
      </c>
      <c r="I46">
        <v>6</v>
      </c>
      <c r="J46" t="s">
        <v>76</v>
      </c>
      <c r="K46">
        <v>87.683999999999997</v>
      </c>
      <c r="L46">
        <v>22.885000000000002</v>
      </c>
      <c r="M46">
        <v>23.423999999999999</v>
      </c>
      <c r="N46">
        <v>14.124000000000001</v>
      </c>
      <c r="O46">
        <v>27.251000000000001</v>
      </c>
      <c r="P46">
        <v>351.8</v>
      </c>
      <c r="Q46">
        <v>536.42899999999997</v>
      </c>
      <c r="R46" t="b">
        <v>0</v>
      </c>
      <c r="S46" t="b">
        <v>0</v>
      </c>
      <c r="T46" t="b">
        <v>0</v>
      </c>
    </row>
    <row r="47" spans="1:20" x14ac:dyDescent="0.3">
      <c r="A47" t="s">
        <v>279</v>
      </c>
      <c r="B47">
        <v>72</v>
      </c>
      <c r="C47">
        <v>4</v>
      </c>
      <c r="D47" t="s">
        <v>70</v>
      </c>
      <c r="E47" t="s">
        <v>71</v>
      </c>
      <c r="F47" t="s">
        <v>56</v>
      </c>
      <c r="G47">
        <v>13</v>
      </c>
      <c r="H47">
        <v>12</v>
      </c>
      <c r="I47">
        <v>7</v>
      </c>
      <c r="J47" t="s">
        <v>77</v>
      </c>
      <c r="K47">
        <v>87.748000000000005</v>
      </c>
      <c r="L47">
        <v>22.873999999999999</v>
      </c>
      <c r="M47">
        <v>23.422000000000001</v>
      </c>
      <c r="N47">
        <v>14.121</v>
      </c>
      <c r="O47">
        <v>27.331</v>
      </c>
      <c r="P47">
        <v>349.5</v>
      </c>
      <c r="Q47">
        <v>624.17700000000002</v>
      </c>
      <c r="R47" t="b">
        <v>0</v>
      </c>
      <c r="S47" t="b">
        <v>0</v>
      </c>
      <c r="T47" t="b">
        <v>0</v>
      </c>
    </row>
    <row r="48" spans="1:20" x14ac:dyDescent="0.3">
      <c r="A48" t="s">
        <v>279</v>
      </c>
      <c r="B48">
        <v>72</v>
      </c>
      <c r="C48">
        <v>4</v>
      </c>
      <c r="D48" t="s">
        <v>70</v>
      </c>
      <c r="E48" t="s">
        <v>71</v>
      </c>
      <c r="F48" t="s">
        <v>56</v>
      </c>
      <c r="G48">
        <v>13</v>
      </c>
      <c r="H48">
        <v>12</v>
      </c>
      <c r="I48">
        <v>8</v>
      </c>
      <c r="J48" t="s">
        <v>78</v>
      </c>
      <c r="K48">
        <v>87.912999999999997</v>
      </c>
      <c r="L48">
        <v>22.914000000000001</v>
      </c>
      <c r="M48">
        <v>23.527000000000001</v>
      </c>
      <c r="N48">
        <v>14.173999999999999</v>
      </c>
      <c r="O48">
        <v>27.297999999999998</v>
      </c>
      <c r="P48">
        <v>349.5</v>
      </c>
      <c r="Q48">
        <v>712.09</v>
      </c>
      <c r="R48" t="b">
        <v>0</v>
      </c>
      <c r="S48" t="b">
        <v>0</v>
      </c>
      <c r="T48" t="b">
        <v>0</v>
      </c>
    </row>
    <row r="49" spans="1:20" x14ac:dyDescent="0.3">
      <c r="A49" t="s">
        <v>279</v>
      </c>
      <c r="B49">
        <v>72</v>
      </c>
      <c r="C49">
        <v>4</v>
      </c>
      <c r="D49" t="s">
        <v>70</v>
      </c>
      <c r="E49" t="s">
        <v>71</v>
      </c>
      <c r="F49" t="s">
        <v>56</v>
      </c>
      <c r="G49">
        <v>13</v>
      </c>
      <c r="H49">
        <v>12</v>
      </c>
      <c r="I49">
        <v>9</v>
      </c>
      <c r="J49" t="s">
        <v>79</v>
      </c>
      <c r="K49">
        <v>87.784999999999997</v>
      </c>
      <c r="L49">
        <v>22.949000000000002</v>
      </c>
      <c r="M49">
        <v>23.446000000000002</v>
      </c>
      <c r="N49">
        <v>14.148999999999999</v>
      </c>
      <c r="O49">
        <v>27.241</v>
      </c>
      <c r="P49">
        <v>347.3</v>
      </c>
      <c r="Q49">
        <v>799.875</v>
      </c>
      <c r="R49" t="b">
        <v>0</v>
      </c>
      <c r="S49" t="b">
        <v>0</v>
      </c>
      <c r="T49" t="b">
        <v>0</v>
      </c>
    </row>
    <row r="50" spans="1:20" x14ac:dyDescent="0.3">
      <c r="A50" t="s">
        <v>279</v>
      </c>
      <c r="B50">
        <v>72</v>
      </c>
      <c r="C50">
        <v>4</v>
      </c>
      <c r="D50" t="s">
        <v>70</v>
      </c>
      <c r="E50" t="s">
        <v>71</v>
      </c>
      <c r="F50" t="s">
        <v>56</v>
      </c>
      <c r="G50">
        <v>13</v>
      </c>
      <c r="H50">
        <v>12</v>
      </c>
      <c r="I50">
        <v>10</v>
      </c>
      <c r="J50" t="s">
        <v>80</v>
      </c>
      <c r="K50">
        <v>87.399000000000001</v>
      </c>
      <c r="L50">
        <v>22.684000000000001</v>
      </c>
      <c r="M50">
        <v>23.318000000000001</v>
      </c>
      <c r="N50">
        <v>14.045999999999999</v>
      </c>
      <c r="O50">
        <v>27.350999999999999</v>
      </c>
      <c r="P50">
        <v>351.8</v>
      </c>
      <c r="Q50">
        <v>887.274</v>
      </c>
      <c r="R50" t="b">
        <v>0</v>
      </c>
      <c r="S50" t="b">
        <v>0</v>
      </c>
      <c r="T50" t="b">
        <v>0</v>
      </c>
    </row>
    <row r="51" spans="1:20" x14ac:dyDescent="0.3">
      <c r="A51" t="s">
        <v>279</v>
      </c>
      <c r="B51">
        <v>72</v>
      </c>
      <c r="C51">
        <v>4</v>
      </c>
      <c r="D51" t="s">
        <v>70</v>
      </c>
      <c r="E51" t="s">
        <v>71</v>
      </c>
      <c r="F51" t="s">
        <v>56</v>
      </c>
      <c r="G51">
        <v>13</v>
      </c>
      <c r="H51">
        <v>12</v>
      </c>
      <c r="I51">
        <v>11</v>
      </c>
      <c r="J51" t="s">
        <v>81</v>
      </c>
      <c r="K51">
        <v>87.575999999999993</v>
      </c>
      <c r="L51">
        <v>22.89</v>
      </c>
      <c r="M51">
        <v>23.361999999999998</v>
      </c>
      <c r="N51">
        <v>14.042</v>
      </c>
      <c r="O51">
        <v>27.282</v>
      </c>
      <c r="P51">
        <v>341.8</v>
      </c>
      <c r="Q51">
        <v>974.85</v>
      </c>
      <c r="R51" t="b">
        <v>0</v>
      </c>
      <c r="S51" t="b">
        <v>0</v>
      </c>
      <c r="T51" t="b">
        <v>0</v>
      </c>
    </row>
    <row r="52" spans="1:20" x14ac:dyDescent="0.3">
      <c r="A52" t="s">
        <v>279</v>
      </c>
      <c r="B52">
        <v>72</v>
      </c>
      <c r="C52">
        <v>4</v>
      </c>
      <c r="D52" t="s">
        <v>70</v>
      </c>
      <c r="E52" t="s">
        <v>71</v>
      </c>
      <c r="F52" t="s">
        <v>56</v>
      </c>
      <c r="G52">
        <v>13</v>
      </c>
      <c r="H52">
        <v>12</v>
      </c>
      <c r="I52">
        <v>12</v>
      </c>
      <c r="J52" t="s">
        <v>82</v>
      </c>
      <c r="K52">
        <v>87.662000000000006</v>
      </c>
      <c r="L52">
        <v>22.84</v>
      </c>
      <c r="M52">
        <v>23.466999999999999</v>
      </c>
      <c r="N52">
        <v>14.105</v>
      </c>
      <c r="O52">
        <v>27.25</v>
      </c>
      <c r="P52">
        <v>351.8</v>
      </c>
      <c r="Q52">
        <v>1062.5119999999999</v>
      </c>
      <c r="R52" t="b">
        <v>0</v>
      </c>
      <c r="S52" t="b">
        <v>0</v>
      </c>
      <c r="T52" t="b">
        <v>0</v>
      </c>
    </row>
    <row r="53" spans="1:20" x14ac:dyDescent="0.3">
      <c r="A53" t="s">
        <v>279</v>
      </c>
      <c r="B53">
        <v>72</v>
      </c>
      <c r="C53">
        <v>4</v>
      </c>
      <c r="D53" t="s">
        <v>70</v>
      </c>
      <c r="E53" t="s">
        <v>71</v>
      </c>
      <c r="F53" t="s">
        <v>56</v>
      </c>
      <c r="G53">
        <v>13</v>
      </c>
      <c r="H53">
        <v>12</v>
      </c>
      <c r="I53">
        <v>13</v>
      </c>
      <c r="J53" t="s">
        <v>83</v>
      </c>
      <c r="K53">
        <v>87.972999999999999</v>
      </c>
      <c r="L53">
        <v>23.045000000000002</v>
      </c>
      <c r="M53">
        <v>23.507000000000001</v>
      </c>
      <c r="N53">
        <v>14.112</v>
      </c>
      <c r="O53">
        <v>27.309000000000001</v>
      </c>
      <c r="P53">
        <v>342.9</v>
      </c>
      <c r="Q53">
        <v>1150.4849999999999</v>
      </c>
      <c r="R53" t="b">
        <v>0</v>
      </c>
      <c r="S53" t="b">
        <v>0</v>
      </c>
      <c r="T53" t="b">
        <v>0</v>
      </c>
    </row>
    <row r="54" spans="1:20" x14ac:dyDescent="0.3">
      <c r="A54" t="s">
        <v>280</v>
      </c>
      <c r="B54">
        <v>37</v>
      </c>
      <c r="C54">
        <v>5</v>
      </c>
      <c r="D54" t="s">
        <v>85</v>
      </c>
      <c r="E54" t="s">
        <v>86</v>
      </c>
      <c r="F54" t="s">
        <v>6</v>
      </c>
      <c r="G54">
        <v>13</v>
      </c>
      <c r="H54">
        <v>12</v>
      </c>
      <c r="I54">
        <v>1</v>
      </c>
      <c r="J54" t="s">
        <v>87</v>
      </c>
      <c r="K54">
        <v>94.510999999999996</v>
      </c>
      <c r="L54">
        <v>28.997</v>
      </c>
      <c r="M54">
        <v>24.111000000000001</v>
      </c>
      <c r="N54">
        <v>14.207000000000001</v>
      </c>
      <c r="O54">
        <v>27.196000000000002</v>
      </c>
      <c r="P54">
        <v>251.4</v>
      </c>
      <c r="Q54">
        <v>94.510999999999996</v>
      </c>
      <c r="R54" t="b">
        <v>0</v>
      </c>
      <c r="S54" t="b">
        <v>0</v>
      </c>
      <c r="T54" t="b">
        <v>0</v>
      </c>
    </row>
    <row r="55" spans="1:20" x14ac:dyDescent="0.3">
      <c r="A55" t="s">
        <v>280</v>
      </c>
      <c r="B55">
        <v>37</v>
      </c>
      <c r="C55">
        <v>5</v>
      </c>
      <c r="D55" t="s">
        <v>85</v>
      </c>
      <c r="E55" t="s">
        <v>86</v>
      </c>
      <c r="F55" t="s">
        <v>6</v>
      </c>
      <c r="G55">
        <v>13</v>
      </c>
      <c r="H55">
        <v>12</v>
      </c>
      <c r="I55">
        <v>2</v>
      </c>
      <c r="J55" t="s">
        <v>88</v>
      </c>
      <c r="K55">
        <v>87.914000000000001</v>
      </c>
      <c r="L55">
        <v>22.945</v>
      </c>
      <c r="M55">
        <v>23.603000000000002</v>
      </c>
      <c r="N55">
        <v>14.082000000000001</v>
      </c>
      <c r="O55">
        <v>27.283999999999999</v>
      </c>
      <c r="P55">
        <v>346.1</v>
      </c>
      <c r="Q55">
        <v>182.42500000000001</v>
      </c>
      <c r="R55" t="b">
        <v>0</v>
      </c>
      <c r="S55" t="b">
        <v>0</v>
      </c>
      <c r="T55" t="b">
        <v>0</v>
      </c>
    </row>
    <row r="56" spans="1:20" x14ac:dyDescent="0.3">
      <c r="A56" t="s">
        <v>280</v>
      </c>
      <c r="B56">
        <v>37</v>
      </c>
      <c r="C56">
        <v>5</v>
      </c>
      <c r="D56" t="s">
        <v>85</v>
      </c>
      <c r="E56" t="s">
        <v>86</v>
      </c>
      <c r="F56" t="s">
        <v>6</v>
      </c>
      <c r="G56">
        <v>13</v>
      </c>
      <c r="H56">
        <v>12</v>
      </c>
      <c r="I56">
        <v>3</v>
      </c>
      <c r="J56" t="s">
        <v>89</v>
      </c>
      <c r="K56">
        <v>88.724999999999994</v>
      </c>
      <c r="L56">
        <v>23.178999999999998</v>
      </c>
      <c r="M56">
        <v>23.699000000000002</v>
      </c>
      <c r="N56">
        <v>14.132</v>
      </c>
      <c r="O56">
        <v>27.715</v>
      </c>
      <c r="P56">
        <v>337.5</v>
      </c>
      <c r="Q56">
        <v>271.14999999999998</v>
      </c>
      <c r="R56" t="b">
        <v>0</v>
      </c>
      <c r="S56" t="b">
        <v>0</v>
      </c>
      <c r="T56" t="b">
        <v>0</v>
      </c>
    </row>
    <row r="57" spans="1:20" x14ac:dyDescent="0.3">
      <c r="A57" t="s">
        <v>280</v>
      </c>
      <c r="B57">
        <v>37</v>
      </c>
      <c r="C57">
        <v>5</v>
      </c>
      <c r="D57" t="s">
        <v>85</v>
      </c>
      <c r="E57" t="s">
        <v>86</v>
      </c>
      <c r="F57" t="s">
        <v>6</v>
      </c>
      <c r="G57">
        <v>13</v>
      </c>
      <c r="H57">
        <v>12</v>
      </c>
      <c r="I57">
        <v>4</v>
      </c>
      <c r="J57" t="s">
        <v>90</v>
      </c>
      <c r="K57">
        <v>88.212999999999994</v>
      </c>
      <c r="L57">
        <v>22.911000000000001</v>
      </c>
      <c r="M57">
        <v>23.613</v>
      </c>
      <c r="N57">
        <v>14.176</v>
      </c>
      <c r="O57">
        <v>27.513000000000002</v>
      </c>
      <c r="P57">
        <v>336.5</v>
      </c>
      <c r="Q57">
        <v>359.363</v>
      </c>
      <c r="R57" t="b">
        <v>0</v>
      </c>
      <c r="S57" t="b">
        <v>0</v>
      </c>
      <c r="T57" t="b">
        <v>0</v>
      </c>
    </row>
    <row r="58" spans="1:20" x14ac:dyDescent="0.3">
      <c r="A58" t="s">
        <v>280</v>
      </c>
      <c r="B58">
        <v>37</v>
      </c>
      <c r="C58">
        <v>5</v>
      </c>
      <c r="D58" t="s">
        <v>85</v>
      </c>
      <c r="E58" t="s">
        <v>86</v>
      </c>
      <c r="F58" t="s">
        <v>6</v>
      </c>
      <c r="G58">
        <v>13</v>
      </c>
      <c r="H58">
        <v>12</v>
      </c>
      <c r="I58">
        <v>5</v>
      </c>
      <c r="J58" t="s">
        <v>91</v>
      </c>
      <c r="K58">
        <v>88.188000000000002</v>
      </c>
      <c r="L58">
        <v>22.981999999999999</v>
      </c>
      <c r="M58">
        <v>23.596</v>
      </c>
      <c r="N58">
        <v>14.141999999999999</v>
      </c>
      <c r="O58">
        <v>27.468</v>
      </c>
      <c r="P58">
        <v>344</v>
      </c>
      <c r="Q58">
        <v>447.55099999999999</v>
      </c>
      <c r="R58" t="b">
        <v>0</v>
      </c>
      <c r="S58" t="b">
        <v>0</v>
      </c>
      <c r="T58" t="b">
        <v>0</v>
      </c>
    </row>
    <row r="59" spans="1:20" x14ac:dyDescent="0.3">
      <c r="A59" t="s">
        <v>280</v>
      </c>
      <c r="B59">
        <v>37</v>
      </c>
      <c r="C59">
        <v>5</v>
      </c>
      <c r="D59" t="s">
        <v>85</v>
      </c>
      <c r="E59" t="s">
        <v>86</v>
      </c>
      <c r="F59" t="s">
        <v>6</v>
      </c>
      <c r="G59">
        <v>13</v>
      </c>
      <c r="H59">
        <v>12</v>
      </c>
      <c r="I59">
        <v>6</v>
      </c>
      <c r="J59" t="s">
        <v>92</v>
      </c>
      <c r="K59">
        <v>88.367000000000004</v>
      </c>
      <c r="L59">
        <v>22.981999999999999</v>
      </c>
      <c r="M59">
        <v>23.547000000000001</v>
      </c>
      <c r="N59">
        <v>14.173</v>
      </c>
      <c r="O59">
        <v>27.664999999999999</v>
      </c>
      <c r="P59">
        <v>348.4</v>
      </c>
      <c r="Q59">
        <v>535.91800000000001</v>
      </c>
      <c r="R59" t="b">
        <v>0</v>
      </c>
      <c r="S59" t="b">
        <v>0</v>
      </c>
      <c r="T59" t="b">
        <v>0</v>
      </c>
    </row>
    <row r="60" spans="1:20" x14ac:dyDescent="0.3">
      <c r="A60" t="s">
        <v>280</v>
      </c>
      <c r="B60">
        <v>37</v>
      </c>
      <c r="C60">
        <v>5</v>
      </c>
      <c r="D60" t="s">
        <v>85</v>
      </c>
      <c r="E60" t="s">
        <v>86</v>
      </c>
      <c r="F60" t="s">
        <v>6</v>
      </c>
      <c r="G60">
        <v>13</v>
      </c>
      <c r="H60">
        <v>12</v>
      </c>
      <c r="I60">
        <v>7</v>
      </c>
      <c r="J60" t="s">
        <v>93</v>
      </c>
      <c r="K60">
        <v>88.085999999999999</v>
      </c>
      <c r="L60">
        <v>22.972000000000001</v>
      </c>
      <c r="M60">
        <v>23.509</v>
      </c>
      <c r="N60">
        <v>14.159000000000001</v>
      </c>
      <c r="O60">
        <v>27.446000000000002</v>
      </c>
      <c r="P60">
        <v>344</v>
      </c>
      <c r="Q60">
        <v>624.00400000000002</v>
      </c>
      <c r="R60" t="b">
        <v>0</v>
      </c>
      <c r="S60" t="b">
        <v>0</v>
      </c>
      <c r="T60" t="b">
        <v>0</v>
      </c>
    </row>
    <row r="61" spans="1:20" x14ac:dyDescent="0.3">
      <c r="A61" t="s">
        <v>280</v>
      </c>
      <c r="B61">
        <v>37</v>
      </c>
      <c r="C61">
        <v>5</v>
      </c>
      <c r="D61" t="s">
        <v>85</v>
      </c>
      <c r="E61" t="s">
        <v>86</v>
      </c>
      <c r="F61" t="s">
        <v>6</v>
      </c>
      <c r="G61">
        <v>13</v>
      </c>
      <c r="H61">
        <v>12</v>
      </c>
      <c r="I61">
        <v>8</v>
      </c>
      <c r="J61" t="s">
        <v>94</v>
      </c>
      <c r="K61">
        <v>87.981999999999999</v>
      </c>
      <c r="L61">
        <v>22.902000000000001</v>
      </c>
      <c r="M61">
        <v>23.416</v>
      </c>
      <c r="N61">
        <v>14.173</v>
      </c>
      <c r="O61">
        <v>27.491</v>
      </c>
      <c r="P61">
        <v>347.3</v>
      </c>
      <c r="Q61">
        <v>711.98599999999999</v>
      </c>
      <c r="R61" t="b">
        <v>0</v>
      </c>
      <c r="S61" t="b">
        <v>0</v>
      </c>
      <c r="T61" t="b">
        <v>0</v>
      </c>
    </row>
    <row r="62" spans="1:20" x14ac:dyDescent="0.3">
      <c r="A62" t="s">
        <v>280</v>
      </c>
      <c r="B62">
        <v>37</v>
      </c>
      <c r="C62">
        <v>5</v>
      </c>
      <c r="D62" t="s">
        <v>85</v>
      </c>
      <c r="E62" t="s">
        <v>86</v>
      </c>
      <c r="F62" t="s">
        <v>6</v>
      </c>
      <c r="G62">
        <v>13</v>
      </c>
      <c r="H62">
        <v>12</v>
      </c>
      <c r="I62">
        <v>9</v>
      </c>
      <c r="J62" t="s">
        <v>95</v>
      </c>
      <c r="K62">
        <v>87.825999999999993</v>
      </c>
      <c r="L62">
        <v>22.937999999999999</v>
      </c>
      <c r="M62">
        <v>23.376000000000001</v>
      </c>
      <c r="N62">
        <v>14.166</v>
      </c>
      <c r="O62">
        <v>27.346</v>
      </c>
      <c r="P62">
        <v>349.5</v>
      </c>
      <c r="Q62">
        <v>799.81200000000001</v>
      </c>
      <c r="R62" t="b">
        <v>0</v>
      </c>
      <c r="S62" t="b">
        <v>0</v>
      </c>
      <c r="T62" t="b">
        <v>0</v>
      </c>
    </row>
    <row r="63" spans="1:20" x14ac:dyDescent="0.3">
      <c r="A63" t="s">
        <v>280</v>
      </c>
      <c r="B63">
        <v>37</v>
      </c>
      <c r="C63">
        <v>5</v>
      </c>
      <c r="D63" t="s">
        <v>85</v>
      </c>
      <c r="E63" t="s">
        <v>86</v>
      </c>
      <c r="F63" t="s">
        <v>6</v>
      </c>
      <c r="G63">
        <v>13</v>
      </c>
      <c r="H63">
        <v>12</v>
      </c>
      <c r="I63">
        <v>10</v>
      </c>
      <c r="J63" t="s">
        <v>83</v>
      </c>
      <c r="K63">
        <v>87.972999999999999</v>
      </c>
      <c r="L63">
        <v>23.015000000000001</v>
      </c>
      <c r="M63">
        <v>23.423999999999999</v>
      </c>
      <c r="N63">
        <v>14.117000000000001</v>
      </c>
      <c r="O63">
        <v>27.417000000000002</v>
      </c>
      <c r="P63">
        <v>347.3</v>
      </c>
      <c r="Q63">
        <v>887.78499999999997</v>
      </c>
      <c r="R63" t="b">
        <v>0</v>
      </c>
      <c r="S63" t="b">
        <v>0</v>
      </c>
      <c r="T63" t="b">
        <v>0</v>
      </c>
    </row>
    <row r="64" spans="1:20" x14ac:dyDescent="0.3">
      <c r="A64" t="s">
        <v>280</v>
      </c>
      <c r="B64">
        <v>37</v>
      </c>
      <c r="C64">
        <v>5</v>
      </c>
      <c r="D64" t="s">
        <v>85</v>
      </c>
      <c r="E64" t="s">
        <v>86</v>
      </c>
      <c r="F64" t="s">
        <v>6</v>
      </c>
      <c r="G64">
        <v>13</v>
      </c>
      <c r="H64">
        <v>12</v>
      </c>
      <c r="I64">
        <v>11</v>
      </c>
      <c r="J64" t="s">
        <v>96</v>
      </c>
      <c r="K64">
        <v>88.084999999999994</v>
      </c>
      <c r="L64">
        <v>22.984000000000002</v>
      </c>
      <c r="M64">
        <v>23.408000000000001</v>
      </c>
      <c r="N64">
        <v>14.13</v>
      </c>
      <c r="O64">
        <v>27.562999999999999</v>
      </c>
      <c r="P64">
        <v>349.5</v>
      </c>
      <c r="Q64">
        <v>975.87</v>
      </c>
      <c r="R64" t="b">
        <v>0</v>
      </c>
      <c r="S64" t="b">
        <v>0</v>
      </c>
      <c r="T64" t="b">
        <v>0</v>
      </c>
    </row>
    <row r="65" spans="1:20" x14ac:dyDescent="0.3">
      <c r="A65" t="s">
        <v>280</v>
      </c>
      <c r="B65">
        <v>37</v>
      </c>
      <c r="C65">
        <v>5</v>
      </c>
      <c r="D65" t="s">
        <v>85</v>
      </c>
      <c r="E65" t="s">
        <v>86</v>
      </c>
      <c r="F65" t="s">
        <v>6</v>
      </c>
      <c r="G65">
        <v>13</v>
      </c>
      <c r="H65">
        <v>12</v>
      </c>
      <c r="I65">
        <v>12</v>
      </c>
      <c r="J65" t="s">
        <v>97</v>
      </c>
      <c r="K65">
        <v>88.459000000000003</v>
      </c>
      <c r="L65">
        <v>23.074000000000002</v>
      </c>
      <c r="M65">
        <v>23.532</v>
      </c>
      <c r="N65">
        <v>14.254</v>
      </c>
      <c r="O65">
        <v>27.599</v>
      </c>
      <c r="P65">
        <v>348.4</v>
      </c>
      <c r="Q65">
        <v>1064.329</v>
      </c>
      <c r="R65" t="b">
        <v>0</v>
      </c>
      <c r="S65" t="b">
        <v>0</v>
      </c>
      <c r="T65" t="b">
        <v>0</v>
      </c>
    </row>
    <row r="66" spans="1:20" x14ac:dyDescent="0.3">
      <c r="A66" t="s">
        <v>280</v>
      </c>
      <c r="B66">
        <v>37</v>
      </c>
      <c r="C66">
        <v>5</v>
      </c>
      <c r="D66" t="s">
        <v>85</v>
      </c>
      <c r="E66" t="s">
        <v>86</v>
      </c>
      <c r="F66" t="s">
        <v>6</v>
      </c>
      <c r="G66">
        <v>13</v>
      </c>
      <c r="H66">
        <v>12</v>
      </c>
      <c r="I66">
        <v>13</v>
      </c>
      <c r="J66" t="s">
        <v>98</v>
      </c>
      <c r="K66">
        <v>88.771000000000001</v>
      </c>
      <c r="L66">
        <v>23.157</v>
      </c>
      <c r="M66">
        <v>23.689</v>
      </c>
      <c r="N66">
        <v>14.319000000000001</v>
      </c>
      <c r="O66">
        <v>27.606000000000002</v>
      </c>
      <c r="P66">
        <v>346.1</v>
      </c>
      <c r="Q66">
        <v>1153.0999999999999</v>
      </c>
      <c r="R66" t="b">
        <v>0</v>
      </c>
      <c r="S66" t="b">
        <v>0</v>
      </c>
      <c r="T66" t="b">
        <v>0</v>
      </c>
    </row>
    <row r="67" spans="1:20" x14ac:dyDescent="0.3">
      <c r="A67" t="s">
        <v>281</v>
      </c>
      <c r="B67">
        <v>79</v>
      </c>
      <c r="C67">
        <v>6</v>
      </c>
      <c r="D67" t="s">
        <v>100</v>
      </c>
      <c r="E67" t="s">
        <v>71</v>
      </c>
      <c r="F67" t="s">
        <v>101</v>
      </c>
      <c r="G67">
        <v>13</v>
      </c>
      <c r="H67">
        <v>12</v>
      </c>
      <c r="I67">
        <v>1</v>
      </c>
      <c r="J67" t="s">
        <v>102</v>
      </c>
      <c r="K67">
        <v>96.433999999999997</v>
      </c>
      <c r="L67">
        <v>29.971</v>
      </c>
      <c r="M67">
        <v>24.501999999999999</v>
      </c>
      <c r="N67">
        <v>14.537000000000001</v>
      </c>
      <c r="O67">
        <v>27.423999999999999</v>
      </c>
      <c r="P67">
        <v>257.3</v>
      </c>
      <c r="Q67">
        <v>96.433999999999997</v>
      </c>
      <c r="R67" t="b">
        <v>0</v>
      </c>
      <c r="S67" t="b">
        <v>0</v>
      </c>
      <c r="T67" t="b">
        <v>0</v>
      </c>
    </row>
    <row r="68" spans="1:20" x14ac:dyDescent="0.3">
      <c r="A68" t="s">
        <v>281</v>
      </c>
      <c r="B68">
        <v>79</v>
      </c>
      <c r="C68">
        <v>6</v>
      </c>
      <c r="D68" t="s">
        <v>100</v>
      </c>
      <c r="E68" t="s">
        <v>71</v>
      </c>
      <c r="F68" t="s">
        <v>101</v>
      </c>
      <c r="G68">
        <v>13</v>
      </c>
      <c r="H68">
        <v>12</v>
      </c>
      <c r="I68">
        <v>2</v>
      </c>
      <c r="J68" t="s">
        <v>103</v>
      </c>
      <c r="K68">
        <v>88.948999999999998</v>
      </c>
      <c r="L68">
        <v>23.399000000000001</v>
      </c>
      <c r="M68">
        <v>23.852</v>
      </c>
      <c r="N68">
        <v>14.353</v>
      </c>
      <c r="O68">
        <v>27.344999999999999</v>
      </c>
      <c r="P68">
        <v>327.3</v>
      </c>
      <c r="Q68">
        <v>185.38300000000001</v>
      </c>
      <c r="R68" t="b">
        <v>0</v>
      </c>
      <c r="S68" t="b">
        <v>0</v>
      </c>
      <c r="T68" t="b">
        <v>0</v>
      </c>
    </row>
    <row r="69" spans="1:20" x14ac:dyDescent="0.3">
      <c r="A69" t="s">
        <v>281</v>
      </c>
      <c r="B69">
        <v>79</v>
      </c>
      <c r="C69">
        <v>6</v>
      </c>
      <c r="D69" t="s">
        <v>100</v>
      </c>
      <c r="E69" t="s">
        <v>71</v>
      </c>
      <c r="F69" t="s">
        <v>101</v>
      </c>
      <c r="G69">
        <v>13</v>
      </c>
      <c r="H69">
        <v>12</v>
      </c>
      <c r="I69">
        <v>3</v>
      </c>
      <c r="J69" t="s">
        <v>104</v>
      </c>
      <c r="K69">
        <v>88.427999999999997</v>
      </c>
      <c r="L69">
        <v>23.119</v>
      </c>
      <c r="M69">
        <v>23.718</v>
      </c>
      <c r="N69">
        <v>14.28</v>
      </c>
      <c r="O69">
        <v>27.311</v>
      </c>
      <c r="P69">
        <v>340.7</v>
      </c>
      <c r="Q69">
        <v>273.81099999999998</v>
      </c>
      <c r="R69" t="b">
        <v>0</v>
      </c>
      <c r="S69" t="b">
        <v>0</v>
      </c>
      <c r="T69" t="b">
        <v>0</v>
      </c>
    </row>
    <row r="70" spans="1:20" x14ac:dyDescent="0.3">
      <c r="A70" t="s">
        <v>281</v>
      </c>
      <c r="B70">
        <v>79</v>
      </c>
      <c r="C70">
        <v>6</v>
      </c>
      <c r="D70" t="s">
        <v>100</v>
      </c>
      <c r="E70" t="s">
        <v>71</v>
      </c>
      <c r="F70" t="s">
        <v>101</v>
      </c>
      <c r="G70">
        <v>13</v>
      </c>
      <c r="H70">
        <v>12</v>
      </c>
      <c r="I70">
        <v>4</v>
      </c>
      <c r="J70" t="s">
        <v>105</v>
      </c>
      <c r="K70">
        <v>88.131</v>
      </c>
      <c r="L70">
        <v>23</v>
      </c>
      <c r="M70">
        <v>23.576000000000001</v>
      </c>
      <c r="N70">
        <v>14.214</v>
      </c>
      <c r="O70">
        <v>27.341000000000001</v>
      </c>
      <c r="P70">
        <v>348.4</v>
      </c>
      <c r="Q70">
        <v>361.94200000000001</v>
      </c>
      <c r="R70" t="b">
        <v>0</v>
      </c>
      <c r="S70" t="b">
        <v>0</v>
      </c>
      <c r="T70" t="b">
        <v>0</v>
      </c>
    </row>
    <row r="71" spans="1:20" x14ac:dyDescent="0.3">
      <c r="A71" t="s">
        <v>281</v>
      </c>
      <c r="B71">
        <v>79</v>
      </c>
      <c r="C71">
        <v>6</v>
      </c>
      <c r="D71" t="s">
        <v>100</v>
      </c>
      <c r="E71" t="s">
        <v>71</v>
      </c>
      <c r="F71" t="s">
        <v>101</v>
      </c>
      <c r="G71">
        <v>13</v>
      </c>
      <c r="H71">
        <v>12</v>
      </c>
      <c r="I71">
        <v>5</v>
      </c>
      <c r="J71" t="s">
        <v>106</v>
      </c>
      <c r="K71">
        <v>88.016999999999996</v>
      </c>
      <c r="L71">
        <v>22.873000000000001</v>
      </c>
      <c r="M71">
        <v>23.635000000000002</v>
      </c>
      <c r="N71">
        <v>14.259</v>
      </c>
      <c r="O71">
        <v>27.25</v>
      </c>
      <c r="P71">
        <v>352.9</v>
      </c>
      <c r="Q71">
        <v>449.959</v>
      </c>
      <c r="R71" t="b">
        <v>0</v>
      </c>
      <c r="S71" t="b">
        <v>0</v>
      </c>
      <c r="T71" t="b">
        <v>0</v>
      </c>
    </row>
    <row r="72" spans="1:20" x14ac:dyDescent="0.3">
      <c r="A72" t="s">
        <v>281</v>
      </c>
      <c r="B72">
        <v>79</v>
      </c>
      <c r="C72">
        <v>6</v>
      </c>
      <c r="D72" t="s">
        <v>100</v>
      </c>
      <c r="E72" t="s">
        <v>71</v>
      </c>
      <c r="F72" t="s">
        <v>101</v>
      </c>
      <c r="G72">
        <v>13</v>
      </c>
      <c r="H72">
        <v>12</v>
      </c>
      <c r="I72">
        <v>6</v>
      </c>
      <c r="J72" t="s">
        <v>107</v>
      </c>
      <c r="K72">
        <v>89.021000000000001</v>
      </c>
      <c r="L72">
        <v>22.978000000000002</v>
      </c>
      <c r="M72">
        <v>23.963999999999999</v>
      </c>
      <c r="N72">
        <v>14.242000000000001</v>
      </c>
      <c r="O72">
        <v>27.837</v>
      </c>
      <c r="P72">
        <v>351.8</v>
      </c>
      <c r="Q72">
        <v>538.98</v>
      </c>
      <c r="R72" t="b">
        <v>0</v>
      </c>
      <c r="S72" t="b">
        <v>0</v>
      </c>
      <c r="T72" t="b">
        <v>0</v>
      </c>
    </row>
    <row r="73" spans="1:20" x14ac:dyDescent="0.3">
      <c r="A73" t="s">
        <v>281</v>
      </c>
      <c r="B73">
        <v>79</v>
      </c>
      <c r="C73">
        <v>6</v>
      </c>
      <c r="D73" t="s">
        <v>100</v>
      </c>
      <c r="E73" t="s">
        <v>71</v>
      </c>
      <c r="F73" t="s">
        <v>101</v>
      </c>
      <c r="G73">
        <v>13</v>
      </c>
      <c r="H73">
        <v>12</v>
      </c>
      <c r="I73">
        <v>7</v>
      </c>
      <c r="J73" t="s">
        <v>108</v>
      </c>
      <c r="K73">
        <v>88.093999999999994</v>
      </c>
      <c r="L73">
        <v>23.08</v>
      </c>
      <c r="M73">
        <v>23.602</v>
      </c>
      <c r="N73">
        <v>14.199</v>
      </c>
      <c r="O73">
        <v>27.213000000000001</v>
      </c>
      <c r="P73">
        <v>346.1</v>
      </c>
      <c r="Q73">
        <v>627.07399999999996</v>
      </c>
      <c r="R73" t="b">
        <v>0</v>
      </c>
      <c r="S73" t="b">
        <v>0</v>
      </c>
      <c r="T73" t="b">
        <v>0</v>
      </c>
    </row>
    <row r="74" spans="1:20" x14ac:dyDescent="0.3">
      <c r="A74" t="s">
        <v>281</v>
      </c>
      <c r="B74">
        <v>79</v>
      </c>
      <c r="C74">
        <v>6</v>
      </c>
      <c r="D74" t="s">
        <v>100</v>
      </c>
      <c r="E74" t="s">
        <v>71</v>
      </c>
      <c r="F74" t="s">
        <v>101</v>
      </c>
      <c r="G74">
        <v>13</v>
      </c>
      <c r="H74">
        <v>12</v>
      </c>
      <c r="I74">
        <v>8</v>
      </c>
      <c r="J74" t="s">
        <v>109</v>
      </c>
      <c r="K74">
        <v>87.844999999999999</v>
      </c>
      <c r="L74">
        <v>22.905999999999999</v>
      </c>
      <c r="M74">
        <v>23.449000000000002</v>
      </c>
      <c r="N74">
        <v>14.266999999999999</v>
      </c>
      <c r="O74">
        <v>27.222999999999999</v>
      </c>
      <c r="P74">
        <v>350.6</v>
      </c>
      <c r="Q74">
        <v>714.91899999999998</v>
      </c>
      <c r="R74" t="b">
        <v>0</v>
      </c>
      <c r="S74" t="b">
        <v>0</v>
      </c>
      <c r="T74" t="b">
        <v>0</v>
      </c>
    </row>
    <row r="75" spans="1:20" x14ac:dyDescent="0.3">
      <c r="A75" t="s">
        <v>281</v>
      </c>
      <c r="B75">
        <v>79</v>
      </c>
      <c r="C75">
        <v>6</v>
      </c>
      <c r="D75" t="s">
        <v>100</v>
      </c>
      <c r="E75" t="s">
        <v>71</v>
      </c>
      <c r="F75" t="s">
        <v>101</v>
      </c>
      <c r="G75">
        <v>13</v>
      </c>
      <c r="H75">
        <v>12</v>
      </c>
      <c r="I75">
        <v>9</v>
      </c>
      <c r="J75" t="s">
        <v>110</v>
      </c>
      <c r="K75">
        <v>88.299000000000007</v>
      </c>
      <c r="L75">
        <v>23.224</v>
      </c>
      <c r="M75">
        <v>23.51</v>
      </c>
      <c r="N75">
        <v>14.222</v>
      </c>
      <c r="O75">
        <v>27.343</v>
      </c>
      <c r="P75">
        <v>341.8</v>
      </c>
      <c r="Q75">
        <v>803.21799999999996</v>
      </c>
      <c r="R75" t="b">
        <v>0</v>
      </c>
      <c r="S75" t="b">
        <v>0</v>
      </c>
      <c r="T75" t="b">
        <v>0</v>
      </c>
    </row>
    <row r="76" spans="1:20" x14ac:dyDescent="0.3">
      <c r="A76" t="s">
        <v>281</v>
      </c>
      <c r="B76">
        <v>79</v>
      </c>
      <c r="C76">
        <v>6</v>
      </c>
      <c r="D76" t="s">
        <v>100</v>
      </c>
      <c r="E76" t="s">
        <v>71</v>
      </c>
      <c r="F76" t="s">
        <v>101</v>
      </c>
      <c r="G76">
        <v>13</v>
      </c>
      <c r="H76">
        <v>12</v>
      </c>
      <c r="I76">
        <v>10</v>
      </c>
      <c r="J76" t="s">
        <v>111</v>
      </c>
      <c r="K76">
        <v>88.117000000000004</v>
      </c>
      <c r="L76">
        <v>23.152999999999999</v>
      </c>
      <c r="M76">
        <v>23.43</v>
      </c>
      <c r="N76">
        <v>14.204000000000001</v>
      </c>
      <c r="O76">
        <v>27.33</v>
      </c>
      <c r="P76">
        <v>348.4</v>
      </c>
      <c r="Q76">
        <v>891.33500000000004</v>
      </c>
      <c r="R76" t="b">
        <v>0</v>
      </c>
      <c r="S76" t="b">
        <v>0</v>
      </c>
      <c r="T76" t="b">
        <v>0</v>
      </c>
    </row>
    <row r="77" spans="1:20" x14ac:dyDescent="0.3">
      <c r="A77" t="s">
        <v>281</v>
      </c>
      <c r="B77">
        <v>79</v>
      </c>
      <c r="C77">
        <v>6</v>
      </c>
      <c r="D77" t="s">
        <v>100</v>
      </c>
      <c r="E77" t="s">
        <v>71</v>
      </c>
      <c r="F77" t="s">
        <v>101</v>
      </c>
      <c r="G77">
        <v>13</v>
      </c>
      <c r="H77">
        <v>12</v>
      </c>
      <c r="I77">
        <v>11</v>
      </c>
      <c r="J77" t="s">
        <v>112</v>
      </c>
      <c r="K77">
        <v>87.891000000000005</v>
      </c>
      <c r="L77">
        <v>23.029</v>
      </c>
      <c r="M77">
        <v>23.37</v>
      </c>
      <c r="N77">
        <v>14.226000000000001</v>
      </c>
      <c r="O77">
        <v>27.265999999999998</v>
      </c>
      <c r="P77">
        <v>345</v>
      </c>
      <c r="Q77">
        <v>979.226</v>
      </c>
      <c r="R77" t="b">
        <v>0</v>
      </c>
      <c r="S77" t="b">
        <v>0</v>
      </c>
      <c r="T77" t="b">
        <v>0</v>
      </c>
    </row>
    <row r="78" spans="1:20" x14ac:dyDescent="0.3">
      <c r="A78" t="s">
        <v>281</v>
      </c>
      <c r="B78">
        <v>79</v>
      </c>
      <c r="C78">
        <v>6</v>
      </c>
      <c r="D78" t="s">
        <v>100</v>
      </c>
      <c r="E78" t="s">
        <v>71</v>
      </c>
      <c r="F78" t="s">
        <v>101</v>
      </c>
      <c r="G78">
        <v>13</v>
      </c>
      <c r="H78">
        <v>12</v>
      </c>
      <c r="I78">
        <v>12</v>
      </c>
      <c r="J78" t="s">
        <v>113</v>
      </c>
      <c r="K78">
        <v>88.042000000000002</v>
      </c>
      <c r="L78">
        <v>23.114000000000001</v>
      </c>
      <c r="M78">
        <v>23.366</v>
      </c>
      <c r="N78">
        <v>14.205</v>
      </c>
      <c r="O78">
        <v>27.356999999999999</v>
      </c>
      <c r="P78">
        <v>347.3</v>
      </c>
      <c r="Q78">
        <v>1067.268</v>
      </c>
      <c r="R78" t="b">
        <v>0</v>
      </c>
      <c r="S78" t="b">
        <v>0</v>
      </c>
      <c r="T78" t="b">
        <v>0</v>
      </c>
    </row>
    <row r="79" spans="1:20" x14ac:dyDescent="0.3">
      <c r="A79" t="s">
        <v>281</v>
      </c>
      <c r="B79">
        <v>79</v>
      </c>
      <c r="C79">
        <v>6</v>
      </c>
      <c r="D79" t="s">
        <v>100</v>
      </c>
      <c r="E79" t="s">
        <v>71</v>
      </c>
      <c r="F79" t="s">
        <v>101</v>
      </c>
      <c r="G79">
        <v>13</v>
      </c>
      <c r="H79">
        <v>12</v>
      </c>
      <c r="I79">
        <v>13</v>
      </c>
      <c r="J79" t="s">
        <v>114</v>
      </c>
      <c r="K79">
        <v>88.289000000000001</v>
      </c>
      <c r="L79">
        <v>23.148</v>
      </c>
      <c r="M79">
        <v>23.420999999999999</v>
      </c>
      <c r="N79">
        <v>14.273</v>
      </c>
      <c r="O79">
        <v>27.446999999999999</v>
      </c>
      <c r="P79">
        <v>345</v>
      </c>
      <c r="Q79">
        <v>1155.557</v>
      </c>
      <c r="R79" t="b">
        <v>0</v>
      </c>
      <c r="S79" t="b">
        <v>0</v>
      </c>
      <c r="T79" t="b">
        <v>0</v>
      </c>
    </row>
    <row r="80" spans="1:20" x14ac:dyDescent="0.3">
      <c r="A80" t="s">
        <v>282</v>
      </c>
      <c r="B80">
        <v>33</v>
      </c>
      <c r="C80">
        <v>7</v>
      </c>
      <c r="D80" t="s">
        <v>85</v>
      </c>
      <c r="E80" t="s">
        <v>86</v>
      </c>
      <c r="F80" t="s">
        <v>116</v>
      </c>
      <c r="G80">
        <v>13</v>
      </c>
      <c r="H80">
        <v>12</v>
      </c>
      <c r="I80">
        <v>1</v>
      </c>
      <c r="J80" t="s">
        <v>117</v>
      </c>
      <c r="K80">
        <v>95.244</v>
      </c>
      <c r="L80">
        <v>29.605</v>
      </c>
      <c r="M80">
        <v>23.954000000000001</v>
      </c>
      <c r="N80">
        <v>14.212999999999999</v>
      </c>
      <c r="O80">
        <v>27.472000000000001</v>
      </c>
      <c r="P80">
        <v>256.7</v>
      </c>
      <c r="Q80">
        <v>95.244</v>
      </c>
      <c r="R80" t="b">
        <v>0</v>
      </c>
      <c r="S80" t="b">
        <v>0</v>
      </c>
      <c r="T80" t="b">
        <v>0</v>
      </c>
    </row>
    <row r="81" spans="1:20" x14ac:dyDescent="0.3">
      <c r="A81" t="s">
        <v>282</v>
      </c>
      <c r="B81">
        <v>33</v>
      </c>
      <c r="C81">
        <v>7</v>
      </c>
      <c r="D81" t="s">
        <v>85</v>
      </c>
      <c r="E81" t="s">
        <v>86</v>
      </c>
      <c r="F81" t="s">
        <v>116</v>
      </c>
      <c r="G81">
        <v>13</v>
      </c>
      <c r="H81">
        <v>12</v>
      </c>
      <c r="I81">
        <v>2</v>
      </c>
      <c r="J81" t="s">
        <v>118</v>
      </c>
      <c r="K81">
        <v>88.26</v>
      </c>
      <c r="L81">
        <v>23.103999999999999</v>
      </c>
      <c r="M81">
        <v>23.585000000000001</v>
      </c>
      <c r="N81">
        <v>14.252000000000001</v>
      </c>
      <c r="O81">
        <v>27.318999999999999</v>
      </c>
      <c r="P81">
        <v>342.9</v>
      </c>
      <c r="Q81">
        <v>183.50399999999999</v>
      </c>
      <c r="R81" t="b">
        <v>0</v>
      </c>
      <c r="S81" t="b">
        <v>0</v>
      </c>
      <c r="T81" t="b">
        <v>0</v>
      </c>
    </row>
    <row r="82" spans="1:20" x14ac:dyDescent="0.3">
      <c r="A82" t="s">
        <v>282</v>
      </c>
      <c r="B82">
        <v>33</v>
      </c>
      <c r="C82">
        <v>7</v>
      </c>
      <c r="D82" t="s">
        <v>85</v>
      </c>
      <c r="E82" t="s">
        <v>86</v>
      </c>
      <c r="F82" t="s">
        <v>116</v>
      </c>
      <c r="G82">
        <v>13</v>
      </c>
      <c r="H82">
        <v>12</v>
      </c>
      <c r="I82">
        <v>3</v>
      </c>
      <c r="J82" t="s">
        <v>119</v>
      </c>
      <c r="K82">
        <v>88.337999999999994</v>
      </c>
      <c r="L82">
        <v>23.154</v>
      </c>
      <c r="M82">
        <v>23.582000000000001</v>
      </c>
      <c r="N82">
        <v>14.173</v>
      </c>
      <c r="O82">
        <v>27.428999999999998</v>
      </c>
      <c r="P82">
        <v>334.4</v>
      </c>
      <c r="Q82">
        <v>271.84199999999998</v>
      </c>
      <c r="R82" t="b">
        <v>0</v>
      </c>
      <c r="S82" t="b">
        <v>0</v>
      </c>
      <c r="T82" t="b">
        <v>0</v>
      </c>
    </row>
    <row r="83" spans="1:20" x14ac:dyDescent="0.3">
      <c r="A83" t="s">
        <v>282</v>
      </c>
      <c r="B83">
        <v>33</v>
      </c>
      <c r="C83">
        <v>7</v>
      </c>
      <c r="D83" t="s">
        <v>85</v>
      </c>
      <c r="E83" t="s">
        <v>86</v>
      </c>
      <c r="F83" t="s">
        <v>116</v>
      </c>
      <c r="G83">
        <v>13</v>
      </c>
      <c r="H83">
        <v>12</v>
      </c>
      <c r="I83">
        <v>4</v>
      </c>
      <c r="J83" t="s">
        <v>120</v>
      </c>
      <c r="K83">
        <v>88.656999999999996</v>
      </c>
      <c r="L83">
        <v>23.192</v>
      </c>
      <c r="M83">
        <v>23.689</v>
      </c>
      <c r="N83">
        <v>14.304</v>
      </c>
      <c r="O83">
        <v>27.472000000000001</v>
      </c>
      <c r="P83">
        <v>338.6</v>
      </c>
      <c r="Q83">
        <v>360.49900000000002</v>
      </c>
      <c r="R83" t="b">
        <v>0</v>
      </c>
      <c r="S83" t="b">
        <v>0</v>
      </c>
      <c r="T83" t="b">
        <v>0</v>
      </c>
    </row>
    <row r="84" spans="1:20" x14ac:dyDescent="0.3">
      <c r="A84" t="s">
        <v>282</v>
      </c>
      <c r="B84">
        <v>33</v>
      </c>
      <c r="C84">
        <v>7</v>
      </c>
      <c r="D84" t="s">
        <v>85</v>
      </c>
      <c r="E84" t="s">
        <v>86</v>
      </c>
      <c r="F84" t="s">
        <v>116</v>
      </c>
      <c r="G84">
        <v>13</v>
      </c>
      <c r="H84">
        <v>12</v>
      </c>
      <c r="I84">
        <v>5</v>
      </c>
      <c r="J84" t="s">
        <v>121</v>
      </c>
      <c r="K84">
        <v>88.655000000000001</v>
      </c>
      <c r="L84">
        <v>23.164000000000001</v>
      </c>
      <c r="M84">
        <v>23.756</v>
      </c>
      <c r="N84">
        <v>14.236000000000001</v>
      </c>
      <c r="O84">
        <v>27.498999999999999</v>
      </c>
      <c r="P84">
        <v>346.1</v>
      </c>
      <c r="Q84">
        <v>449.154</v>
      </c>
      <c r="R84" t="b">
        <v>0</v>
      </c>
      <c r="S84" t="b">
        <v>0</v>
      </c>
      <c r="T84" t="b">
        <v>0</v>
      </c>
    </row>
    <row r="85" spans="1:20" x14ac:dyDescent="0.3">
      <c r="A85" t="s">
        <v>282</v>
      </c>
      <c r="B85">
        <v>33</v>
      </c>
      <c r="C85">
        <v>7</v>
      </c>
      <c r="D85" t="s">
        <v>85</v>
      </c>
      <c r="E85" t="s">
        <v>86</v>
      </c>
      <c r="F85" t="s">
        <v>116</v>
      </c>
      <c r="G85">
        <v>13</v>
      </c>
      <c r="H85">
        <v>12</v>
      </c>
      <c r="I85">
        <v>6</v>
      </c>
      <c r="J85" t="s">
        <v>122</v>
      </c>
      <c r="K85">
        <v>88.091999999999999</v>
      </c>
      <c r="L85">
        <v>22.872</v>
      </c>
      <c r="M85">
        <v>23.707999999999998</v>
      </c>
      <c r="N85">
        <v>14.173999999999999</v>
      </c>
      <c r="O85">
        <v>27.338000000000001</v>
      </c>
      <c r="P85">
        <v>348.4</v>
      </c>
      <c r="Q85">
        <v>537.24599999999998</v>
      </c>
      <c r="R85" t="b">
        <v>0</v>
      </c>
      <c r="S85" t="b">
        <v>0</v>
      </c>
      <c r="T85" t="b">
        <v>0</v>
      </c>
    </row>
    <row r="86" spans="1:20" x14ac:dyDescent="0.3">
      <c r="A86" t="s">
        <v>282</v>
      </c>
      <c r="B86">
        <v>33</v>
      </c>
      <c r="C86">
        <v>7</v>
      </c>
      <c r="D86" t="s">
        <v>85</v>
      </c>
      <c r="E86" t="s">
        <v>86</v>
      </c>
      <c r="F86" t="s">
        <v>116</v>
      </c>
      <c r="G86">
        <v>13</v>
      </c>
      <c r="H86">
        <v>12</v>
      </c>
      <c r="I86">
        <v>7</v>
      </c>
      <c r="J86" t="s">
        <v>123</v>
      </c>
      <c r="K86">
        <v>88.629000000000005</v>
      </c>
      <c r="L86">
        <v>23.077000000000002</v>
      </c>
      <c r="M86">
        <v>23.524999999999999</v>
      </c>
      <c r="N86">
        <v>14.279</v>
      </c>
      <c r="O86">
        <v>27.748000000000001</v>
      </c>
      <c r="P86">
        <v>346.1</v>
      </c>
      <c r="Q86">
        <v>625.875</v>
      </c>
      <c r="R86" t="b">
        <v>0</v>
      </c>
      <c r="S86" t="b">
        <v>0</v>
      </c>
      <c r="T86" t="b">
        <v>0</v>
      </c>
    </row>
    <row r="87" spans="1:20" x14ac:dyDescent="0.3">
      <c r="A87" t="s">
        <v>282</v>
      </c>
      <c r="B87">
        <v>33</v>
      </c>
      <c r="C87">
        <v>7</v>
      </c>
      <c r="D87" t="s">
        <v>85</v>
      </c>
      <c r="E87" t="s">
        <v>86</v>
      </c>
      <c r="F87" t="s">
        <v>116</v>
      </c>
      <c r="G87">
        <v>13</v>
      </c>
      <c r="H87">
        <v>12</v>
      </c>
      <c r="I87">
        <v>8</v>
      </c>
      <c r="J87" t="s">
        <v>124</v>
      </c>
      <c r="K87">
        <v>88.635999999999996</v>
      </c>
      <c r="L87">
        <v>23.004999999999999</v>
      </c>
      <c r="M87">
        <v>23.599</v>
      </c>
      <c r="N87">
        <v>14.353999999999999</v>
      </c>
      <c r="O87">
        <v>27.678000000000001</v>
      </c>
      <c r="P87">
        <v>345</v>
      </c>
      <c r="Q87">
        <v>714.51099999999997</v>
      </c>
      <c r="R87" t="b">
        <v>0</v>
      </c>
      <c r="S87" t="b">
        <v>0</v>
      </c>
      <c r="T87" t="b">
        <v>0</v>
      </c>
    </row>
    <row r="88" spans="1:20" x14ac:dyDescent="0.3">
      <c r="A88" t="s">
        <v>282</v>
      </c>
      <c r="B88">
        <v>33</v>
      </c>
      <c r="C88">
        <v>7</v>
      </c>
      <c r="D88" t="s">
        <v>85</v>
      </c>
      <c r="E88" t="s">
        <v>86</v>
      </c>
      <c r="F88" t="s">
        <v>116</v>
      </c>
      <c r="G88">
        <v>13</v>
      </c>
      <c r="H88">
        <v>12</v>
      </c>
      <c r="I88">
        <v>9</v>
      </c>
      <c r="J88" t="s">
        <v>125</v>
      </c>
      <c r="K88">
        <v>88.659000000000006</v>
      </c>
      <c r="L88">
        <v>23.183</v>
      </c>
      <c r="M88">
        <v>23.533000000000001</v>
      </c>
      <c r="N88">
        <v>14.323</v>
      </c>
      <c r="O88">
        <v>27.62</v>
      </c>
      <c r="P88">
        <v>346.1</v>
      </c>
      <c r="Q88">
        <v>803.17</v>
      </c>
      <c r="R88" t="b">
        <v>0</v>
      </c>
      <c r="S88" t="b">
        <v>0</v>
      </c>
      <c r="T88" t="b">
        <v>0</v>
      </c>
    </row>
    <row r="89" spans="1:20" x14ac:dyDescent="0.3">
      <c r="A89" t="s">
        <v>282</v>
      </c>
      <c r="B89">
        <v>33</v>
      </c>
      <c r="C89">
        <v>7</v>
      </c>
      <c r="D89" t="s">
        <v>85</v>
      </c>
      <c r="E89" t="s">
        <v>86</v>
      </c>
      <c r="F89" t="s">
        <v>116</v>
      </c>
      <c r="G89">
        <v>13</v>
      </c>
      <c r="H89">
        <v>12</v>
      </c>
      <c r="I89">
        <v>10</v>
      </c>
      <c r="J89" t="s">
        <v>126</v>
      </c>
      <c r="K89">
        <v>88.576999999999998</v>
      </c>
      <c r="L89">
        <v>23.34</v>
      </c>
      <c r="M89">
        <v>23.556000000000001</v>
      </c>
      <c r="N89">
        <v>14.263</v>
      </c>
      <c r="O89">
        <v>27.417999999999999</v>
      </c>
      <c r="P89">
        <v>342.9</v>
      </c>
      <c r="Q89">
        <v>891.74699999999996</v>
      </c>
      <c r="R89" t="b">
        <v>0</v>
      </c>
      <c r="S89" t="b">
        <v>0</v>
      </c>
      <c r="T89" t="b">
        <v>0</v>
      </c>
    </row>
    <row r="90" spans="1:20" x14ac:dyDescent="0.3">
      <c r="A90" t="s">
        <v>282</v>
      </c>
      <c r="B90">
        <v>33</v>
      </c>
      <c r="C90">
        <v>7</v>
      </c>
      <c r="D90" t="s">
        <v>85</v>
      </c>
      <c r="E90" t="s">
        <v>86</v>
      </c>
      <c r="F90" t="s">
        <v>116</v>
      </c>
      <c r="G90">
        <v>13</v>
      </c>
      <c r="H90">
        <v>12</v>
      </c>
      <c r="I90">
        <v>11</v>
      </c>
      <c r="J90" t="s">
        <v>110</v>
      </c>
      <c r="K90">
        <v>88.299000000000007</v>
      </c>
      <c r="L90">
        <v>22.936</v>
      </c>
      <c r="M90">
        <v>23.562999999999999</v>
      </c>
      <c r="N90">
        <v>14.295999999999999</v>
      </c>
      <c r="O90">
        <v>27.504000000000001</v>
      </c>
      <c r="P90">
        <v>349.5</v>
      </c>
      <c r="Q90">
        <v>980.04600000000005</v>
      </c>
      <c r="R90" t="b">
        <v>0</v>
      </c>
      <c r="S90" t="b">
        <v>0</v>
      </c>
      <c r="T90" t="b">
        <v>0</v>
      </c>
    </row>
    <row r="91" spans="1:20" x14ac:dyDescent="0.3">
      <c r="A91" t="s">
        <v>282</v>
      </c>
      <c r="B91">
        <v>33</v>
      </c>
      <c r="C91">
        <v>7</v>
      </c>
      <c r="D91" t="s">
        <v>85</v>
      </c>
      <c r="E91" t="s">
        <v>86</v>
      </c>
      <c r="F91" t="s">
        <v>116</v>
      </c>
      <c r="G91">
        <v>13</v>
      </c>
      <c r="H91">
        <v>12</v>
      </c>
      <c r="I91">
        <v>12</v>
      </c>
      <c r="J91" t="s">
        <v>127</v>
      </c>
      <c r="K91">
        <v>88.212000000000003</v>
      </c>
      <c r="L91">
        <v>23.018999999999998</v>
      </c>
      <c r="M91">
        <v>23.434000000000001</v>
      </c>
      <c r="N91">
        <v>14.27</v>
      </c>
      <c r="O91">
        <v>27.489000000000001</v>
      </c>
      <c r="P91">
        <v>347.3</v>
      </c>
      <c r="Q91">
        <v>1068.258</v>
      </c>
      <c r="R91" t="b">
        <v>0</v>
      </c>
      <c r="S91" t="b">
        <v>0</v>
      </c>
      <c r="T91" t="b">
        <v>0</v>
      </c>
    </row>
    <row r="92" spans="1:20" x14ac:dyDescent="0.3">
      <c r="A92" t="s">
        <v>282</v>
      </c>
      <c r="B92">
        <v>33</v>
      </c>
      <c r="C92">
        <v>7</v>
      </c>
      <c r="D92" t="s">
        <v>85</v>
      </c>
      <c r="E92" t="s">
        <v>86</v>
      </c>
      <c r="F92" t="s">
        <v>116</v>
      </c>
      <c r="G92">
        <v>13</v>
      </c>
      <c r="H92">
        <v>12</v>
      </c>
      <c r="I92">
        <v>13</v>
      </c>
      <c r="J92" t="s">
        <v>128</v>
      </c>
      <c r="K92">
        <v>88.585999999999999</v>
      </c>
      <c r="L92">
        <v>23.001999999999999</v>
      </c>
      <c r="M92">
        <v>23.591000000000001</v>
      </c>
      <c r="N92">
        <v>14.323</v>
      </c>
      <c r="O92">
        <v>27.67</v>
      </c>
      <c r="P92">
        <v>346.1</v>
      </c>
      <c r="Q92">
        <v>1156.8440000000001</v>
      </c>
      <c r="R92" t="b">
        <v>0</v>
      </c>
      <c r="S92" t="b">
        <v>0</v>
      </c>
      <c r="T92" t="b">
        <v>0</v>
      </c>
    </row>
    <row r="93" spans="1:20" x14ac:dyDescent="0.3">
      <c r="A93" t="s">
        <v>283</v>
      </c>
      <c r="B93">
        <v>43</v>
      </c>
      <c r="C93">
        <v>8</v>
      </c>
      <c r="D93" t="s">
        <v>130</v>
      </c>
      <c r="E93" t="s">
        <v>131</v>
      </c>
      <c r="F93" t="s">
        <v>132</v>
      </c>
      <c r="G93">
        <v>13</v>
      </c>
      <c r="H93">
        <v>12</v>
      </c>
      <c r="I93">
        <v>1</v>
      </c>
      <c r="J93" t="s">
        <v>133</v>
      </c>
      <c r="K93">
        <v>94.876999999999995</v>
      </c>
      <c r="L93">
        <v>29.172000000000001</v>
      </c>
      <c r="M93">
        <v>24.055</v>
      </c>
      <c r="N93">
        <v>14.262</v>
      </c>
      <c r="O93">
        <v>27.388000000000002</v>
      </c>
      <c r="P93">
        <v>244.6</v>
      </c>
      <c r="Q93">
        <v>94.876999999999995</v>
      </c>
      <c r="R93" t="b">
        <v>0</v>
      </c>
      <c r="S93" t="b">
        <v>0</v>
      </c>
      <c r="T93" t="b">
        <v>0</v>
      </c>
    </row>
    <row r="94" spans="1:20" x14ac:dyDescent="0.3">
      <c r="A94" t="s">
        <v>283</v>
      </c>
      <c r="B94">
        <v>43</v>
      </c>
      <c r="C94">
        <v>8</v>
      </c>
      <c r="D94" t="s">
        <v>130</v>
      </c>
      <c r="E94" t="s">
        <v>131</v>
      </c>
      <c r="F94" t="s">
        <v>132</v>
      </c>
      <c r="G94">
        <v>13</v>
      </c>
      <c r="H94">
        <v>12</v>
      </c>
      <c r="I94">
        <v>2</v>
      </c>
      <c r="J94" t="s">
        <v>134</v>
      </c>
      <c r="K94">
        <v>88.441000000000003</v>
      </c>
      <c r="L94">
        <v>23.213999999999999</v>
      </c>
      <c r="M94">
        <v>23.466999999999999</v>
      </c>
      <c r="N94">
        <v>14.366</v>
      </c>
      <c r="O94">
        <v>27.393999999999998</v>
      </c>
      <c r="P94">
        <v>336.5</v>
      </c>
      <c r="Q94">
        <v>183.31800000000001</v>
      </c>
      <c r="R94" t="b">
        <v>0</v>
      </c>
      <c r="S94" t="b">
        <v>0</v>
      </c>
      <c r="T94" t="b">
        <v>0</v>
      </c>
    </row>
    <row r="95" spans="1:20" x14ac:dyDescent="0.3">
      <c r="A95" t="s">
        <v>283</v>
      </c>
      <c r="B95">
        <v>43</v>
      </c>
      <c r="C95">
        <v>8</v>
      </c>
      <c r="D95" t="s">
        <v>130</v>
      </c>
      <c r="E95" t="s">
        <v>131</v>
      </c>
      <c r="F95" t="s">
        <v>132</v>
      </c>
      <c r="G95">
        <v>13</v>
      </c>
      <c r="H95">
        <v>12</v>
      </c>
      <c r="I95">
        <v>3</v>
      </c>
      <c r="J95" t="s">
        <v>127</v>
      </c>
      <c r="K95">
        <v>88.212000000000003</v>
      </c>
      <c r="L95">
        <v>23.114999999999998</v>
      </c>
      <c r="M95">
        <v>23.49</v>
      </c>
      <c r="N95">
        <v>14.129</v>
      </c>
      <c r="O95">
        <v>27.478000000000002</v>
      </c>
      <c r="P95">
        <v>338.6</v>
      </c>
      <c r="Q95">
        <v>271.52999999999997</v>
      </c>
      <c r="R95" t="b">
        <v>0</v>
      </c>
      <c r="S95" t="b">
        <v>0</v>
      </c>
      <c r="T95" t="b">
        <v>0</v>
      </c>
    </row>
    <row r="96" spans="1:20" x14ac:dyDescent="0.3">
      <c r="A96" t="s">
        <v>283</v>
      </c>
      <c r="B96">
        <v>43</v>
      </c>
      <c r="C96">
        <v>8</v>
      </c>
      <c r="D96" t="s">
        <v>130</v>
      </c>
      <c r="E96" t="s">
        <v>131</v>
      </c>
      <c r="F96" t="s">
        <v>132</v>
      </c>
      <c r="G96">
        <v>13</v>
      </c>
      <c r="H96">
        <v>12</v>
      </c>
      <c r="I96">
        <v>4</v>
      </c>
      <c r="J96" t="s">
        <v>135</v>
      </c>
      <c r="K96">
        <v>88.353999999999999</v>
      </c>
      <c r="L96">
        <v>23.085999999999999</v>
      </c>
      <c r="M96">
        <v>23.597000000000001</v>
      </c>
      <c r="N96">
        <v>14.178000000000001</v>
      </c>
      <c r="O96">
        <v>27.492999999999999</v>
      </c>
      <c r="P96">
        <v>336.5</v>
      </c>
      <c r="Q96">
        <v>359.88400000000001</v>
      </c>
      <c r="R96" t="b">
        <v>0</v>
      </c>
      <c r="S96" t="b">
        <v>0</v>
      </c>
      <c r="T96" t="b">
        <v>0</v>
      </c>
    </row>
    <row r="97" spans="1:20" x14ac:dyDescent="0.3">
      <c r="A97" t="s">
        <v>283</v>
      </c>
      <c r="B97">
        <v>43</v>
      </c>
      <c r="C97">
        <v>8</v>
      </c>
      <c r="D97" t="s">
        <v>130</v>
      </c>
      <c r="E97" t="s">
        <v>131</v>
      </c>
      <c r="F97" t="s">
        <v>132</v>
      </c>
      <c r="G97">
        <v>13</v>
      </c>
      <c r="H97">
        <v>12</v>
      </c>
      <c r="I97">
        <v>5</v>
      </c>
      <c r="J97" t="s">
        <v>136</v>
      </c>
      <c r="K97">
        <v>88.853999999999999</v>
      </c>
      <c r="L97">
        <v>23.478999999999999</v>
      </c>
      <c r="M97">
        <v>23.553999999999998</v>
      </c>
      <c r="N97">
        <v>14.3</v>
      </c>
      <c r="O97">
        <v>27.521000000000001</v>
      </c>
      <c r="P97">
        <v>327.3</v>
      </c>
      <c r="Q97">
        <v>448.738</v>
      </c>
      <c r="R97" t="b">
        <v>0</v>
      </c>
      <c r="S97" t="b">
        <v>0</v>
      </c>
      <c r="T97" t="b">
        <v>0</v>
      </c>
    </row>
    <row r="98" spans="1:20" x14ac:dyDescent="0.3">
      <c r="A98" t="s">
        <v>283</v>
      </c>
      <c r="B98">
        <v>43</v>
      </c>
      <c r="C98">
        <v>8</v>
      </c>
      <c r="D98" t="s">
        <v>130</v>
      </c>
      <c r="E98" t="s">
        <v>131</v>
      </c>
      <c r="F98" t="s">
        <v>132</v>
      </c>
      <c r="G98">
        <v>13</v>
      </c>
      <c r="H98">
        <v>12</v>
      </c>
      <c r="I98">
        <v>6</v>
      </c>
      <c r="J98" t="s">
        <v>137</v>
      </c>
      <c r="K98">
        <v>88.433999999999997</v>
      </c>
      <c r="L98">
        <v>23.199000000000002</v>
      </c>
      <c r="M98">
        <v>23.585000000000001</v>
      </c>
      <c r="N98">
        <v>14.18</v>
      </c>
      <c r="O98">
        <v>27.47</v>
      </c>
      <c r="P98">
        <v>338.6</v>
      </c>
      <c r="Q98">
        <v>537.17200000000003</v>
      </c>
      <c r="R98" t="b">
        <v>0</v>
      </c>
      <c r="S98" t="b">
        <v>0</v>
      </c>
      <c r="T98" t="b">
        <v>0</v>
      </c>
    </row>
    <row r="99" spans="1:20" x14ac:dyDescent="0.3">
      <c r="A99" t="s">
        <v>283</v>
      </c>
      <c r="B99">
        <v>43</v>
      </c>
      <c r="C99">
        <v>8</v>
      </c>
      <c r="D99" t="s">
        <v>130</v>
      </c>
      <c r="E99" t="s">
        <v>131</v>
      </c>
      <c r="F99" t="s">
        <v>132</v>
      </c>
      <c r="G99">
        <v>13</v>
      </c>
      <c r="H99">
        <v>12</v>
      </c>
      <c r="I99">
        <v>7</v>
      </c>
      <c r="J99" t="s">
        <v>138</v>
      </c>
      <c r="K99">
        <v>88.915000000000006</v>
      </c>
      <c r="L99">
        <v>23.571999999999999</v>
      </c>
      <c r="M99">
        <v>23.652000000000001</v>
      </c>
      <c r="N99">
        <v>14.172000000000001</v>
      </c>
      <c r="O99">
        <v>27.518999999999998</v>
      </c>
      <c r="P99">
        <v>333.4</v>
      </c>
      <c r="Q99">
        <v>626.08699999999999</v>
      </c>
      <c r="R99" t="b">
        <v>0</v>
      </c>
      <c r="S99" t="b">
        <v>0</v>
      </c>
      <c r="T99" t="b">
        <v>0</v>
      </c>
    </row>
    <row r="100" spans="1:20" x14ac:dyDescent="0.3">
      <c r="A100" t="s">
        <v>283</v>
      </c>
      <c r="B100">
        <v>43</v>
      </c>
      <c r="C100">
        <v>8</v>
      </c>
      <c r="D100" t="s">
        <v>130</v>
      </c>
      <c r="E100" t="s">
        <v>131</v>
      </c>
      <c r="F100" t="s">
        <v>132</v>
      </c>
      <c r="G100">
        <v>13</v>
      </c>
      <c r="H100">
        <v>12</v>
      </c>
      <c r="I100">
        <v>8</v>
      </c>
      <c r="J100" t="s">
        <v>139</v>
      </c>
      <c r="K100">
        <v>88.795000000000002</v>
      </c>
      <c r="L100">
        <v>23.314</v>
      </c>
      <c r="M100">
        <v>23.51</v>
      </c>
      <c r="N100">
        <v>14.271000000000001</v>
      </c>
      <c r="O100">
        <v>27.7</v>
      </c>
      <c r="P100">
        <v>334.4</v>
      </c>
      <c r="Q100">
        <v>714.88199999999995</v>
      </c>
      <c r="R100" t="b">
        <v>0</v>
      </c>
      <c r="S100" t="b">
        <v>0</v>
      </c>
      <c r="T100" t="b">
        <v>0</v>
      </c>
    </row>
    <row r="101" spans="1:20" x14ac:dyDescent="0.3">
      <c r="A101" t="s">
        <v>283</v>
      </c>
      <c r="B101">
        <v>43</v>
      </c>
      <c r="C101">
        <v>8</v>
      </c>
      <c r="D101" t="s">
        <v>130</v>
      </c>
      <c r="E101" t="s">
        <v>131</v>
      </c>
      <c r="F101" t="s">
        <v>132</v>
      </c>
      <c r="G101">
        <v>13</v>
      </c>
      <c r="H101">
        <v>12</v>
      </c>
      <c r="I101">
        <v>9</v>
      </c>
      <c r="J101" t="s">
        <v>140</v>
      </c>
      <c r="K101">
        <v>89.07</v>
      </c>
      <c r="L101">
        <v>23.530999999999999</v>
      </c>
      <c r="M101">
        <v>23.895</v>
      </c>
      <c r="N101">
        <v>14.227</v>
      </c>
      <c r="O101">
        <v>27.417000000000002</v>
      </c>
      <c r="P101">
        <v>328.3</v>
      </c>
      <c r="Q101">
        <v>803.952</v>
      </c>
      <c r="R101" t="b">
        <v>0</v>
      </c>
      <c r="S101" t="b">
        <v>0</v>
      </c>
      <c r="T101" t="b">
        <v>0</v>
      </c>
    </row>
    <row r="102" spans="1:20" x14ac:dyDescent="0.3">
      <c r="A102" t="s">
        <v>283</v>
      </c>
      <c r="B102">
        <v>43</v>
      </c>
      <c r="C102">
        <v>8</v>
      </c>
      <c r="D102" t="s">
        <v>130</v>
      </c>
      <c r="E102" t="s">
        <v>131</v>
      </c>
      <c r="F102" t="s">
        <v>132</v>
      </c>
      <c r="G102">
        <v>13</v>
      </c>
      <c r="H102">
        <v>12</v>
      </c>
      <c r="I102">
        <v>10</v>
      </c>
      <c r="J102" t="s">
        <v>141</v>
      </c>
      <c r="K102">
        <v>88.182000000000002</v>
      </c>
      <c r="L102">
        <v>23.077000000000002</v>
      </c>
      <c r="M102">
        <v>23.49</v>
      </c>
      <c r="N102">
        <v>14.17</v>
      </c>
      <c r="O102">
        <v>27.445</v>
      </c>
      <c r="P102">
        <v>340.7</v>
      </c>
      <c r="Q102">
        <v>892.13400000000001</v>
      </c>
      <c r="R102" t="b">
        <v>0</v>
      </c>
      <c r="S102" t="b">
        <v>0</v>
      </c>
      <c r="T102" t="b">
        <v>0</v>
      </c>
    </row>
    <row r="103" spans="1:20" x14ac:dyDescent="0.3">
      <c r="A103" t="s">
        <v>283</v>
      </c>
      <c r="B103">
        <v>43</v>
      </c>
      <c r="C103">
        <v>8</v>
      </c>
      <c r="D103" t="s">
        <v>130</v>
      </c>
      <c r="E103" t="s">
        <v>131</v>
      </c>
      <c r="F103" t="s">
        <v>132</v>
      </c>
      <c r="G103">
        <v>13</v>
      </c>
      <c r="H103">
        <v>12</v>
      </c>
      <c r="I103">
        <v>11</v>
      </c>
      <c r="J103" t="s">
        <v>142</v>
      </c>
      <c r="K103">
        <v>88.191000000000003</v>
      </c>
      <c r="L103">
        <v>23.05</v>
      </c>
      <c r="M103">
        <v>23.478999999999999</v>
      </c>
      <c r="N103">
        <v>14.145</v>
      </c>
      <c r="O103">
        <v>27.516999999999999</v>
      </c>
      <c r="P103">
        <v>341.8</v>
      </c>
      <c r="Q103">
        <v>980.32500000000005</v>
      </c>
      <c r="R103" t="b">
        <v>0</v>
      </c>
      <c r="S103" t="b">
        <v>0</v>
      </c>
      <c r="T103" t="b">
        <v>0</v>
      </c>
    </row>
    <row r="104" spans="1:20" x14ac:dyDescent="0.3">
      <c r="A104" t="s">
        <v>283</v>
      </c>
      <c r="B104">
        <v>43</v>
      </c>
      <c r="C104">
        <v>8</v>
      </c>
      <c r="D104" t="s">
        <v>130</v>
      </c>
      <c r="E104" t="s">
        <v>131</v>
      </c>
      <c r="F104" t="s">
        <v>132</v>
      </c>
      <c r="G104">
        <v>13</v>
      </c>
      <c r="H104">
        <v>12</v>
      </c>
      <c r="I104">
        <v>12</v>
      </c>
      <c r="J104" t="s">
        <v>143</v>
      </c>
      <c r="K104">
        <v>88.37</v>
      </c>
      <c r="L104">
        <v>23.183</v>
      </c>
      <c r="M104">
        <v>23.54</v>
      </c>
      <c r="N104">
        <v>14.143000000000001</v>
      </c>
      <c r="O104">
        <v>27.504000000000001</v>
      </c>
      <c r="P104">
        <v>341.8</v>
      </c>
      <c r="Q104">
        <v>1068.6949999999999</v>
      </c>
      <c r="R104" t="b">
        <v>0</v>
      </c>
      <c r="S104" t="b">
        <v>0</v>
      </c>
      <c r="T104" t="b">
        <v>0</v>
      </c>
    </row>
    <row r="105" spans="1:20" x14ac:dyDescent="0.3">
      <c r="A105" t="s">
        <v>283</v>
      </c>
      <c r="B105">
        <v>43</v>
      </c>
      <c r="C105">
        <v>8</v>
      </c>
      <c r="D105" t="s">
        <v>130</v>
      </c>
      <c r="E105" t="s">
        <v>131</v>
      </c>
      <c r="F105" t="s">
        <v>132</v>
      </c>
      <c r="G105">
        <v>13</v>
      </c>
      <c r="H105">
        <v>12</v>
      </c>
      <c r="I105">
        <v>13</v>
      </c>
      <c r="J105" t="s">
        <v>144</v>
      </c>
      <c r="K105">
        <v>88.498000000000005</v>
      </c>
      <c r="L105">
        <v>23.181999999999999</v>
      </c>
      <c r="M105">
        <v>23.588999999999999</v>
      </c>
      <c r="N105">
        <v>14.189</v>
      </c>
      <c r="O105">
        <v>27.538</v>
      </c>
      <c r="P105">
        <v>341.8</v>
      </c>
      <c r="Q105">
        <v>1157.193</v>
      </c>
      <c r="R105" t="b">
        <v>0</v>
      </c>
      <c r="S105" t="b">
        <v>0</v>
      </c>
      <c r="T105" t="b">
        <v>0</v>
      </c>
    </row>
    <row r="106" spans="1:20" x14ac:dyDescent="0.3">
      <c r="A106" t="s">
        <v>284</v>
      </c>
      <c r="B106">
        <v>11</v>
      </c>
      <c r="C106">
        <v>9</v>
      </c>
      <c r="D106" t="s">
        <v>146</v>
      </c>
      <c r="E106" t="s">
        <v>147</v>
      </c>
      <c r="F106" t="s">
        <v>148</v>
      </c>
      <c r="G106">
        <v>13</v>
      </c>
      <c r="H106">
        <v>12</v>
      </c>
      <c r="I106">
        <v>1</v>
      </c>
      <c r="J106" t="s">
        <v>149</v>
      </c>
      <c r="K106">
        <v>95.32</v>
      </c>
      <c r="L106">
        <v>29.463000000000001</v>
      </c>
      <c r="M106">
        <v>23.952999999999999</v>
      </c>
      <c r="N106">
        <v>14.282999999999999</v>
      </c>
      <c r="O106">
        <v>27.620999999999999</v>
      </c>
      <c r="P106">
        <v>261.10000000000002</v>
      </c>
      <c r="Q106">
        <v>95.32</v>
      </c>
      <c r="R106" t="b">
        <v>0</v>
      </c>
      <c r="S106" t="b">
        <v>0</v>
      </c>
      <c r="T106" t="b">
        <v>0</v>
      </c>
    </row>
    <row r="107" spans="1:20" x14ac:dyDescent="0.3">
      <c r="A107" t="s">
        <v>284</v>
      </c>
      <c r="B107">
        <v>11</v>
      </c>
      <c r="C107">
        <v>9</v>
      </c>
      <c r="D107" t="s">
        <v>146</v>
      </c>
      <c r="E107" t="s">
        <v>147</v>
      </c>
      <c r="F107" t="s">
        <v>148</v>
      </c>
      <c r="G107">
        <v>13</v>
      </c>
      <c r="H107">
        <v>12</v>
      </c>
      <c r="I107">
        <v>2</v>
      </c>
      <c r="J107" t="s">
        <v>150</v>
      </c>
      <c r="K107">
        <v>88.525999999999996</v>
      </c>
      <c r="L107">
        <v>23.294</v>
      </c>
      <c r="M107">
        <v>23.684999999999999</v>
      </c>
      <c r="N107">
        <v>14.262</v>
      </c>
      <c r="O107">
        <v>27.285</v>
      </c>
      <c r="P107">
        <v>344</v>
      </c>
      <c r="Q107">
        <v>183.846</v>
      </c>
      <c r="R107" t="b">
        <v>0</v>
      </c>
      <c r="S107" t="b">
        <v>0</v>
      </c>
      <c r="T107" t="b">
        <v>0</v>
      </c>
    </row>
    <row r="108" spans="1:20" x14ac:dyDescent="0.3">
      <c r="A108" t="s">
        <v>284</v>
      </c>
      <c r="B108">
        <v>11</v>
      </c>
      <c r="C108">
        <v>9</v>
      </c>
      <c r="D108" t="s">
        <v>146</v>
      </c>
      <c r="E108" t="s">
        <v>147</v>
      </c>
      <c r="F108" t="s">
        <v>148</v>
      </c>
      <c r="G108">
        <v>13</v>
      </c>
      <c r="H108">
        <v>12</v>
      </c>
      <c r="I108">
        <v>3</v>
      </c>
      <c r="J108" t="s">
        <v>151</v>
      </c>
      <c r="K108">
        <v>88.492000000000004</v>
      </c>
      <c r="L108">
        <v>23.34</v>
      </c>
      <c r="M108">
        <v>23.591999999999999</v>
      </c>
      <c r="N108">
        <v>14.212999999999999</v>
      </c>
      <c r="O108">
        <v>27.347000000000001</v>
      </c>
      <c r="P108">
        <v>338.6</v>
      </c>
      <c r="Q108">
        <v>272.33800000000002</v>
      </c>
      <c r="R108" t="b">
        <v>0</v>
      </c>
      <c r="S108" t="b">
        <v>0</v>
      </c>
      <c r="T108" t="b">
        <v>0</v>
      </c>
    </row>
    <row r="109" spans="1:20" x14ac:dyDescent="0.3">
      <c r="A109" t="s">
        <v>284</v>
      </c>
      <c r="B109">
        <v>11</v>
      </c>
      <c r="C109">
        <v>9</v>
      </c>
      <c r="D109" t="s">
        <v>146</v>
      </c>
      <c r="E109" t="s">
        <v>147</v>
      </c>
      <c r="F109" t="s">
        <v>148</v>
      </c>
      <c r="G109">
        <v>13</v>
      </c>
      <c r="H109">
        <v>12</v>
      </c>
      <c r="I109">
        <v>4</v>
      </c>
      <c r="J109" t="s">
        <v>143</v>
      </c>
      <c r="K109">
        <v>88.37</v>
      </c>
      <c r="L109">
        <v>23.132999999999999</v>
      </c>
      <c r="M109">
        <v>23.599</v>
      </c>
      <c r="N109">
        <v>14.273999999999999</v>
      </c>
      <c r="O109">
        <v>27.364000000000001</v>
      </c>
      <c r="P109">
        <v>345</v>
      </c>
      <c r="Q109">
        <v>360.70800000000003</v>
      </c>
      <c r="R109" t="b">
        <v>0</v>
      </c>
      <c r="S109" t="b">
        <v>0</v>
      </c>
      <c r="T109" t="b">
        <v>0</v>
      </c>
    </row>
    <row r="110" spans="1:20" x14ac:dyDescent="0.3">
      <c r="A110" t="s">
        <v>284</v>
      </c>
      <c r="B110">
        <v>11</v>
      </c>
      <c r="C110">
        <v>9</v>
      </c>
      <c r="D110" t="s">
        <v>146</v>
      </c>
      <c r="E110" t="s">
        <v>147</v>
      </c>
      <c r="F110" t="s">
        <v>148</v>
      </c>
      <c r="G110">
        <v>13</v>
      </c>
      <c r="H110">
        <v>12</v>
      </c>
      <c r="I110">
        <v>5</v>
      </c>
      <c r="J110" t="s">
        <v>152</v>
      </c>
      <c r="K110">
        <v>88.716999999999999</v>
      </c>
      <c r="L110">
        <v>23.170999999999999</v>
      </c>
      <c r="M110">
        <v>23.728000000000002</v>
      </c>
      <c r="N110">
        <v>14.182</v>
      </c>
      <c r="O110">
        <v>27.635999999999999</v>
      </c>
      <c r="P110">
        <v>335.4</v>
      </c>
      <c r="Q110">
        <v>449.42500000000001</v>
      </c>
      <c r="R110" t="b">
        <v>0</v>
      </c>
      <c r="S110" t="b">
        <v>0</v>
      </c>
      <c r="T110" t="b">
        <v>0</v>
      </c>
    </row>
    <row r="111" spans="1:20" x14ac:dyDescent="0.3">
      <c r="A111" t="s">
        <v>284</v>
      </c>
      <c r="B111">
        <v>11</v>
      </c>
      <c r="C111">
        <v>9</v>
      </c>
      <c r="D111" t="s">
        <v>146</v>
      </c>
      <c r="E111" t="s">
        <v>147</v>
      </c>
      <c r="F111" t="s">
        <v>148</v>
      </c>
      <c r="G111">
        <v>13</v>
      </c>
      <c r="H111">
        <v>12</v>
      </c>
      <c r="I111">
        <v>6</v>
      </c>
      <c r="J111" t="s">
        <v>153</v>
      </c>
      <c r="K111">
        <v>89.542000000000002</v>
      </c>
      <c r="L111">
        <v>23.140999999999998</v>
      </c>
      <c r="M111">
        <v>24.155999999999999</v>
      </c>
      <c r="N111">
        <v>14.327</v>
      </c>
      <c r="O111">
        <v>27.917999999999999</v>
      </c>
      <c r="P111">
        <v>341.8</v>
      </c>
      <c r="Q111">
        <v>538.96699999999998</v>
      </c>
      <c r="R111" t="b">
        <v>0</v>
      </c>
      <c r="S111" t="b">
        <v>0</v>
      </c>
      <c r="T111" t="b">
        <v>0</v>
      </c>
    </row>
    <row r="112" spans="1:20" x14ac:dyDescent="0.3">
      <c r="A112" t="s">
        <v>284</v>
      </c>
      <c r="B112">
        <v>11</v>
      </c>
      <c r="C112">
        <v>9</v>
      </c>
      <c r="D112" t="s">
        <v>146</v>
      </c>
      <c r="E112" t="s">
        <v>147</v>
      </c>
      <c r="F112" t="s">
        <v>148</v>
      </c>
      <c r="G112">
        <v>13</v>
      </c>
      <c r="H112">
        <v>12</v>
      </c>
      <c r="I112">
        <v>7</v>
      </c>
      <c r="J112" t="s">
        <v>154</v>
      </c>
      <c r="K112">
        <v>88.623000000000005</v>
      </c>
      <c r="L112">
        <v>23.231999999999999</v>
      </c>
      <c r="M112">
        <v>23.704999999999998</v>
      </c>
      <c r="N112">
        <v>14.291</v>
      </c>
      <c r="O112">
        <v>27.395</v>
      </c>
      <c r="P112">
        <v>339.6</v>
      </c>
      <c r="Q112">
        <v>627.59</v>
      </c>
      <c r="R112" t="b">
        <v>0</v>
      </c>
      <c r="S112" t="b">
        <v>0</v>
      </c>
      <c r="T112" t="b">
        <v>0</v>
      </c>
    </row>
    <row r="113" spans="1:20" x14ac:dyDescent="0.3">
      <c r="A113" t="s">
        <v>284</v>
      </c>
      <c r="B113">
        <v>11</v>
      </c>
      <c r="C113">
        <v>9</v>
      </c>
      <c r="D113" t="s">
        <v>146</v>
      </c>
      <c r="E113" t="s">
        <v>147</v>
      </c>
      <c r="F113" t="s">
        <v>148</v>
      </c>
      <c r="G113">
        <v>13</v>
      </c>
      <c r="H113">
        <v>12</v>
      </c>
      <c r="I113">
        <v>8</v>
      </c>
      <c r="J113" t="s">
        <v>155</v>
      </c>
      <c r="K113">
        <v>88.578999999999994</v>
      </c>
      <c r="L113">
        <v>23.128</v>
      </c>
      <c r="M113">
        <v>23.606000000000002</v>
      </c>
      <c r="N113">
        <v>14.303000000000001</v>
      </c>
      <c r="O113">
        <v>27.542000000000002</v>
      </c>
      <c r="P113">
        <v>344</v>
      </c>
      <c r="Q113">
        <v>716.16899999999998</v>
      </c>
      <c r="R113" t="b">
        <v>0</v>
      </c>
      <c r="S113" t="b">
        <v>0</v>
      </c>
      <c r="T113" t="b">
        <v>0</v>
      </c>
    </row>
    <row r="114" spans="1:20" x14ac:dyDescent="0.3">
      <c r="A114" t="s">
        <v>284</v>
      </c>
      <c r="B114">
        <v>11</v>
      </c>
      <c r="C114">
        <v>9</v>
      </c>
      <c r="D114" t="s">
        <v>146</v>
      </c>
      <c r="E114" t="s">
        <v>147</v>
      </c>
      <c r="F114" t="s">
        <v>148</v>
      </c>
      <c r="G114">
        <v>13</v>
      </c>
      <c r="H114">
        <v>12</v>
      </c>
      <c r="I114">
        <v>9</v>
      </c>
      <c r="J114" t="s">
        <v>156</v>
      </c>
      <c r="K114">
        <v>88.605000000000004</v>
      </c>
      <c r="L114">
        <v>23.245999999999999</v>
      </c>
      <c r="M114">
        <v>23.702000000000002</v>
      </c>
      <c r="N114">
        <v>14.234999999999999</v>
      </c>
      <c r="O114">
        <v>27.422000000000001</v>
      </c>
      <c r="P114">
        <v>342.9</v>
      </c>
      <c r="Q114">
        <v>804.774</v>
      </c>
      <c r="R114" t="b">
        <v>0</v>
      </c>
      <c r="S114" t="b">
        <v>0</v>
      </c>
      <c r="T114" t="b">
        <v>0</v>
      </c>
    </row>
    <row r="115" spans="1:20" x14ac:dyDescent="0.3">
      <c r="A115" t="s">
        <v>284</v>
      </c>
      <c r="B115">
        <v>11</v>
      </c>
      <c r="C115">
        <v>9</v>
      </c>
      <c r="D115" t="s">
        <v>146</v>
      </c>
      <c r="E115" t="s">
        <v>147</v>
      </c>
      <c r="F115" t="s">
        <v>148</v>
      </c>
      <c r="G115">
        <v>13</v>
      </c>
      <c r="H115">
        <v>12</v>
      </c>
      <c r="I115">
        <v>10</v>
      </c>
      <c r="J115" t="s">
        <v>157</v>
      </c>
      <c r="K115">
        <v>88.58</v>
      </c>
      <c r="L115">
        <v>23.117999999999999</v>
      </c>
      <c r="M115">
        <v>23.657</v>
      </c>
      <c r="N115">
        <v>14.242000000000001</v>
      </c>
      <c r="O115">
        <v>27.562999999999999</v>
      </c>
      <c r="P115">
        <v>342.9</v>
      </c>
      <c r="Q115">
        <v>893.35400000000004</v>
      </c>
      <c r="R115" t="b">
        <v>0</v>
      </c>
      <c r="S115" t="b">
        <v>0</v>
      </c>
      <c r="T115" t="b">
        <v>0</v>
      </c>
    </row>
    <row r="116" spans="1:20" x14ac:dyDescent="0.3">
      <c r="A116" t="s">
        <v>284</v>
      </c>
      <c r="B116">
        <v>11</v>
      </c>
      <c r="C116">
        <v>9</v>
      </c>
      <c r="D116" t="s">
        <v>146</v>
      </c>
      <c r="E116" t="s">
        <v>147</v>
      </c>
      <c r="F116" t="s">
        <v>148</v>
      </c>
      <c r="G116">
        <v>13</v>
      </c>
      <c r="H116">
        <v>12</v>
      </c>
      <c r="I116">
        <v>11</v>
      </c>
      <c r="J116" t="s">
        <v>158</v>
      </c>
      <c r="K116">
        <v>88.933999999999997</v>
      </c>
      <c r="L116">
        <v>23.356999999999999</v>
      </c>
      <c r="M116">
        <v>23.748999999999999</v>
      </c>
      <c r="N116">
        <v>14.247</v>
      </c>
      <c r="O116">
        <v>27.581</v>
      </c>
      <c r="P116">
        <v>339.6</v>
      </c>
      <c r="Q116">
        <v>982.28800000000001</v>
      </c>
      <c r="R116" t="b">
        <v>0</v>
      </c>
      <c r="S116" t="b">
        <v>0</v>
      </c>
      <c r="T116" t="b">
        <v>0</v>
      </c>
    </row>
    <row r="117" spans="1:20" x14ac:dyDescent="0.3">
      <c r="A117" t="s">
        <v>284</v>
      </c>
      <c r="B117">
        <v>11</v>
      </c>
      <c r="C117">
        <v>9</v>
      </c>
      <c r="D117" t="s">
        <v>146</v>
      </c>
      <c r="E117" t="s">
        <v>147</v>
      </c>
      <c r="F117" t="s">
        <v>148</v>
      </c>
      <c r="G117">
        <v>13</v>
      </c>
      <c r="H117">
        <v>12</v>
      </c>
      <c r="I117">
        <v>12</v>
      </c>
      <c r="J117" t="s">
        <v>159</v>
      </c>
      <c r="K117">
        <v>88.861000000000004</v>
      </c>
      <c r="L117">
        <v>23.111000000000001</v>
      </c>
      <c r="M117">
        <v>23.739000000000001</v>
      </c>
      <c r="N117">
        <v>14.313000000000001</v>
      </c>
      <c r="O117">
        <v>27.698</v>
      </c>
      <c r="P117">
        <v>341.8</v>
      </c>
      <c r="Q117">
        <v>1071.1489999999999</v>
      </c>
      <c r="R117" t="b">
        <v>0</v>
      </c>
      <c r="S117" t="b">
        <v>0</v>
      </c>
      <c r="T117" t="b">
        <v>0</v>
      </c>
    </row>
    <row r="118" spans="1:20" x14ac:dyDescent="0.3">
      <c r="A118" t="s">
        <v>284</v>
      </c>
      <c r="B118">
        <v>11</v>
      </c>
      <c r="C118">
        <v>9</v>
      </c>
      <c r="D118" t="s">
        <v>146</v>
      </c>
      <c r="E118" t="s">
        <v>147</v>
      </c>
      <c r="F118" t="s">
        <v>148</v>
      </c>
      <c r="G118">
        <v>13</v>
      </c>
      <c r="H118">
        <v>12</v>
      </c>
      <c r="I118">
        <v>13</v>
      </c>
      <c r="J118" t="s">
        <v>160</v>
      </c>
      <c r="K118">
        <v>88.983999999999995</v>
      </c>
      <c r="L118">
        <v>23.1</v>
      </c>
      <c r="M118">
        <v>23.744</v>
      </c>
      <c r="N118">
        <v>14.273999999999999</v>
      </c>
      <c r="O118">
        <v>27.866</v>
      </c>
      <c r="P118">
        <v>340.7</v>
      </c>
      <c r="Q118">
        <v>1160.133</v>
      </c>
      <c r="R118" t="b">
        <v>0</v>
      </c>
      <c r="S118" t="b">
        <v>0</v>
      </c>
      <c r="T118" t="b">
        <v>0</v>
      </c>
    </row>
    <row r="119" spans="1:20" x14ac:dyDescent="0.3">
      <c r="A119" t="s">
        <v>285</v>
      </c>
      <c r="B119">
        <v>27</v>
      </c>
      <c r="C119">
        <v>10</v>
      </c>
      <c r="D119" t="s">
        <v>40</v>
      </c>
      <c r="E119" t="s">
        <v>4</v>
      </c>
      <c r="F119" t="s">
        <v>6</v>
      </c>
      <c r="G119">
        <v>13</v>
      </c>
      <c r="H119">
        <v>12</v>
      </c>
      <c r="I119">
        <v>1</v>
      </c>
      <c r="J119" t="s">
        <v>162</v>
      </c>
      <c r="K119">
        <v>96.781000000000006</v>
      </c>
      <c r="L119">
        <v>30.071999999999999</v>
      </c>
      <c r="M119">
        <v>24.495000000000001</v>
      </c>
      <c r="N119">
        <v>14.698</v>
      </c>
      <c r="O119">
        <v>27.515999999999998</v>
      </c>
      <c r="P119">
        <v>263</v>
      </c>
      <c r="Q119">
        <v>96.781000000000006</v>
      </c>
      <c r="R119" t="b">
        <v>0</v>
      </c>
      <c r="S119" t="b">
        <v>0</v>
      </c>
      <c r="T119" t="b">
        <v>0</v>
      </c>
    </row>
    <row r="120" spans="1:20" x14ac:dyDescent="0.3">
      <c r="A120" t="s">
        <v>285</v>
      </c>
      <c r="B120">
        <v>27</v>
      </c>
      <c r="C120">
        <v>10</v>
      </c>
      <c r="D120" t="s">
        <v>40</v>
      </c>
      <c r="E120" t="s">
        <v>4</v>
      </c>
      <c r="F120" t="s">
        <v>6</v>
      </c>
      <c r="G120">
        <v>13</v>
      </c>
      <c r="H120">
        <v>12</v>
      </c>
      <c r="I120">
        <v>2</v>
      </c>
      <c r="J120" t="s">
        <v>163</v>
      </c>
      <c r="K120">
        <v>88.924999999999997</v>
      </c>
      <c r="L120">
        <v>23.305</v>
      </c>
      <c r="M120">
        <v>23.856999999999999</v>
      </c>
      <c r="N120">
        <v>14.311</v>
      </c>
      <c r="O120">
        <v>27.452000000000002</v>
      </c>
      <c r="P120">
        <v>323.39999999999998</v>
      </c>
      <c r="Q120">
        <v>185.70599999999999</v>
      </c>
      <c r="R120" t="b">
        <v>0</v>
      </c>
      <c r="S120" t="b">
        <v>0</v>
      </c>
      <c r="T120" t="b">
        <v>0</v>
      </c>
    </row>
    <row r="121" spans="1:20" x14ac:dyDescent="0.3">
      <c r="A121" t="s">
        <v>285</v>
      </c>
      <c r="B121">
        <v>27</v>
      </c>
      <c r="C121">
        <v>10</v>
      </c>
      <c r="D121" t="s">
        <v>40</v>
      </c>
      <c r="E121" t="s">
        <v>4</v>
      </c>
      <c r="F121" t="s">
        <v>6</v>
      </c>
      <c r="G121">
        <v>13</v>
      </c>
      <c r="H121">
        <v>12</v>
      </c>
      <c r="I121">
        <v>3</v>
      </c>
      <c r="J121" t="s">
        <v>143</v>
      </c>
      <c r="K121">
        <v>88.37</v>
      </c>
      <c r="L121">
        <v>23.015999999999998</v>
      </c>
      <c r="M121">
        <v>23.641999999999999</v>
      </c>
      <c r="N121">
        <v>14.304</v>
      </c>
      <c r="O121">
        <v>27.408000000000001</v>
      </c>
      <c r="P121">
        <v>338.6</v>
      </c>
      <c r="Q121">
        <v>274.07600000000002</v>
      </c>
      <c r="R121" t="b">
        <v>0</v>
      </c>
      <c r="S121" t="b">
        <v>0</v>
      </c>
      <c r="T121" t="b">
        <v>0</v>
      </c>
    </row>
    <row r="122" spans="1:20" x14ac:dyDescent="0.3">
      <c r="A122" t="s">
        <v>285</v>
      </c>
      <c r="B122">
        <v>27</v>
      </c>
      <c r="C122">
        <v>10</v>
      </c>
      <c r="D122" t="s">
        <v>40</v>
      </c>
      <c r="E122" t="s">
        <v>4</v>
      </c>
      <c r="F122" t="s">
        <v>6</v>
      </c>
      <c r="G122">
        <v>13</v>
      </c>
      <c r="H122">
        <v>12</v>
      </c>
      <c r="I122">
        <v>4</v>
      </c>
      <c r="J122" t="s">
        <v>164</v>
      </c>
      <c r="K122">
        <v>88.638000000000005</v>
      </c>
      <c r="L122">
        <v>22.899000000000001</v>
      </c>
      <c r="M122">
        <v>23.975000000000001</v>
      </c>
      <c r="N122">
        <v>14.25</v>
      </c>
      <c r="O122">
        <v>27.513999999999999</v>
      </c>
      <c r="P122">
        <v>347.3</v>
      </c>
      <c r="Q122">
        <v>362.714</v>
      </c>
      <c r="R122" t="b">
        <v>0</v>
      </c>
      <c r="S122" t="b">
        <v>0</v>
      </c>
      <c r="T122" t="b">
        <v>0</v>
      </c>
    </row>
    <row r="123" spans="1:20" x14ac:dyDescent="0.3">
      <c r="A123" t="s">
        <v>285</v>
      </c>
      <c r="B123">
        <v>27</v>
      </c>
      <c r="C123">
        <v>10</v>
      </c>
      <c r="D123" t="s">
        <v>40</v>
      </c>
      <c r="E123" t="s">
        <v>4</v>
      </c>
      <c r="F123" t="s">
        <v>6</v>
      </c>
      <c r="G123">
        <v>13</v>
      </c>
      <c r="H123">
        <v>12</v>
      </c>
      <c r="I123">
        <v>5</v>
      </c>
      <c r="J123" t="s">
        <v>165</v>
      </c>
      <c r="K123">
        <v>88.302999999999997</v>
      </c>
      <c r="L123">
        <v>23.021000000000001</v>
      </c>
      <c r="M123">
        <v>23.622</v>
      </c>
      <c r="N123">
        <v>14.163</v>
      </c>
      <c r="O123">
        <v>27.497</v>
      </c>
      <c r="P123">
        <v>344</v>
      </c>
      <c r="Q123">
        <v>451.017</v>
      </c>
      <c r="R123" t="b">
        <v>0</v>
      </c>
      <c r="S123" t="b">
        <v>0</v>
      </c>
      <c r="T123" t="b">
        <v>0</v>
      </c>
    </row>
    <row r="124" spans="1:20" x14ac:dyDescent="0.3">
      <c r="A124" t="s">
        <v>285</v>
      </c>
      <c r="B124">
        <v>27</v>
      </c>
      <c r="C124">
        <v>10</v>
      </c>
      <c r="D124" t="s">
        <v>40</v>
      </c>
      <c r="E124" t="s">
        <v>4</v>
      </c>
      <c r="F124" t="s">
        <v>6</v>
      </c>
      <c r="G124">
        <v>13</v>
      </c>
      <c r="H124">
        <v>12</v>
      </c>
      <c r="I124">
        <v>6</v>
      </c>
      <c r="J124" t="s">
        <v>166</v>
      </c>
      <c r="K124">
        <v>88.076999999999998</v>
      </c>
      <c r="L124">
        <v>22.946000000000002</v>
      </c>
      <c r="M124">
        <v>23.611999999999998</v>
      </c>
      <c r="N124">
        <v>14.11</v>
      </c>
      <c r="O124">
        <v>27.408999999999999</v>
      </c>
      <c r="P124">
        <v>345</v>
      </c>
      <c r="Q124">
        <v>539.09400000000005</v>
      </c>
      <c r="R124" t="b">
        <v>0</v>
      </c>
      <c r="S124" t="b">
        <v>0</v>
      </c>
      <c r="T124" t="b">
        <v>0</v>
      </c>
    </row>
    <row r="125" spans="1:20" x14ac:dyDescent="0.3">
      <c r="A125" t="s">
        <v>285</v>
      </c>
      <c r="B125">
        <v>27</v>
      </c>
      <c r="C125">
        <v>10</v>
      </c>
      <c r="D125" t="s">
        <v>40</v>
      </c>
      <c r="E125" t="s">
        <v>4</v>
      </c>
      <c r="F125" t="s">
        <v>6</v>
      </c>
      <c r="G125">
        <v>13</v>
      </c>
      <c r="H125">
        <v>12</v>
      </c>
      <c r="I125">
        <v>7</v>
      </c>
      <c r="J125" t="s">
        <v>167</v>
      </c>
      <c r="K125">
        <v>88.614000000000004</v>
      </c>
      <c r="L125">
        <v>23.212</v>
      </c>
      <c r="M125">
        <v>23.733000000000001</v>
      </c>
      <c r="N125">
        <v>14.29</v>
      </c>
      <c r="O125">
        <v>27.379000000000001</v>
      </c>
      <c r="P125">
        <v>345</v>
      </c>
      <c r="Q125">
        <v>627.70799999999997</v>
      </c>
      <c r="R125" t="b">
        <v>0</v>
      </c>
      <c r="S125" t="b">
        <v>0</v>
      </c>
      <c r="T125" t="b">
        <v>0</v>
      </c>
    </row>
    <row r="126" spans="1:20" x14ac:dyDescent="0.3">
      <c r="A126" t="s">
        <v>285</v>
      </c>
      <c r="B126">
        <v>27</v>
      </c>
      <c r="C126">
        <v>10</v>
      </c>
      <c r="D126" t="s">
        <v>40</v>
      </c>
      <c r="E126" t="s">
        <v>4</v>
      </c>
      <c r="F126" t="s">
        <v>6</v>
      </c>
      <c r="G126">
        <v>13</v>
      </c>
      <c r="H126">
        <v>12</v>
      </c>
      <c r="I126">
        <v>8</v>
      </c>
      <c r="J126" t="s">
        <v>168</v>
      </c>
      <c r="K126">
        <v>88.542000000000002</v>
      </c>
      <c r="L126">
        <v>23.166</v>
      </c>
      <c r="M126">
        <v>23.635999999999999</v>
      </c>
      <c r="N126">
        <v>14.332000000000001</v>
      </c>
      <c r="O126">
        <v>27.408000000000001</v>
      </c>
      <c r="P126">
        <v>341.8</v>
      </c>
      <c r="Q126">
        <v>716.25</v>
      </c>
      <c r="R126" t="b">
        <v>0</v>
      </c>
      <c r="S126" t="b">
        <v>0</v>
      </c>
      <c r="T126" t="b">
        <v>0</v>
      </c>
    </row>
    <row r="127" spans="1:20" x14ac:dyDescent="0.3">
      <c r="A127" t="s">
        <v>285</v>
      </c>
      <c r="B127">
        <v>27</v>
      </c>
      <c r="C127">
        <v>10</v>
      </c>
      <c r="D127" t="s">
        <v>40</v>
      </c>
      <c r="E127" t="s">
        <v>4</v>
      </c>
      <c r="F127" t="s">
        <v>6</v>
      </c>
      <c r="G127">
        <v>13</v>
      </c>
      <c r="H127">
        <v>12</v>
      </c>
      <c r="I127">
        <v>9</v>
      </c>
      <c r="J127" t="s">
        <v>169</v>
      </c>
      <c r="K127">
        <v>88.402000000000001</v>
      </c>
      <c r="L127">
        <v>23.027000000000001</v>
      </c>
      <c r="M127">
        <v>23.599</v>
      </c>
      <c r="N127">
        <v>14.227</v>
      </c>
      <c r="O127">
        <v>27.548999999999999</v>
      </c>
      <c r="P127">
        <v>354.1</v>
      </c>
      <c r="Q127">
        <v>804.65200000000004</v>
      </c>
      <c r="R127" t="b">
        <v>0</v>
      </c>
      <c r="S127" t="b">
        <v>0</v>
      </c>
      <c r="T127" t="b">
        <v>0</v>
      </c>
    </row>
    <row r="128" spans="1:20" x14ac:dyDescent="0.3">
      <c r="A128" t="s">
        <v>285</v>
      </c>
      <c r="B128">
        <v>27</v>
      </c>
      <c r="C128">
        <v>10</v>
      </c>
      <c r="D128" t="s">
        <v>40</v>
      </c>
      <c r="E128" t="s">
        <v>4</v>
      </c>
      <c r="F128" t="s">
        <v>6</v>
      </c>
      <c r="G128">
        <v>13</v>
      </c>
      <c r="H128">
        <v>12</v>
      </c>
      <c r="I128">
        <v>10</v>
      </c>
      <c r="J128" t="s">
        <v>170</v>
      </c>
      <c r="K128">
        <v>88.59</v>
      </c>
      <c r="L128">
        <v>23.048999999999999</v>
      </c>
      <c r="M128">
        <v>23.692</v>
      </c>
      <c r="N128">
        <v>14.228</v>
      </c>
      <c r="O128">
        <v>27.620999999999999</v>
      </c>
      <c r="P128">
        <v>341.8</v>
      </c>
      <c r="Q128">
        <v>893.24199999999996</v>
      </c>
      <c r="R128" t="b">
        <v>0</v>
      </c>
      <c r="S128" t="b">
        <v>0</v>
      </c>
      <c r="T128" t="b">
        <v>0</v>
      </c>
    </row>
    <row r="129" spans="1:20" x14ac:dyDescent="0.3">
      <c r="A129" t="s">
        <v>285</v>
      </c>
      <c r="B129">
        <v>27</v>
      </c>
      <c r="C129">
        <v>10</v>
      </c>
      <c r="D129" t="s">
        <v>40</v>
      </c>
      <c r="E129" t="s">
        <v>4</v>
      </c>
      <c r="F129" t="s">
        <v>6</v>
      </c>
      <c r="G129">
        <v>13</v>
      </c>
      <c r="H129">
        <v>12</v>
      </c>
      <c r="I129">
        <v>11</v>
      </c>
      <c r="J129" t="s">
        <v>171</v>
      </c>
      <c r="K129">
        <v>88.986000000000004</v>
      </c>
      <c r="L129">
        <v>23.306999999999999</v>
      </c>
      <c r="M129">
        <v>23.79</v>
      </c>
      <c r="N129">
        <v>14.214</v>
      </c>
      <c r="O129">
        <v>27.675000000000001</v>
      </c>
      <c r="P129">
        <v>341.8</v>
      </c>
      <c r="Q129">
        <v>982.22799999999995</v>
      </c>
      <c r="R129" t="b">
        <v>0</v>
      </c>
      <c r="S129" t="b">
        <v>0</v>
      </c>
      <c r="T129" t="b">
        <v>0</v>
      </c>
    </row>
    <row r="130" spans="1:20" x14ac:dyDescent="0.3">
      <c r="A130" t="s">
        <v>285</v>
      </c>
      <c r="B130">
        <v>27</v>
      </c>
      <c r="C130">
        <v>10</v>
      </c>
      <c r="D130" t="s">
        <v>40</v>
      </c>
      <c r="E130" t="s">
        <v>4</v>
      </c>
      <c r="F130" t="s">
        <v>6</v>
      </c>
      <c r="G130">
        <v>13</v>
      </c>
      <c r="H130">
        <v>12</v>
      </c>
      <c r="I130">
        <v>12</v>
      </c>
      <c r="J130" t="s">
        <v>172</v>
      </c>
      <c r="K130">
        <v>88.783000000000001</v>
      </c>
      <c r="L130">
        <v>23.010999999999999</v>
      </c>
      <c r="M130">
        <v>23.791</v>
      </c>
      <c r="N130">
        <v>14.268000000000001</v>
      </c>
      <c r="O130">
        <v>27.713000000000001</v>
      </c>
      <c r="P130">
        <v>341.8</v>
      </c>
      <c r="Q130">
        <v>1071.011</v>
      </c>
      <c r="R130" t="b">
        <v>0</v>
      </c>
      <c r="S130" t="b">
        <v>0</v>
      </c>
      <c r="T130" t="b">
        <v>0</v>
      </c>
    </row>
    <row r="131" spans="1:20" x14ac:dyDescent="0.3">
      <c r="A131" t="s">
        <v>285</v>
      </c>
      <c r="B131">
        <v>27</v>
      </c>
      <c r="C131">
        <v>10</v>
      </c>
      <c r="D131" t="s">
        <v>40</v>
      </c>
      <c r="E131" t="s">
        <v>4</v>
      </c>
      <c r="F131" t="s">
        <v>6</v>
      </c>
      <c r="G131">
        <v>13</v>
      </c>
      <c r="H131">
        <v>12</v>
      </c>
      <c r="I131">
        <v>13</v>
      </c>
      <c r="J131" t="s">
        <v>173</v>
      </c>
      <c r="K131">
        <v>89.173000000000002</v>
      </c>
      <c r="L131">
        <v>23.097999999999999</v>
      </c>
      <c r="M131">
        <v>23.725999999999999</v>
      </c>
      <c r="N131">
        <v>14.317</v>
      </c>
      <c r="O131">
        <v>28.032</v>
      </c>
      <c r="P131">
        <v>341.8</v>
      </c>
      <c r="Q131">
        <v>1160.184</v>
      </c>
      <c r="R131" t="b">
        <v>0</v>
      </c>
      <c r="S131" t="b">
        <v>0</v>
      </c>
      <c r="T131" t="b">
        <v>0</v>
      </c>
    </row>
    <row r="132" spans="1:20" x14ac:dyDescent="0.3">
      <c r="A132" t="s">
        <v>286</v>
      </c>
      <c r="B132">
        <v>20</v>
      </c>
      <c r="C132">
        <v>11</v>
      </c>
      <c r="D132" t="s">
        <v>175</v>
      </c>
      <c r="E132" t="s">
        <v>131</v>
      </c>
      <c r="F132" t="s">
        <v>176</v>
      </c>
      <c r="G132">
        <v>13</v>
      </c>
      <c r="H132">
        <v>12</v>
      </c>
      <c r="I132">
        <v>1</v>
      </c>
      <c r="J132" t="s">
        <v>177</v>
      </c>
      <c r="K132">
        <v>97.116</v>
      </c>
      <c r="L132">
        <v>30.486999999999998</v>
      </c>
      <c r="M132">
        <v>24.355</v>
      </c>
      <c r="N132">
        <v>14.558999999999999</v>
      </c>
      <c r="O132">
        <v>27.715</v>
      </c>
      <c r="P132">
        <v>254.3</v>
      </c>
      <c r="Q132">
        <v>97.116</v>
      </c>
      <c r="R132" t="b">
        <v>0</v>
      </c>
      <c r="S132" t="b">
        <v>0</v>
      </c>
      <c r="T132" t="b">
        <v>0</v>
      </c>
    </row>
    <row r="133" spans="1:20" x14ac:dyDescent="0.3">
      <c r="A133" t="s">
        <v>286</v>
      </c>
      <c r="B133">
        <v>20</v>
      </c>
      <c r="C133">
        <v>11</v>
      </c>
      <c r="D133" t="s">
        <v>175</v>
      </c>
      <c r="E133" t="s">
        <v>131</v>
      </c>
      <c r="F133" t="s">
        <v>176</v>
      </c>
      <c r="G133">
        <v>13</v>
      </c>
      <c r="H133">
        <v>12</v>
      </c>
      <c r="I133">
        <v>2</v>
      </c>
      <c r="J133" t="s">
        <v>178</v>
      </c>
      <c r="K133">
        <v>88.971999999999994</v>
      </c>
      <c r="L133">
        <v>23.210999999999999</v>
      </c>
      <c r="M133">
        <v>23.952000000000002</v>
      </c>
      <c r="N133">
        <v>14.336</v>
      </c>
      <c r="O133">
        <v>27.472999999999999</v>
      </c>
      <c r="P133">
        <v>342.9</v>
      </c>
      <c r="Q133">
        <v>186.08799999999999</v>
      </c>
      <c r="R133" t="b">
        <v>0</v>
      </c>
      <c r="S133" t="b">
        <v>0</v>
      </c>
      <c r="T133" t="b">
        <v>0</v>
      </c>
    </row>
    <row r="134" spans="1:20" x14ac:dyDescent="0.3">
      <c r="A134" t="s">
        <v>286</v>
      </c>
      <c r="B134">
        <v>20</v>
      </c>
      <c r="C134">
        <v>11</v>
      </c>
      <c r="D134" t="s">
        <v>175</v>
      </c>
      <c r="E134" t="s">
        <v>131</v>
      </c>
      <c r="F134" t="s">
        <v>176</v>
      </c>
      <c r="G134">
        <v>13</v>
      </c>
      <c r="H134">
        <v>12</v>
      </c>
      <c r="I134">
        <v>3</v>
      </c>
      <c r="J134" t="s">
        <v>179</v>
      </c>
      <c r="K134">
        <v>88.412999999999997</v>
      </c>
      <c r="L134">
        <v>23.035</v>
      </c>
      <c r="M134">
        <v>23.664000000000001</v>
      </c>
      <c r="N134">
        <v>14.27</v>
      </c>
      <c r="O134">
        <v>27.443999999999999</v>
      </c>
      <c r="P134">
        <v>346.1</v>
      </c>
      <c r="Q134">
        <v>274.50099999999998</v>
      </c>
      <c r="R134" t="b">
        <v>0</v>
      </c>
      <c r="S134" t="b">
        <v>0</v>
      </c>
      <c r="T134" t="b">
        <v>0</v>
      </c>
    </row>
    <row r="135" spans="1:20" x14ac:dyDescent="0.3">
      <c r="A135" t="s">
        <v>286</v>
      </c>
      <c r="B135">
        <v>20</v>
      </c>
      <c r="C135">
        <v>11</v>
      </c>
      <c r="D135" t="s">
        <v>175</v>
      </c>
      <c r="E135" t="s">
        <v>131</v>
      </c>
      <c r="F135" t="s">
        <v>176</v>
      </c>
      <c r="G135">
        <v>13</v>
      </c>
      <c r="H135">
        <v>12</v>
      </c>
      <c r="I135">
        <v>4</v>
      </c>
      <c r="J135" t="s">
        <v>180</v>
      </c>
      <c r="K135">
        <v>88.426000000000002</v>
      </c>
      <c r="L135">
        <v>22.981999999999999</v>
      </c>
      <c r="M135">
        <v>23.63</v>
      </c>
      <c r="N135">
        <v>14.291</v>
      </c>
      <c r="O135">
        <v>27.523</v>
      </c>
      <c r="P135">
        <v>346.1</v>
      </c>
      <c r="Q135">
        <v>362.92700000000002</v>
      </c>
      <c r="R135" t="b">
        <v>0</v>
      </c>
      <c r="S135" t="b">
        <v>0</v>
      </c>
      <c r="T135" t="b">
        <v>0</v>
      </c>
    </row>
    <row r="136" spans="1:20" x14ac:dyDescent="0.3">
      <c r="A136" t="s">
        <v>286</v>
      </c>
      <c r="B136">
        <v>20</v>
      </c>
      <c r="C136">
        <v>11</v>
      </c>
      <c r="D136" t="s">
        <v>175</v>
      </c>
      <c r="E136" t="s">
        <v>131</v>
      </c>
      <c r="F136" t="s">
        <v>176</v>
      </c>
      <c r="G136">
        <v>13</v>
      </c>
      <c r="H136">
        <v>12</v>
      </c>
      <c r="I136">
        <v>5</v>
      </c>
      <c r="J136" t="s">
        <v>181</v>
      </c>
      <c r="K136">
        <v>88.435000000000002</v>
      </c>
      <c r="L136">
        <v>23.045000000000002</v>
      </c>
      <c r="M136">
        <v>23.629000000000001</v>
      </c>
      <c r="N136">
        <v>14.233000000000001</v>
      </c>
      <c r="O136">
        <v>27.527999999999999</v>
      </c>
      <c r="P136">
        <v>348.4</v>
      </c>
      <c r="Q136">
        <v>451.36200000000002</v>
      </c>
      <c r="R136" t="b">
        <v>0</v>
      </c>
      <c r="S136" t="b">
        <v>0</v>
      </c>
      <c r="T136" t="b">
        <v>0</v>
      </c>
    </row>
    <row r="137" spans="1:20" x14ac:dyDescent="0.3">
      <c r="A137" t="s">
        <v>286</v>
      </c>
      <c r="B137">
        <v>20</v>
      </c>
      <c r="C137">
        <v>11</v>
      </c>
      <c r="D137" t="s">
        <v>175</v>
      </c>
      <c r="E137" t="s">
        <v>131</v>
      </c>
      <c r="F137" t="s">
        <v>176</v>
      </c>
      <c r="G137">
        <v>13</v>
      </c>
      <c r="H137">
        <v>12</v>
      </c>
      <c r="I137">
        <v>6</v>
      </c>
      <c r="J137" t="s">
        <v>182</v>
      </c>
      <c r="K137">
        <v>89.078999999999994</v>
      </c>
      <c r="L137">
        <v>23.1</v>
      </c>
      <c r="M137">
        <v>24.007999999999999</v>
      </c>
      <c r="N137">
        <v>14.352</v>
      </c>
      <c r="O137">
        <v>27.619</v>
      </c>
      <c r="P137">
        <v>344</v>
      </c>
      <c r="Q137">
        <v>540.44100000000003</v>
      </c>
      <c r="R137" t="b">
        <v>0</v>
      </c>
      <c r="S137" t="b">
        <v>0</v>
      </c>
      <c r="T137" t="b">
        <v>0</v>
      </c>
    </row>
    <row r="138" spans="1:20" x14ac:dyDescent="0.3">
      <c r="A138" t="s">
        <v>286</v>
      </c>
      <c r="B138">
        <v>20</v>
      </c>
      <c r="C138">
        <v>11</v>
      </c>
      <c r="D138" t="s">
        <v>175</v>
      </c>
      <c r="E138" t="s">
        <v>131</v>
      </c>
      <c r="F138" t="s">
        <v>176</v>
      </c>
      <c r="G138">
        <v>13</v>
      </c>
      <c r="H138">
        <v>12</v>
      </c>
      <c r="I138">
        <v>7</v>
      </c>
      <c r="J138" t="s">
        <v>183</v>
      </c>
      <c r="K138">
        <v>88.631</v>
      </c>
      <c r="L138">
        <v>23.148</v>
      </c>
      <c r="M138">
        <v>23.721</v>
      </c>
      <c r="N138">
        <v>14.228</v>
      </c>
      <c r="O138">
        <v>27.533999999999999</v>
      </c>
      <c r="P138">
        <v>344</v>
      </c>
      <c r="Q138">
        <v>629.072</v>
      </c>
      <c r="R138" t="b">
        <v>0</v>
      </c>
      <c r="S138" t="b">
        <v>0</v>
      </c>
      <c r="T138" t="b">
        <v>0</v>
      </c>
    </row>
    <row r="139" spans="1:20" x14ac:dyDescent="0.3">
      <c r="A139" t="s">
        <v>286</v>
      </c>
      <c r="B139">
        <v>20</v>
      </c>
      <c r="C139">
        <v>11</v>
      </c>
      <c r="D139" t="s">
        <v>175</v>
      </c>
      <c r="E139" t="s">
        <v>131</v>
      </c>
      <c r="F139" t="s">
        <v>176</v>
      </c>
      <c r="G139">
        <v>13</v>
      </c>
      <c r="H139">
        <v>12</v>
      </c>
      <c r="I139">
        <v>8</v>
      </c>
      <c r="J139" t="s">
        <v>184</v>
      </c>
      <c r="K139">
        <v>88.790999999999997</v>
      </c>
      <c r="L139">
        <v>23.286000000000001</v>
      </c>
      <c r="M139">
        <v>23.582999999999998</v>
      </c>
      <c r="N139">
        <v>14.308</v>
      </c>
      <c r="O139">
        <v>27.614000000000001</v>
      </c>
      <c r="P139">
        <v>341.8</v>
      </c>
      <c r="Q139">
        <v>717.86300000000006</v>
      </c>
      <c r="R139" t="b">
        <v>0</v>
      </c>
      <c r="S139" t="b">
        <v>0</v>
      </c>
      <c r="T139" t="b">
        <v>0</v>
      </c>
    </row>
    <row r="140" spans="1:20" x14ac:dyDescent="0.3">
      <c r="A140" t="s">
        <v>286</v>
      </c>
      <c r="B140">
        <v>20</v>
      </c>
      <c r="C140">
        <v>11</v>
      </c>
      <c r="D140" t="s">
        <v>175</v>
      </c>
      <c r="E140" t="s">
        <v>131</v>
      </c>
      <c r="F140" t="s">
        <v>176</v>
      </c>
      <c r="G140">
        <v>13</v>
      </c>
      <c r="H140">
        <v>12</v>
      </c>
      <c r="I140">
        <v>9</v>
      </c>
      <c r="J140" t="s">
        <v>185</v>
      </c>
      <c r="K140">
        <v>88.513999999999996</v>
      </c>
      <c r="L140">
        <v>23.047000000000001</v>
      </c>
      <c r="M140">
        <v>23.559000000000001</v>
      </c>
      <c r="N140">
        <v>14.332000000000001</v>
      </c>
      <c r="O140">
        <v>27.576000000000001</v>
      </c>
      <c r="P140">
        <v>341.8</v>
      </c>
      <c r="Q140">
        <v>806.37699999999995</v>
      </c>
      <c r="R140" t="b">
        <v>0</v>
      </c>
      <c r="S140" t="b">
        <v>0</v>
      </c>
      <c r="T140" t="b">
        <v>0</v>
      </c>
    </row>
    <row r="141" spans="1:20" x14ac:dyDescent="0.3">
      <c r="A141" t="s">
        <v>286</v>
      </c>
      <c r="B141">
        <v>20</v>
      </c>
      <c r="C141">
        <v>11</v>
      </c>
      <c r="D141" t="s">
        <v>175</v>
      </c>
      <c r="E141" t="s">
        <v>131</v>
      </c>
      <c r="F141" t="s">
        <v>176</v>
      </c>
      <c r="G141">
        <v>13</v>
      </c>
      <c r="H141">
        <v>12</v>
      </c>
      <c r="I141">
        <v>10</v>
      </c>
      <c r="J141" t="s">
        <v>186</v>
      </c>
      <c r="K141">
        <v>88.55</v>
      </c>
      <c r="L141">
        <v>23.120999999999999</v>
      </c>
      <c r="M141">
        <v>23.617000000000001</v>
      </c>
      <c r="N141">
        <v>14.208</v>
      </c>
      <c r="O141">
        <v>27.603999999999999</v>
      </c>
      <c r="P141">
        <v>342.9</v>
      </c>
      <c r="Q141">
        <v>894.92700000000002</v>
      </c>
      <c r="R141" t="b">
        <v>0</v>
      </c>
      <c r="S141" t="b">
        <v>0</v>
      </c>
      <c r="T141" t="b">
        <v>0</v>
      </c>
    </row>
    <row r="142" spans="1:20" x14ac:dyDescent="0.3">
      <c r="A142" t="s">
        <v>286</v>
      </c>
      <c r="B142">
        <v>20</v>
      </c>
      <c r="C142">
        <v>11</v>
      </c>
      <c r="D142" t="s">
        <v>175</v>
      </c>
      <c r="E142" t="s">
        <v>131</v>
      </c>
      <c r="F142" t="s">
        <v>176</v>
      </c>
      <c r="G142">
        <v>13</v>
      </c>
      <c r="H142">
        <v>12</v>
      </c>
      <c r="I142">
        <v>11</v>
      </c>
      <c r="J142" t="s">
        <v>187</v>
      </c>
      <c r="K142">
        <v>88.486999999999995</v>
      </c>
      <c r="L142">
        <v>22.978000000000002</v>
      </c>
      <c r="M142">
        <v>23.683</v>
      </c>
      <c r="N142">
        <v>14.29</v>
      </c>
      <c r="O142">
        <v>27.536000000000001</v>
      </c>
      <c r="P142">
        <v>342.9</v>
      </c>
      <c r="Q142">
        <v>983.41399999999999</v>
      </c>
      <c r="R142" t="b">
        <v>0</v>
      </c>
      <c r="S142" t="b">
        <v>0</v>
      </c>
      <c r="T142" t="b">
        <v>0</v>
      </c>
    </row>
    <row r="143" spans="1:20" x14ac:dyDescent="0.3">
      <c r="A143" t="s">
        <v>286</v>
      </c>
      <c r="B143">
        <v>20</v>
      </c>
      <c r="C143">
        <v>11</v>
      </c>
      <c r="D143" t="s">
        <v>175</v>
      </c>
      <c r="E143" t="s">
        <v>131</v>
      </c>
      <c r="F143" t="s">
        <v>176</v>
      </c>
      <c r="G143">
        <v>13</v>
      </c>
      <c r="H143">
        <v>12</v>
      </c>
      <c r="I143">
        <v>12</v>
      </c>
      <c r="J143" t="s">
        <v>150</v>
      </c>
      <c r="K143">
        <v>88.525999999999996</v>
      </c>
      <c r="L143">
        <v>23.050999999999998</v>
      </c>
      <c r="M143">
        <v>23.56</v>
      </c>
      <c r="N143">
        <v>14.21</v>
      </c>
      <c r="O143">
        <v>27.704999999999998</v>
      </c>
      <c r="P143">
        <v>345</v>
      </c>
      <c r="Q143">
        <v>1071.94</v>
      </c>
      <c r="R143" t="b">
        <v>0</v>
      </c>
      <c r="S143" t="b">
        <v>0</v>
      </c>
      <c r="T143" t="b">
        <v>0</v>
      </c>
    </row>
    <row r="144" spans="1:20" x14ac:dyDescent="0.3">
      <c r="A144" t="s">
        <v>286</v>
      </c>
      <c r="B144">
        <v>20</v>
      </c>
      <c r="C144">
        <v>11</v>
      </c>
      <c r="D144" t="s">
        <v>175</v>
      </c>
      <c r="E144" t="s">
        <v>131</v>
      </c>
      <c r="F144" t="s">
        <v>176</v>
      </c>
      <c r="G144">
        <v>13</v>
      </c>
      <c r="H144">
        <v>12</v>
      </c>
      <c r="I144">
        <v>13</v>
      </c>
      <c r="J144" t="s">
        <v>188</v>
      </c>
      <c r="K144">
        <v>88.686000000000007</v>
      </c>
      <c r="L144">
        <v>23.181999999999999</v>
      </c>
      <c r="M144">
        <v>23.596</v>
      </c>
      <c r="N144">
        <v>14.294</v>
      </c>
      <c r="O144">
        <v>27.614000000000001</v>
      </c>
      <c r="P144">
        <v>344</v>
      </c>
      <c r="Q144">
        <v>1160.626</v>
      </c>
      <c r="R144" t="b">
        <v>0</v>
      </c>
      <c r="S144" t="b">
        <v>0</v>
      </c>
      <c r="T144" t="b">
        <v>0</v>
      </c>
    </row>
    <row r="145" spans="1:20" x14ac:dyDescent="0.3">
      <c r="A145" t="s">
        <v>287</v>
      </c>
      <c r="B145">
        <v>23</v>
      </c>
      <c r="C145">
        <v>12</v>
      </c>
      <c r="D145" t="s">
        <v>190</v>
      </c>
      <c r="E145" t="s">
        <v>86</v>
      </c>
      <c r="F145" t="s">
        <v>56</v>
      </c>
      <c r="G145">
        <v>13</v>
      </c>
      <c r="H145">
        <v>12</v>
      </c>
      <c r="I145">
        <v>1</v>
      </c>
      <c r="J145" t="s">
        <v>191</v>
      </c>
      <c r="K145">
        <v>96.117000000000004</v>
      </c>
      <c r="L145">
        <v>29.812999999999999</v>
      </c>
      <c r="M145">
        <v>24.242999999999999</v>
      </c>
      <c r="N145">
        <v>14.391999999999999</v>
      </c>
      <c r="O145">
        <v>27.669</v>
      </c>
      <c r="P145">
        <v>260.39999999999998</v>
      </c>
      <c r="Q145">
        <v>96.117000000000004</v>
      </c>
      <c r="R145" t="b">
        <v>0</v>
      </c>
      <c r="S145" t="b">
        <v>0</v>
      </c>
      <c r="T145" t="b">
        <v>0</v>
      </c>
    </row>
    <row r="146" spans="1:20" x14ac:dyDescent="0.3">
      <c r="A146" t="s">
        <v>287</v>
      </c>
      <c r="B146">
        <v>23</v>
      </c>
      <c r="C146">
        <v>12</v>
      </c>
      <c r="D146" t="s">
        <v>190</v>
      </c>
      <c r="E146" t="s">
        <v>86</v>
      </c>
      <c r="F146" t="s">
        <v>56</v>
      </c>
      <c r="G146">
        <v>13</v>
      </c>
      <c r="H146">
        <v>12</v>
      </c>
      <c r="I146">
        <v>2</v>
      </c>
      <c r="J146" t="s">
        <v>192</v>
      </c>
      <c r="K146">
        <v>90.006</v>
      </c>
      <c r="L146">
        <v>23.545000000000002</v>
      </c>
      <c r="M146">
        <v>24.148</v>
      </c>
      <c r="N146">
        <v>14.343999999999999</v>
      </c>
      <c r="O146">
        <v>27.969000000000001</v>
      </c>
      <c r="P146">
        <v>333.4</v>
      </c>
      <c r="Q146">
        <v>186.12299999999999</v>
      </c>
      <c r="R146" t="b">
        <v>0</v>
      </c>
      <c r="S146" t="b">
        <v>0</v>
      </c>
      <c r="T146" t="b">
        <v>0</v>
      </c>
    </row>
    <row r="147" spans="1:20" x14ac:dyDescent="0.3">
      <c r="A147" t="s">
        <v>287</v>
      </c>
      <c r="B147">
        <v>23</v>
      </c>
      <c r="C147">
        <v>12</v>
      </c>
      <c r="D147" t="s">
        <v>190</v>
      </c>
      <c r="E147" t="s">
        <v>86</v>
      </c>
      <c r="F147" t="s">
        <v>56</v>
      </c>
      <c r="G147">
        <v>13</v>
      </c>
      <c r="H147">
        <v>12</v>
      </c>
      <c r="I147">
        <v>3</v>
      </c>
      <c r="J147" t="s">
        <v>193</v>
      </c>
      <c r="K147">
        <v>88.619</v>
      </c>
      <c r="L147">
        <v>23.099</v>
      </c>
      <c r="M147">
        <v>23.946999999999999</v>
      </c>
      <c r="N147">
        <v>14.244</v>
      </c>
      <c r="O147">
        <v>27.329000000000001</v>
      </c>
      <c r="P147">
        <v>342.9</v>
      </c>
      <c r="Q147">
        <v>274.74200000000002</v>
      </c>
      <c r="R147" t="b">
        <v>0</v>
      </c>
      <c r="S147" t="b">
        <v>0</v>
      </c>
      <c r="T147" t="b">
        <v>0</v>
      </c>
    </row>
    <row r="148" spans="1:20" x14ac:dyDescent="0.3">
      <c r="A148" t="s">
        <v>287</v>
      </c>
      <c r="B148">
        <v>23</v>
      </c>
      <c r="C148">
        <v>12</v>
      </c>
      <c r="D148" t="s">
        <v>190</v>
      </c>
      <c r="E148" t="s">
        <v>86</v>
      </c>
      <c r="F148" t="s">
        <v>56</v>
      </c>
      <c r="G148">
        <v>13</v>
      </c>
      <c r="H148">
        <v>12</v>
      </c>
      <c r="I148">
        <v>4</v>
      </c>
      <c r="J148" t="s">
        <v>194</v>
      </c>
      <c r="K148">
        <v>88.230999999999995</v>
      </c>
      <c r="L148">
        <v>22.943000000000001</v>
      </c>
      <c r="M148">
        <v>23.629000000000001</v>
      </c>
      <c r="N148">
        <v>14.272</v>
      </c>
      <c r="O148">
        <v>27.387</v>
      </c>
      <c r="P148">
        <v>345</v>
      </c>
      <c r="Q148">
        <v>362.97300000000001</v>
      </c>
      <c r="R148" t="b">
        <v>0</v>
      </c>
      <c r="S148" t="b">
        <v>0</v>
      </c>
      <c r="T148" t="b">
        <v>0</v>
      </c>
    </row>
    <row r="149" spans="1:20" x14ac:dyDescent="0.3">
      <c r="A149" t="s">
        <v>287</v>
      </c>
      <c r="B149">
        <v>23</v>
      </c>
      <c r="C149">
        <v>12</v>
      </c>
      <c r="D149" t="s">
        <v>190</v>
      </c>
      <c r="E149" t="s">
        <v>86</v>
      </c>
      <c r="F149" t="s">
        <v>56</v>
      </c>
      <c r="G149">
        <v>13</v>
      </c>
      <c r="H149">
        <v>12</v>
      </c>
      <c r="I149">
        <v>5</v>
      </c>
      <c r="J149" t="s">
        <v>195</v>
      </c>
      <c r="K149">
        <v>88.418999999999997</v>
      </c>
      <c r="L149">
        <v>23.114999999999998</v>
      </c>
      <c r="M149">
        <v>23.672000000000001</v>
      </c>
      <c r="N149">
        <v>14.266999999999999</v>
      </c>
      <c r="O149">
        <v>27.364999999999998</v>
      </c>
      <c r="P149">
        <v>347.3</v>
      </c>
      <c r="Q149">
        <v>451.392</v>
      </c>
      <c r="R149" t="b">
        <v>0</v>
      </c>
      <c r="S149" t="b">
        <v>0</v>
      </c>
      <c r="T149" t="b">
        <v>0</v>
      </c>
    </row>
    <row r="150" spans="1:20" x14ac:dyDescent="0.3">
      <c r="A150" t="s">
        <v>287</v>
      </c>
      <c r="B150">
        <v>23</v>
      </c>
      <c r="C150">
        <v>12</v>
      </c>
      <c r="D150" t="s">
        <v>190</v>
      </c>
      <c r="E150" t="s">
        <v>86</v>
      </c>
      <c r="F150" t="s">
        <v>56</v>
      </c>
      <c r="G150">
        <v>13</v>
      </c>
      <c r="H150">
        <v>12</v>
      </c>
      <c r="I150">
        <v>6</v>
      </c>
      <c r="J150" t="s">
        <v>196</v>
      </c>
      <c r="K150">
        <v>88.997</v>
      </c>
      <c r="L150">
        <v>23.140999999999998</v>
      </c>
      <c r="M150">
        <v>23.815999999999999</v>
      </c>
      <c r="N150">
        <v>14.367000000000001</v>
      </c>
      <c r="O150">
        <v>27.672999999999998</v>
      </c>
      <c r="P150">
        <v>347.3</v>
      </c>
      <c r="Q150">
        <v>540.38900000000001</v>
      </c>
      <c r="R150" t="b">
        <v>0</v>
      </c>
      <c r="S150" t="b">
        <v>0</v>
      </c>
      <c r="T150" t="b">
        <v>0</v>
      </c>
    </row>
    <row r="151" spans="1:20" x14ac:dyDescent="0.3">
      <c r="A151" t="s">
        <v>287</v>
      </c>
      <c r="B151">
        <v>23</v>
      </c>
      <c r="C151">
        <v>12</v>
      </c>
      <c r="D151" t="s">
        <v>190</v>
      </c>
      <c r="E151" t="s">
        <v>86</v>
      </c>
      <c r="F151" t="s">
        <v>56</v>
      </c>
      <c r="G151">
        <v>13</v>
      </c>
      <c r="H151">
        <v>12</v>
      </c>
      <c r="I151">
        <v>7</v>
      </c>
      <c r="J151" t="s">
        <v>197</v>
      </c>
      <c r="K151">
        <v>89.686999999999998</v>
      </c>
      <c r="L151">
        <v>23.042000000000002</v>
      </c>
      <c r="M151">
        <v>24.753</v>
      </c>
      <c r="N151">
        <v>14.343</v>
      </c>
      <c r="O151">
        <v>27.548999999999999</v>
      </c>
      <c r="P151">
        <v>350.6</v>
      </c>
      <c r="Q151">
        <v>630.07600000000002</v>
      </c>
      <c r="R151" t="b">
        <v>0</v>
      </c>
      <c r="S151" t="b">
        <v>0</v>
      </c>
      <c r="T151" t="b">
        <v>0</v>
      </c>
    </row>
    <row r="152" spans="1:20" x14ac:dyDescent="0.3">
      <c r="A152" t="s">
        <v>287</v>
      </c>
      <c r="B152">
        <v>23</v>
      </c>
      <c r="C152">
        <v>12</v>
      </c>
      <c r="D152" t="s">
        <v>190</v>
      </c>
      <c r="E152" t="s">
        <v>86</v>
      </c>
      <c r="F152" t="s">
        <v>56</v>
      </c>
      <c r="G152">
        <v>13</v>
      </c>
      <c r="H152">
        <v>12</v>
      </c>
      <c r="I152">
        <v>8</v>
      </c>
      <c r="J152" t="s">
        <v>198</v>
      </c>
      <c r="K152">
        <v>88.347999999999999</v>
      </c>
      <c r="L152">
        <v>22.916</v>
      </c>
      <c r="M152">
        <v>23.574999999999999</v>
      </c>
      <c r="N152">
        <v>14.353</v>
      </c>
      <c r="O152">
        <v>27.504000000000001</v>
      </c>
      <c r="P152">
        <v>347.3</v>
      </c>
      <c r="Q152">
        <v>718.42399999999998</v>
      </c>
      <c r="R152" t="b">
        <v>0</v>
      </c>
      <c r="S152" t="b">
        <v>0</v>
      </c>
      <c r="T152" t="b">
        <v>0</v>
      </c>
    </row>
    <row r="153" spans="1:20" x14ac:dyDescent="0.3">
      <c r="A153" t="s">
        <v>287</v>
      </c>
      <c r="B153">
        <v>23</v>
      </c>
      <c r="C153">
        <v>12</v>
      </c>
      <c r="D153" t="s">
        <v>190</v>
      </c>
      <c r="E153" t="s">
        <v>86</v>
      </c>
      <c r="F153" t="s">
        <v>56</v>
      </c>
      <c r="G153">
        <v>13</v>
      </c>
      <c r="H153">
        <v>12</v>
      </c>
      <c r="I153">
        <v>9</v>
      </c>
      <c r="J153" t="s">
        <v>199</v>
      </c>
      <c r="K153">
        <v>88.492999999999995</v>
      </c>
      <c r="L153">
        <v>22.997</v>
      </c>
      <c r="M153">
        <v>23.614999999999998</v>
      </c>
      <c r="N153">
        <v>14.355</v>
      </c>
      <c r="O153">
        <v>27.526</v>
      </c>
      <c r="P153">
        <v>348.4</v>
      </c>
      <c r="Q153">
        <v>806.91700000000003</v>
      </c>
      <c r="R153" t="b">
        <v>0</v>
      </c>
      <c r="S153" t="b">
        <v>0</v>
      </c>
      <c r="T153" t="b">
        <v>0</v>
      </c>
    </row>
    <row r="154" spans="1:20" x14ac:dyDescent="0.3">
      <c r="A154" t="s">
        <v>287</v>
      </c>
      <c r="B154">
        <v>23</v>
      </c>
      <c r="C154">
        <v>12</v>
      </c>
      <c r="D154" t="s">
        <v>190</v>
      </c>
      <c r="E154" t="s">
        <v>86</v>
      </c>
      <c r="F154" t="s">
        <v>56</v>
      </c>
      <c r="G154">
        <v>13</v>
      </c>
      <c r="H154">
        <v>12</v>
      </c>
      <c r="I154">
        <v>10</v>
      </c>
      <c r="J154" t="s">
        <v>200</v>
      </c>
      <c r="K154">
        <v>88.394000000000005</v>
      </c>
      <c r="L154">
        <v>22.931999999999999</v>
      </c>
      <c r="M154">
        <v>23.603000000000002</v>
      </c>
      <c r="N154">
        <v>14.375999999999999</v>
      </c>
      <c r="O154">
        <v>27.483000000000001</v>
      </c>
      <c r="P154">
        <v>351.8</v>
      </c>
      <c r="Q154">
        <v>895.31100000000004</v>
      </c>
      <c r="R154" t="b">
        <v>0</v>
      </c>
      <c r="S154" t="b">
        <v>0</v>
      </c>
      <c r="T154" t="b">
        <v>0</v>
      </c>
    </row>
    <row r="155" spans="1:20" x14ac:dyDescent="0.3">
      <c r="A155" t="s">
        <v>287</v>
      </c>
      <c r="B155">
        <v>23</v>
      </c>
      <c r="C155">
        <v>12</v>
      </c>
      <c r="D155" t="s">
        <v>190</v>
      </c>
      <c r="E155" t="s">
        <v>86</v>
      </c>
      <c r="F155" t="s">
        <v>56</v>
      </c>
      <c r="G155">
        <v>13</v>
      </c>
      <c r="H155">
        <v>12</v>
      </c>
      <c r="I155">
        <v>11</v>
      </c>
      <c r="J155" t="s">
        <v>201</v>
      </c>
      <c r="K155">
        <v>88.331999999999994</v>
      </c>
      <c r="L155">
        <v>22.91</v>
      </c>
      <c r="M155">
        <v>23.670999999999999</v>
      </c>
      <c r="N155">
        <v>14.317</v>
      </c>
      <c r="O155">
        <v>27.434000000000001</v>
      </c>
      <c r="P155">
        <v>350.6</v>
      </c>
      <c r="Q155">
        <v>983.64300000000003</v>
      </c>
      <c r="R155" t="b">
        <v>0</v>
      </c>
      <c r="S155" t="b">
        <v>0</v>
      </c>
      <c r="T155" t="b">
        <v>0</v>
      </c>
    </row>
    <row r="156" spans="1:20" x14ac:dyDescent="0.3">
      <c r="A156" t="s">
        <v>287</v>
      </c>
      <c r="B156">
        <v>23</v>
      </c>
      <c r="C156">
        <v>12</v>
      </c>
      <c r="D156" t="s">
        <v>190</v>
      </c>
      <c r="E156" t="s">
        <v>86</v>
      </c>
      <c r="F156" t="s">
        <v>56</v>
      </c>
      <c r="G156">
        <v>13</v>
      </c>
      <c r="H156">
        <v>12</v>
      </c>
      <c r="I156">
        <v>12</v>
      </c>
      <c r="J156" t="s">
        <v>202</v>
      </c>
      <c r="K156">
        <v>88.414000000000001</v>
      </c>
      <c r="L156">
        <v>22.949000000000002</v>
      </c>
      <c r="M156">
        <v>23.707999999999998</v>
      </c>
      <c r="N156">
        <v>14.25</v>
      </c>
      <c r="O156">
        <v>27.507000000000001</v>
      </c>
      <c r="P156">
        <v>354.1</v>
      </c>
      <c r="Q156">
        <v>1072.057</v>
      </c>
      <c r="R156" t="b">
        <v>0</v>
      </c>
      <c r="S156" t="b">
        <v>0</v>
      </c>
      <c r="T156" t="b">
        <v>0</v>
      </c>
    </row>
    <row r="157" spans="1:20" x14ac:dyDescent="0.3">
      <c r="A157" t="s">
        <v>287</v>
      </c>
      <c r="B157">
        <v>23</v>
      </c>
      <c r="C157">
        <v>12</v>
      </c>
      <c r="D157" t="s">
        <v>190</v>
      </c>
      <c r="E157" t="s">
        <v>86</v>
      </c>
      <c r="F157" t="s">
        <v>56</v>
      </c>
      <c r="G157">
        <v>13</v>
      </c>
      <c r="H157">
        <v>12</v>
      </c>
      <c r="I157">
        <v>13</v>
      </c>
      <c r="J157" t="s">
        <v>184</v>
      </c>
      <c r="K157">
        <v>88.790999999999997</v>
      </c>
      <c r="L157">
        <v>23.193000000000001</v>
      </c>
      <c r="M157">
        <v>23.774999999999999</v>
      </c>
      <c r="N157">
        <v>14.247999999999999</v>
      </c>
      <c r="O157">
        <v>27.574999999999999</v>
      </c>
      <c r="P157">
        <v>352.9</v>
      </c>
      <c r="Q157">
        <v>1160.848</v>
      </c>
      <c r="R157" t="b">
        <v>0</v>
      </c>
      <c r="S157" t="b">
        <v>0</v>
      </c>
      <c r="T157" t="b">
        <v>0</v>
      </c>
    </row>
    <row r="158" spans="1:20" x14ac:dyDescent="0.3">
      <c r="A158" t="s">
        <v>288</v>
      </c>
      <c r="B158">
        <v>42</v>
      </c>
      <c r="C158">
        <v>13</v>
      </c>
      <c r="D158" t="s">
        <v>175</v>
      </c>
      <c r="E158" t="s">
        <v>131</v>
      </c>
      <c r="F158" t="s">
        <v>6</v>
      </c>
      <c r="G158">
        <v>13</v>
      </c>
      <c r="H158">
        <v>12</v>
      </c>
      <c r="I158">
        <v>1</v>
      </c>
      <c r="J158" t="s">
        <v>204</v>
      </c>
      <c r="K158">
        <v>97.847999999999999</v>
      </c>
      <c r="L158">
        <v>30.806999999999999</v>
      </c>
      <c r="M158">
        <v>24.672000000000001</v>
      </c>
      <c r="N158">
        <v>14.603999999999999</v>
      </c>
      <c r="O158">
        <v>27.765000000000001</v>
      </c>
      <c r="P158">
        <v>261.7</v>
      </c>
      <c r="Q158">
        <v>97.847999999999999</v>
      </c>
      <c r="R158" t="b">
        <v>0</v>
      </c>
      <c r="S158" t="b">
        <v>0</v>
      </c>
      <c r="T158" t="b">
        <v>0</v>
      </c>
    </row>
    <row r="159" spans="1:20" x14ac:dyDescent="0.3">
      <c r="A159" t="s">
        <v>288</v>
      </c>
      <c r="B159">
        <v>42</v>
      </c>
      <c r="C159">
        <v>13</v>
      </c>
      <c r="D159" t="s">
        <v>175</v>
      </c>
      <c r="E159" t="s">
        <v>131</v>
      </c>
      <c r="F159" t="s">
        <v>6</v>
      </c>
      <c r="G159">
        <v>13</v>
      </c>
      <c r="H159">
        <v>12</v>
      </c>
      <c r="I159">
        <v>2</v>
      </c>
      <c r="J159" t="s">
        <v>205</v>
      </c>
      <c r="K159">
        <v>89.995000000000005</v>
      </c>
      <c r="L159">
        <v>23.774000000000001</v>
      </c>
      <c r="M159">
        <v>24.148</v>
      </c>
      <c r="N159">
        <v>14.566000000000001</v>
      </c>
      <c r="O159">
        <v>27.507000000000001</v>
      </c>
      <c r="P159">
        <v>321.5</v>
      </c>
      <c r="Q159">
        <v>187.84299999999999</v>
      </c>
      <c r="R159" t="b">
        <v>0</v>
      </c>
      <c r="S159" t="b">
        <v>0</v>
      </c>
      <c r="T159" t="b">
        <v>0</v>
      </c>
    </row>
    <row r="160" spans="1:20" x14ac:dyDescent="0.3">
      <c r="A160" t="s">
        <v>288</v>
      </c>
      <c r="B160">
        <v>42</v>
      </c>
      <c r="C160">
        <v>13</v>
      </c>
      <c r="D160" t="s">
        <v>175</v>
      </c>
      <c r="E160" t="s">
        <v>131</v>
      </c>
      <c r="F160" t="s">
        <v>6</v>
      </c>
      <c r="G160">
        <v>13</v>
      </c>
      <c r="H160">
        <v>12</v>
      </c>
      <c r="I160">
        <v>3</v>
      </c>
      <c r="J160" t="s">
        <v>206</v>
      </c>
      <c r="K160">
        <v>88.825999999999993</v>
      </c>
      <c r="L160">
        <v>23.13</v>
      </c>
      <c r="M160">
        <v>23.966999999999999</v>
      </c>
      <c r="N160">
        <v>14.317</v>
      </c>
      <c r="O160">
        <v>27.411999999999999</v>
      </c>
      <c r="P160">
        <v>342.9</v>
      </c>
      <c r="Q160">
        <v>276.66899999999998</v>
      </c>
      <c r="R160" t="b">
        <v>0</v>
      </c>
      <c r="S160" t="b">
        <v>0</v>
      </c>
      <c r="T160" t="b">
        <v>0</v>
      </c>
    </row>
    <row r="161" spans="1:20" x14ac:dyDescent="0.3">
      <c r="A161" t="s">
        <v>288</v>
      </c>
      <c r="B161">
        <v>42</v>
      </c>
      <c r="C161">
        <v>13</v>
      </c>
      <c r="D161" t="s">
        <v>175</v>
      </c>
      <c r="E161" t="s">
        <v>131</v>
      </c>
      <c r="F161" t="s">
        <v>6</v>
      </c>
      <c r="G161">
        <v>13</v>
      </c>
      <c r="H161">
        <v>12</v>
      </c>
      <c r="I161">
        <v>4</v>
      </c>
      <c r="J161" t="s">
        <v>207</v>
      </c>
      <c r="K161">
        <v>88.466999999999999</v>
      </c>
      <c r="L161">
        <v>23.125</v>
      </c>
      <c r="M161">
        <v>23.588000000000001</v>
      </c>
      <c r="N161">
        <v>14.260999999999999</v>
      </c>
      <c r="O161">
        <v>27.492999999999999</v>
      </c>
      <c r="P161">
        <v>344</v>
      </c>
      <c r="Q161">
        <v>365.13600000000002</v>
      </c>
      <c r="R161" t="b">
        <v>0</v>
      </c>
      <c r="S161" t="b">
        <v>0</v>
      </c>
      <c r="T161" t="b">
        <v>0</v>
      </c>
    </row>
    <row r="162" spans="1:20" x14ac:dyDescent="0.3">
      <c r="A162" t="s">
        <v>288</v>
      </c>
      <c r="B162">
        <v>42</v>
      </c>
      <c r="C162">
        <v>13</v>
      </c>
      <c r="D162" t="s">
        <v>175</v>
      </c>
      <c r="E162" t="s">
        <v>131</v>
      </c>
      <c r="F162" t="s">
        <v>6</v>
      </c>
      <c r="G162">
        <v>13</v>
      </c>
      <c r="H162">
        <v>12</v>
      </c>
      <c r="I162">
        <v>5</v>
      </c>
      <c r="J162" t="s">
        <v>128</v>
      </c>
      <c r="K162">
        <v>88.585999999999999</v>
      </c>
      <c r="L162">
        <v>22.931999999999999</v>
      </c>
      <c r="M162">
        <v>23.712</v>
      </c>
      <c r="N162">
        <v>14.329000000000001</v>
      </c>
      <c r="O162">
        <v>27.613</v>
      </c>
      <c r="P162">
        <v>346.1</v>
      </c>
      <c r="Q162">
        <v>453.72199999999998</v>
      </c>
      <c r="R162" t="b">
        <v>0</v>
      </c>
      <c r="S162" t="b">
        <v>0</v>
      </c>
      <c r="T162" t="b">
        <v>0</v>
      </c>
    </row>
    <row r="163" spans="1:20" x14ac:dyDescent="0.3">
      <c r="A163" t="s">
        <v>288</v>
      </c>
      <c r="B163">
        <v>42</v>
      </c>
      <c r="C163">
        <v>13</v>
      </c>
      <c r="D163" t="s">
        <v>175</v>
      </c>
      <c r="E163" t="s">
        <v>131</v>
      </c>
      <c r="F163" t="s">
        <v>6</v>
      </c>
      <c r="G163">
        <v>13</v>
      </c>
      <c r="H163">
        <v>12</v>
      </c>
      <c r="I163">
        <v>6</v>
      </c>
      <c r="J163" t="s">
        <v>208</v>
      </c>
      <c r="K163">
        <v>88.494</v>
      </c>
      <c r="L163">
        <v>23.114000000000001</v>
      </c>
      <c r="M163">
        <v>23.645</v>
      </c>
      <c r="N163">
        <v>14.196999999999999</v>
      </c>
      <c r="O163">
        <v>27.538</v>
      </c>
      <c r="P163">
        <v>339.6</v>
      </c>
      <c r="Q163">
        <v>542.21600000000001</v>
      </c>
      <c r="R163" t="b">
        <v>0</v>
      </c>
      <c r="S163" t="b">
        <v>0</v>
      </c>
      <c r="T163" t="b">
        <v>0</v>
      </c>
    </row>
    <row r="164" spans="1:20" x14ac:dyDescent="0.3">
      <c r="A164" t="s">
        <v>288</v>
      </c>
      <c r="B164">
        <v>42</v>
      </c>
      <c r="C164">
        <v>13</v>
      </c>
      <c r="D164" t="s">
        <v>175</v>
      </c>
      <c r="E164" t="s">
        <v>131</v>
      </c>
      <c r="F164" t="s">
        <v>6</v>
      </c>
      <c r="G164">
        <v>13</v>
      </c>
      <c r="H164">
        <v>12</v>
      </c>
      <c r="I164">
        <v>7</v>
      </c>
      <c r="J164" t="s">
        <v>209</v>
      </c>
      <c r="K164">
        <v>88.266000000000005</v>
      </c>
      <c r="L164">
        <v>23.021000000000001</v>
      </c>
      <c r="M164">
        <v>23.52</v>
      </c>
      <c r="N164">
        <v>14.250999999999999</v>
      </c>
      <c r="O164">
        <v>27.474</v>
      </c>
      <c r="P164">
        <v>340.7</v>
      </c>
      <c r="Q164">
        <v>630.48199999999997</v>
      </c>
      <c r="R164" t="b">
        <v>0</v>
      </c>
      <c r="S164" t="b">
        <v>0</v>
      </c>
      <c r="T164" t="b">
        <v>0</v>
      </c>
    </row>
    <row r="165" spans="1:20" x14ac:dyDescent="0.3">
      <c r="A165" t="s">
        <v>288</v>
      </c>
      <c r="B165">
        <v>42</v>
      </c>
      <c r="C165">
        <v>13</v>
      </c>
      <c r="D165" t="s">
        <v>175</v>
      </c>
      <c r="E165" t="s">
        <v>131</v>
      </c>
      <c r="F165" t="s">
        <v>6</v>
      </c>
      <c r="G165">
        <v>13</v>
      </c>
      <c r="H165">
        <v>12</v>
      </c>
      <c r="I165">
        <v>8</v>
      </c>
      <c r="J165" t="s">
        <v>201</v>
      </c>
      <c r="K165">
        <v>88.331999999999994</v>
      </c>
      <c r="L165">
        <v>22.945</v>
      </c>
      <c r="M165">
        <v>23.623999999999999</v>
      </c>
      <c r="N165">
        <v>14.374000000000001</v>
      </c>
      <c r="O165">
        <v>27.388999999999999</v>
      </c>
      <c r="P165">
        <v>344</v>
      </c>
      <c r="Q165">
        <v>718.81399999999996</v>
      </c>
      <c r="R165" t="b">
        <v>0</v>
      </c>
      <c r="S165" t="b">
        <v>0</v>
      </c>
      <c r="T165" t="b">
        <v>0</v>
      </c>
    </row>
    <row r="166" spans="1:20" x14ac:dyDescent="0.3">
      <c r="A166" t="s">
        <v>288</v>
      </c>
      <c r="B166">
        <v>42</v>
      </c>
      <c r="C166">
        <v>13</v>
      </c>
      <c r="D166" t="s">
        <v>175</v>
      </c>
      <c r="E166" t="s">
        <v>131</v>
      </c>
      <c r="F166" t="s">
        <v>6</v>
      </c>
      <c r="G166">
        <v>13</v>
      </c>
      <c r="H166">
        <v>12</v>
      </c>
      <c r="I166">
        <v>9</v>
      </c>
      <c r="J166" t="s">
        <v>210</v>
      </c>
      <c r="K166">
        <v>88.15</v>
      </c>
      <c r="L166">
        <v>22.957999999999998</v>
      </c>
      <c r="M166">
        <v>23.588999999999999</v>
      </c>
      <c r="N166">
        <v>14.276999999999999</v>
      </c>
      <c r="O166">
        <v>27.326000000000001</v>
      </c>
      <c r="P166">
        <v>344</v>
      </c>
      <c r="Q166">
        <v>806.96400000000006</v>
      </c>
      <c r="R166" t="b">
        <v>0</v>
      </c>
      <c r="S166" t="b">
        <v>0</v>
      </c>
      <c r="T166" t="b">
        <v>0</v>
      </c>
    </row>
    <row r="167" spans="1:20" x14ac:dyDescent="0.3">
      <c r="A167" t="s">
        <v>288</v>
      </c>
      <c r="B167">
        <v>42</v>
      </c>
      <c r="C167">
        <v>13</v>
      </c>
      <c r="D167" t="s">
        <v>175</v>
      </c>
      <c r="E167" t="s">
        <v>131</v>
      </c>
      <c r="F167" t="s">
        <v>6</v>
      </c>
      <c r="G167">
        <v>13</v>
      </c>
      <c r="H167">
        <v>12</v>
      </c>
      <c r="I167">
        <v>10</v>
      </c>
      <c r="J167" t="s">
        <v>27</v>
      </c>
      <c r="K167">
        <v>88.385999999999996</v>
      </c>
      <c r="L167">
        <v>22.954999999999998</v>
      </c>
      <c r="M167">
        <v>23.655999999999999</v>
      </c>
      <c r="N167">
        <v>14.337999999999999</v>
      </c>
      <c r="O167">
        <v>27.437000000000001</v>
      </c>
      <c r="P167">
        <v>346.1</v>
      </c>
      <c r="Q167">
        <v>895.35</v>
      </c>
      <c r="R167" t="b">
        <v>0</v>
      </c>
      <c r="S167" t="b">
        <v>0</v>
      </c>
      <c r="T167" t="b">
        <v>0</v>
      </c>
    </row>
    <row r="168" spans="1:20" x14ac:dyDescent="0.3">
      <c r="A168" t="s">
        <v>288</v>
      </c>
      <c r="B168">
        <v>42</v>
      </c>
      <c r="C168">
        <v>13</v>
      </c>
      <c r="D168" t="s">
        <v>175</v>
      </c>
      <c r="E168" t="s">
        <v>131</v>
      </c>
      <c r="F168" t="s">
        <v>6</v>
      </c>
      <c r="G168">
        <v>13</v>
      </c>
      <c r="H168">
        <v>12</v>
      </c>
      <c r="I168">
        <v>11</v>
      </c>
      <c r="J168" t="s">
        <v>211</v>
      </c>
      <c r="K168">
        <v>88.335999999999999</v>
      </c>
      <c r="L168">
        <v>22.925999999999998</v>
      </c>
      <c r="M168">
        <v>23.690999999999999</v>
      </c>
      <c r="N168">
        <v>14.366</v>
      </c>
      <c r="O168">
        <v>27.353000000000002</v>
      </c>
      <c r="P168">
        <v>342.9</v>
      </c>
      <c r="Q168">
        <v>983.68600000000004</v>
      </c>
      <c r="R168" t="b">
        <v>0</v>
      </c>
      <c r="S168" t="b">
        <v>0</v>
      </c>
      <c r="T168" t="b">
        <v>0</v>
      </c>
    </row>
    <row r="169" spans="1:20" x14ac:dyDescent="0.3">
      <c r="A169" t="s">
        <v>288</v>
      </c>
      <c r="B169">
        <v>42</v>
      </c>
      <c r="C169">
        <v>13</v>
      </c>
      <c r="D169" t="s">
        <v>175</v>
      </c>
      <c r="E169" t="s">
        <v>131</v>
      </c>
      <c r="F169" t="s">
        <v>6</v>
      </c>
      <c r="G169">
        <v>13</v>
      </c>
      <c r="H169">
        <v>12</v>
      </c>
      <c r="I169">
        <v>12</v>
      </c>
      <c r="J169" t="s">
        <v>126</v>
      </c>
      <c r="K169">
        <v>88.576999999999998</v>
      </c>
      <c r="L169">
        <v>23.085999999999999</v>
      </c>
      <c r="M169">
        <v>23.81</v>
      </c>
      <c r="N169">
        <v>14.263999999999999</v>
      </c>
      <c r="O169">
        <v>27.417000000000002</v>
      </c>
      <c r="P169">
        <v>334.4</v>
      </c>
      <c r="Q169">
        <v>1072.2629999999999</v>
      </c>
      <c r="R169" t="b">
        <v>0</v>
      </c>
      <c r="S169" t="b">
        <v>0</v>
      </c>
      <c r="T169" t="b">
        <v>0</v>
      </c>
    </row>
    <row r="170" spans="1:20" x14ac:dyDescent="0.3">
      <c r="A170" t="s">
        <v>288</v>
      </c>
      <c r="B170">
        <v>42</v>
      </c>
      <c r="C170">
        <v>13</v>
      </c>
      <c r="D170" t="s">
        <v>175</v>
      </c>
      <c r="E170" t="s">
        <v>131</v>
      </c>
      <c r="F170" t="s">
        <v>6</v>
      </c>
      <c r="G170">
        <v>13</v>
      </c>
      <c r="H170">
        <v>12</v>
      </c>
      <c r="I170">
        <v>13</v>
      </c>
      <c r="J170" t="s">
        <v>212</v>
      </c>
      <c r="K170">
        <v>88.715999999999994</v>
      </c>
      <c r="L170">
        <v>23.102</v>
      </c>
      <c r="M170">
        <v>23.809000000000001</v>
      </c>
      <c r="N170">
        <v>14.236000000000001</v>
      </c>
      <c r="O170">
        <v>27.568999999999999</v>
      </c>
      <c r="P170">
        <v>346.1</v>
      </c>
      <c r="Q170">
        <v>1160.979</v>
      </c>
      <c r="R170" t="b">
        <v>0</v>
      </c>
      <c r="S170" t="b">
        <v>0</v>
      </c>
      <c r="T170" t="b">
        <v>0</v>
      </c>
    </row>
    <row r="171" spans="1:20" x14ac:dyDescent="0.3">
      <c r="A171" t="s">
        <v>289</v>
      </c>
      <c r="B171">
        <v>21</v>
      </c>
      <c r="C171">
        <v>14</v>
      </c>
      <c r="D171" t="s">
        <v>55</v>
      </c>
      <c r="E171" t="s">
        <v>4</v>
      </c>
      <c r="F171" t="s">
        <v>56</v>
      </c>
      <c r="G171">
        <v>13</v>
      </c>
      <c r="H171">
        <v>12</v>
      </c>
      <c r="I171">
        <v>1</v>
      </c>
      <c r="J171" t="s">
        <v>214</v>
      </c>
      <c r="K171">
        <v>97.683000000000007</v>
      </c>
      <c r="L171">
        <v>30.745000000000001</v>
      </c>
      <c r="M171">
        <v>24.666</v>
      </c>
      <c r="N171">
        <v>14.554</v>
      </c>
      <c r="O171">
        <v>27.718</v>
      </c>
      <c r="P171">
        <v>264.2</v>
      </c>
      <c r="Q171">
        <v>97.683000000000007</v>
      </c>
      <c r="R171" t="b">
        <v>0</v>
      </c>
      <c r="S171" t="b">
        <v>0</v>
      </c>
      <c r="T171" t="b">
        <v>0</v>
      </c>
    </row>
    <row r="172" spans="1:20" x14ac:dyDescent="0.3">
      <c r="A172" t="s">
        <v>289</v>
      </c>
      <c r="B172">
        <v>21</v>
      </c>
      <c r="C172">
        <v>14</v>
      </c>
      <c r="D172" t="s">
        <v>55</v>
      </c>
      <c r="E172" t="s">
        <v>4</v>
      </c>
      <c r="F172" t="s">
        <v>56</v>
      </c>
      <c r="G172">
        <v>13</v>
      </c>
      <c r="H172">
        <v>12</v>
      </c>
      <c r="I172">
        <v>2</v>
      </c>
      <c r="J172" t="s">
        <v>215</v>
      </c>
      <c r="K172">
        <v>89.304000000000002</v>
      </c>
      <c r="L172">
        <v>23.614999999999998</v>
      </c>
      <c r="M172">
        <v>23.760999999999999</v>
      </c>
      <c r="N172">
        <v>14.435</v>
      </c>
      <c r="O172">
        <v>27.492999999999999</v>
      </c>
      <c r="P172">
        <v>321.5</v>
      </c>
      <c r="Q172">
        <v>186.98699999999999</v>
      </c>
      <c r="R172" t="b">
        <v>0</v>
      </c>
      <c r="S172" t="b">
        <v>0</v>
      </c>
      <c r="T172" t="b">
        <v>0</v>
      </c>
    </row>
    <row r="173" spans="1:20" x14ac:dyDescent="0.3">
      <c r="A173" t="s">
        <v>289</v>
      </c>
      <c r="B173">
        <v>21</v>
      </c>
      <c r="C173">
        <v>14</v>
      </c>
      <c r="D173" t="s">
        <v>55</v>
      </c>
      <c r="E173" t="s">
        <v>4</v>
      </c>
      <c r="F173" t="s">
        <v>56</v>
      </c>
      <c r="G173">
        <v>13</v>
      </c>
      <c r="H173">
        <v>12</v>
      </c>
      <c r="I173">
        <v>3</v>
      </c>
      <c r="J173" t="s">
        <v>216</v>
      </c>
      <c r="K173">
        <v>89.65</v>
      </c>
      <c r="L173">
        <v>23.638999999999999</v>
      </c>
      <c r="M173">
        <v>23.975999999999999</v>
      </c>
      <c r="N173">
        <v>14.52</v>
      </c>
      <c r="O173">
        <v>27.515000000000001</v>
      </c>
      <c r="P173">
        <v>325.39999999999998</v>
      </c>
      <c r="Q173">
        <v>276.637</v>
      </c>
      <c r="R173" t="b">
        <v>0</v>
      </c>
      <c r="S173" t="b">
        <v>0</v>
      </c>
      <c r="T173" t="b">
        <v>0</v>
      </c>
    </row>
    <row r="174" spans="1:20" x14ac:dyDescent="0.3">
      <c r="A174" t="s">
        <v>289</v>
      </c>
      <c r="B174">
        <v>21</v>
      </c>
      <c r="C174">
        <v>14</v>
      </c>
      <c r="D174" t="s">
        <v>55</v>
      </c>
      <c r="E174" t="s">
        <v>4</v>
      </c>
      <c r="F174" t="s">
        <v>56</v>
      </c>
      <c r="G174">
        <v>13</v>
      </c>
      <c r="H174">
        <v>12</v>
      </c>
      <c r="I174">
        <v>4</v>
      </c>
      <c r="J174" t="s">
        <v>217</v>
      </c>
      <c r="K174">
        <v>89.344999999999999</v>
      </c>
      <c r="L174">
        <v>23.605</v>
      </c>
      <c r="M174">
        <v>23.823</v>
      </c>
      <c r="N174">
        <v>14.426</v>
      </c>
      <c r="O174">
        <v>27.491</v>
      </c>
      <c r="P174">
        <v>332.3</v>
      </c>
      <c r="Q174">
        <v>365.98200000000003</v>
      </c>
      <c r="R174" t="b">
        <v>0</v>
      </c>
      <c r="S174" t="b">
        <v>0</v>
      </c>
      <c r="T174" t="b">
        <v>0</v>
      </c>
    </row>
    <row r="175" spans="1:20" x14ac:dyDescent="0.3">
      <c r="A175" t="s">
        <v>289</v>
      </c>
      <c r="B175">
        <v>21</v>
      </c>
      <c r="C175">
        <v>14</v>
      </c>
      <c r="D175" t="s">
        <v>55</v>
      </c>
      <c r="E175" t="s">
        <v>4</v>
      </c>
      <c r="F175" t="s">
        <v>56</v>
      </c>
      <c r="G175">
        <v>13</v>
      </c>
      <c r="H175">
        <v>12</v>
      </c>
      <c r="I175">
        <v>5</v>
      </c>
      <c r="J175" t="s">
        <v>218</v>
      </c>
      <c r="K175">
        <v>89.061999999999998</v>
      </c>
      <c r="L175">
        <v>23.367999999999999</v>
      </c>
      <c r="M175">
        <v>23.7</v>
      </c>
      <c r="N175">
        <v>14.403</v>
      </c>
      <c r="O175">
        <v>27.591000000000001</v>
      </c>
      <c r="P175">
        <v>332.3</v>
      </c>
      <c r="Q175">
        <v>455.04399999999998</v>
      </c>
      <c r="R175" t="b">
        <v>0</v>
      </c>
      <c r="S175" t="b">
        <v>0</v>
      </c>
      <c r="T175" t="b">
        <v>0</v>
      </c>
    </row>
    <row r="176" spans="1:20" x14ac:dyDescent="0.3">
      <c r="A176" t="s">
        <v>289</v>
      </c>
      <c r="B176">
        <v>21</v>
      </c>
      <c r="C176">
        <v>14</v>
      </c>
      <c r="D176" t="s">
        <v>55</v>
      </c>
      <c r="E176" t="s">
        <v>4</v>
      </c>
      <c r="F176" t="s">
        <v>56</v>
      </c>
      <c r="G176">
        <v>13</v>
      </c>
      <c r="H176">
        <v>12</v>
      </c>
      <c r="I176">
        <v>6</v>
      </c>
      <c r="J176" t="s">
        <v>219</v>
      </c>
      <c r="K176">
        <v>89.097999999999999</v>
      </c>
      <c r="L176">
        <v>23.581</v>
      </c>
      <c r="M176">
        <v>23.588999999999999</v>
      </c>
      <c r="N176">
        <v>14.349</v>
      </c>
      <c r="O176">
        <v>27.579000000000001</v>
      </c>
      <c r="P176">
        <v>328.3</v>
      </c>
      <c r="Q176">
        <v>544.14200000000005</v>
      </c>
      <c r="R176" t="b">
        <v>0</v>
      </c>
      <c r="S176" t="b">
        <v>0</v>
      </c>
      <c r="T176" t="b">
        <v>0</v>
      </c>
    </row>
    <row r="177" spans="1:20" x14ac:dyDescent="0.3">
      <c r="A177" t="s">
        <v>289</v>
      </c>
      <c r="B177">
        <v>21</v>
      </c>
      <c r="C177">
        <v>14</v>
      </c>
      <c r="D177" t="s">
        <v>55</v>
      </c>
      <c r="E177" t="s">
        <v>4</v>
      </c>
      <c r="F177" t="s">
        <v>56</v>
      </c>
      <c r="G177">
        <v>13</v>
      </c>
      <c r="H177">
        <v>12</v>
      </c>
      <c r="I177">
        <v>7</v>
      </c>
      <c r="J177" t="s">
        <v>220</v>
      </c>
      <c r="K177">
        <v>89.075000000000003</v>
      </c>
      <c r="L177">
        <v>23.356000000000002</v>
      </c>
      <c r="M177">
        <v>23.71</v>
      </c>
      <c r="N177">
        <v>14.442</v>
      </c>
      <c r="O177">
        <v>27.567</v>
      </c>
      <c r="P177">
        <v>339.6</v>
      </c>
      <c r="Q177">
        <v>633.21699999999998</v>
      </c>
      <c r="R177" t="b">
        <v>0</v>
      </c>
      <c r="S177" t="b">
        <v>0</v>
      </c>
      <c r="T177" t="b">
        <v>0</v>
      </c>
    </row>
    <row r="178" spans="1:20" x14ac:dyDescent="0.3">
      <c r="A178" t="s">
        <v>289</v>
      </c>
      <c r="B178">
        <v>21</v>
      </c>
      <c r="C178">
        <v>14</v>
      </c>
      <c r="D178" t="s">
        <v>55</v>
      </c>
      <c r="E178" t="s">
        <v>4</v>
      </c>
      <c r="F178" t="s">
        <v>56</v>
      </c>
      <c r="G178">
        <v>13</v>
      </c>
      <c r="H178">
        <v>12</v>
      </c>
      <c r="I178">
        <v>8</v>
      </c>
      <c r="J178" t="s">
        <v>221</v>
      </c>
      <c r="K178">
        <v>89.16</v>
      </c>
      <c r="L178">
        <v>23.297999999999998</v>
      </c>
      <c r="M178">
        <v>23.52</v>
      </c>
      <c r="N178">
        <v>14.768000000000001</v>
      </c>
      <c r="O178">
        <v>27.574000000000002</v>
      </c>
      <c r="P178">
        <v>336.5</v>
      </c>
      <c r="Q178">
        <v>722.37699999999995</v>
      </c>
      <c r="R178" t="b">
        <v>0</v>
      </c>
      <c r="S178" t="b">
        <v>0</v>
      </c>
      <c r="T178" t="b">
        <v>0</v>
      </c>
    </row>
    <row r="179" spans="1:20" x14ac:dyDescent="0.3">
      <c r="A179" t="s">
        <v>289</v>
      </c>
      <c r="B179">
        <v>21</v>
      </c>
      <c r="C179">
        <v>14</v>
      </c>
      <c r="D179" t="s">
        <v>55</v>
      </c>
      <c r="E179" t="s">
        <v>4</v>
      </c>
      <c r="F179" t="s">
        <v>56</v>
      </c>
      <c r="G179">
        <v>13</v>
      </c>
      <c r="H179">
        <v>12</v>
      </c>
      <c r="I179">
        <v>9</v>
      </c>
      <c r="J179" t="s">
        <v>222</v>
      </c>
      <c r="K179">
        <v>89.016000000000005</v>
      </c>
      <c r="L179">
        <v>23.501999999999999</v>
      </c>
      <c r="M179">
        <v>23.611999999999998</v>
      </c>
      <c r="N179">
        <v>14.32</v>
      </c>
      <c r="O179">
        <v>27.582000000000001</v>
      </c>
      <c r="P179">
        <v>337.5</v>
      </c>
      <c r="Q179">
        <v>811.39300000000003</v>
      </c>
      <c r="R179" t="b">
        <v>0</v>
      </c>
      <c r="S179" t="b">
        <v>0</v>
      </c>
      <c r="T179" t="b">
        <v>0</v>
      </c>
    </row>
    <row r="180" spans="1:20" x14ac:dyDescent="0.3">
      <c r="A180" t="s">
        <v>289</v>
      </c>
      <c r="B180">
        <v>21</v>
      </c>
      <c r="C180">
        <v>14</v>
      </c>
      <c r="D180" t="s">
        <v>55</v>
      </c>
      <c r="E180" t="s">
        <v>4</v>
      </c>
      <c r="F180" t="s">
        <v>56</v>
      </c>
      <c r="G180">
        <v>13</v>
      </c>
      <c r="H180">
        <v>12</v>
      </c>
      <c r="I180">
        <v>10</v>
      </c>
      <c r="J180" t="s">
        <v>223</v>
      </c>
      <c r="K180">
        <v>88.95</v>
      </c>
      <c r="L180">
        <v>23.39</v>
      </c>
      <c r="M180">
        <v>23.576000000000001</v>
      </c>
      <c r="N180">
        <v>14.337999999999999</v>
      </c>
      <c r="O180">
        <v>27.646000000000001</v>
      </c>
      <c r="P180">
        <v>337.5</v>
      </c>
      <c r="Q180">
        <v>900.34299999999996</v>
      </c>
      <c r="R180" t="b">
        <v>0</v>
      </c>
      <c r="S180" t="b">
        <v>0</v>
      </c>
      <c r="T180" t="b">
        <v>0</v>
      </c>
    </row>
    <row r="181" spans="1:20" x14ac:dyDescent="0.3">
      <c r="A181" t="s">
        <v>289</v>
      </c>
      <c r="B181">
        <v>21</v>
      </c>
      <c r="C181">
        <v>14</v>
      </c>
      <c r="D181" t="s">
        <v>55</v>
      </c>
      <c r="E181" t="s">
        <v>4</v>
      </c>
      <c r="F181" t="s">
        <v>56</v>
      </c>
      <c r="G181">
        <v>13</v>
      </c>
      <c r="H181">
        <v>12</v>
      </c>
      <c r="I181">
        <v>11</v>
      </c>
      <c r="J181" t="s">
        <v>223</v>
      </c>
      <c r="K181">
        <v>88.95</v>
      </c>
      <c r="L181">
        <v>23.402999999999999</v>
      </c>
      <c r="M181">
        <v>23.611999999999998</v>
      </c>
      <c r="N181">
        <v>14.331</v>
      </c>
      <c r="O181">
        <v>27.603999999999999</v>
      </c>
      <c r="P181">
        <v>339.6</v>
      </c>
      <c r="Q181">
        <v>989.29300000000001</v>
      </c>
      <c r="R181" t="b">
        <v>0</v>
      </c>
      <c r="S181" t="b">
        <v>0</v>
      </c>
      <c r="T181" t="b">
        <v>0</v>
      </c>
    </row>
    <row r="182" spans="1:20" x14ac:dyDescent="0.3">
      <c r="A182" t="s">
        <v>289</v>
      </c>
      <c r="B182">
        <v>21</v>
      </c>
      <c r="C182">
        <v>14</v>
      </c>
      <c r="D182" t="s">
        <v>55</v>
      </c>
      <c r="E182" t="s">
        <v>4</v>
      </c>
      <c r="F182" t="s">
        <v>56</v>
      </c>
      <c r="G182">
        <v>13</v>
      </c>
      <c r="H182">
        <v>12</v>
      </c>
      <c r="I182">
        <v>12</v>
      </c>
      <c r="J182" t="s">
        <v>224</v>
      </c>
      <c r="K182">
        <v>89.287000000000006</v>
      </c>
      <c r="L182">
        <v>23.667000000000002</v>
      </c>
      <c r="M182">
        <v>23.619</v>
      </c>
      <c r="N182">
        <v>14.305</v>
      </c>
      <c r="O182">
        <v>27.696000000000002</v>
      </c>
      <c r="P182">
        <v>338.6</v>
      </c>
      <c r="Q182">
        <v>1078.58</v>
      </c>
      <c r="R182" t="b">
        <v>0</v>
      </c>
      <c r="S182" t="b">
        <v>0</v>
      </c>
      <c r="T182" t="b">
        <v>0</v>
      </c>
    </row>
    <row r="183" spans="1:20" x14ac:dyDescent="0.3">
      <c r="A183" t="s">
        <v>289</v>
      </c>
      <c r="B183">
        <v>21</v>
      </c>
      <c r="C183">
        <v>14</v>
      </c>
      <c r="D183" t="s">
        <v>55</v>
      </c>
      <c r="E183" t="s">
        <v>4</v>
      </c>
      <c r="F183" t="s">
        <v>56</v>
      </c>
      <c r="G183">
        <v>13</v>
      </c>
      <c r="H183">
        <v>12</v>
      </c>
      <c r="I183">
        <v>13</v>
      </c>
      <c r="J183" t="s">
        <v>225</v>
      </c>
      <c r="K183">
        <v>89.108000000000004</v>
      </c>
      <c r="L183">
        <v>23.452000000000002</v>
      </c>
      <c r="M183">
        <v>23.559000000000001</v>
      </c>
      <c r="N183">
        <v>14.364000000000001</v>
      </c>
      <c r="O183">
        <v>27.733000000000001</v>
      </c>
      <c r="P183">
        <v>338.6</v>
      </c>
      <c r="Q183">
        <v>1167.6880000000001</v>
      </c>
      <c r="R183" t="b">
        <v>0</v>
      </c>
      <c r="S183" t="b">
        <v>0</v>
      </c>
      <c r="T183" t="b">
        <v>0</v>
      </c>
    </row>
    <row r="184" spans="1:20" x14ac:dyDescent="0.3">
      <c r="A184" t="s">
        <v>290</v>
      </c>
      <c r="B184">
        <v>47</v>
      </c>
      <c r="C184">
        <v>15</v>
      </c>
      <c r="D184" t="s">
        <v>227</v>
      </c>
      <c r="E184" t="s">
        <v>131</v>
      </c>
      <c r="F184" t="s">
        <v>6</v>
      </c>
      <c r="G184">
        <v>13</v>
      </c>
      <c r="H184">
        <v>12</v>
      </c>
      <c r="I184">
        <v>1</v>
      </c>
      <c r="J184" t="s">
        <v>228</v>
      </c>
      <c r="K184">
        <v>97.638000000000005</v>
      </c>
      <c r="L184">
        <v>30.308</v>
      </c>
      <c r="M184">
        <v>24.939</v>
      </c>
      <c r="N184">
        <v>14.602</v>
      </c>
      <c r="O184">
        <v>27.789000000000001</v>
      </c>
      <c r="P184">
        <v>252</v>
      </c>
      <c r="Q184">
        <v>97.638000000000005</v>
      </c>
      <c r="R184" t="b">
        <v>0</v>
      </c>
      <c r="S184" t="b">
        <v>0</v>
      </c>
      <c r="T184" t="b">
        <v>0</v>
      </c>
    </row>
    <row r="185" spans="1:20" x14ac:dyDescent="0.3">
      <c r="A185" t="s">
        <v>290</v>
      </c>
      <c r="B185">
        <v>47</v>
      </c>
      <c r="C185">
        <v>15</v>
      </c>
      <c r="D185" t="s">
        <v>227</v>
      </c>
      <c r="E185" t="s">
        <v>131</v>
      </c>
      <c r="F185" t="s">
        <v>6</v>
      </c>
      <c r="G185">
        <v>13</v>
      </c>
      <c r="H185">
        <v>12</v>
      </c>
      <c r="I185">
        <v>2</v>
      </c>
      <c r="J185" t="s">
        <v>229</v>
      </c>
      <c r="K185">
        <v>90.647000000000006</v>
      </c>
      <c r="L185">
        <v>23.771999999999998</v>
      </c>
      <c r="M185">
        <v>24.265000000000001</v>
      </c>
      <c r="N185">
        <v>14.763</v>
      </c>
      <c r="O185">
        <v>27.847000000000001</v>
      </c>
      <c r="P185">
        <v>316.8</v>
      </c>
      <c r="Q185">
        <v>188.285</v>
      </c>
      <c r="R185" t="b">
        <v>0</v>
      </c>
      <c r="S185" t="b">
        <v>0</v>
      </c>
      <c r="T185" t="b">
        <v>0</v>
      </c>
    </row>
    <row r="186" spans="1:20" x14ac:dyDescent="0.3">
      <c r="A186" t="s">
        <v>290</v>
      </c>
      <c r="B186">
        <v>47</v>
      </c>
      <c r="C186">
        <v>15</v>
      </c>
      <c r="D186" t="s">
        <v>227</v>
      </c>
      <c r="E186" t="s">
        <v>131</v>
      </c>
      <c r="F186" t="s">
        <v>6</v>
      </c>
      <c r="G186">
        <v>13</v>
      </c>
      <c r="H186">
        <v>12</v>
      </c>
      <c r="I186">
        <v>3</v>
      </c>
      <c r="J186" t="s">
        <v>230</v>
      </c>
      <c r="K186">
        <v>90.143000000000001</v>
      </c>
      <c r="L186">
        <v>23.561</v>
      </c>
      <c r="M186">
        <v>24.006</v>
      </c>
      <c r="N186">
        <v>14.48</v>
      </c>
      <c r="O186">
        <v>28.096</v>
      </c>
      <c r="P186">
        <v>328.3</v>
      </c>
      <c r="Q186">
        <v>278.428</v>
      </c>
      <c r="R186" t="b">
        <v>0</v>
      </c>
      <c r="S186" t="b">
        <v>0</v>
      </c>
      <c r="T186" t="b">
        <v>0</v>
      </c>
    </row>
    <row r="187" spans="1:20" x14ac:dyDescent="0.3">
      <c r="A187" t="s">
        <v>290</v>
      </c>
      <c r="B187">
        <v>47</v>
      </c>
      <c r="C187">
        <v>15</v>
      </c>
      <c r="D187" t="s">
        <v>227</v>
      </c>
      <c r="E187" t="s">
        <v>131</v>
      </c>
      <c r="F187" t="s">
        <v>6</v>
      </c>
      <c r="G187">
        <v>13</v>
      </c>
      <c r="H187">
        <v>12</v>
      </c>
      <c r="I187">
        <v>4</v>
      </c>
      <c r="J187" t="s">
        <v>231</v>
      </c>
      <c r="K187">
        <v>90.222999999999999</v>
      </c>
      <c r="L187">
        <v>23.65</v>
      </c>
      <c r="M187">
        <v>23.994</v>
      </c>
      <c r="N187">
        <v>14.478</v>
      </c>
      <c r="O187">
        <v>28.100999999999999</v>
      </c>
      <c r="P187">
        <v>328.3</v>
      </c>
      <c r="Q187">
        <v>368.65100000000001</v>
      </c>
      <c r="R187" t="b">
        <v>0</v>
      </c>
      <c r="S187" t="b">
        <v>0</v>
      </c>
      <c r="T187" t="b">
        <v>0</v>
      </c>
    </row>
    <row r="188" spans="1:20" x14ac:dyDescent="0.3">
      <c r="A188" t="s">
        <v>290</v>
      </c>
      <c r="B188">
        <v>47</v>
      </c>
      <c r="C188">
        <v>15</v>
      </c>
      <c r="D188" t="s">
        <v>227</v>
      </c>
      <c r="E188" t="s">
        <v>131</v>
      </c>
      <c r="F188" t="s">
        <v>6</v>
      </c>
      <c r="G188">
        <v>13</v>
      </c>
      <c r="H188">
        <v>12</v>
      </c>
      <c r="I188">
        <v>5</v>
      </c>
      <c r="J188" t="s">
        <v>232</v>
      </c>
      <c r="K188">
        <v>90.111999999999995</v>
      </c>
      <c r="L188">
        <v>23.562999999999999</v>
      </c>
      <c r="M188">
        <v>23.988</v>
      </c>
      <c r="N188">
        <v>14.548999999999999</v>
      </c>
      <c r="O188">
        <v>28.012</v>
      </c>
      <c r="P188">
        <v>330.3</v>
      </c>
      <c r="Q188">
        <v>458.76299999999998</v>
      </c>
      <c r="R188" t="b">
        <v>0</v>
      </c>
      <c r="S188" t="b">
        <v>0</v>
      </c>
      <c r="T188" t="b">
        <v>0</v>
      </c>
    </row>
    <row r="189" spans="1:20" x14ac:dyDescent="0.3">
      <c r="A189" t="s">
        <v>290</v>
      </c>
      <c r="B189">
        <v>47</v>
      </c>
      <c r="C189">
        <v>15</v>
      </c>
      <c r="D189" t="s">
        <v>227</v>
      </c>
      <c r="E189" t="s">
        <v>131</v>
      </c>
      <c r="F189" t="s">
        <v>6</v>
      </c>
      <c r="G189">
        <v>13</v>
      </c>
      <c r="H189">
        <v>12</v>
      </c>
      <c r="I189">
        <v>6</v>
      </c>
      <c r="J189" t="s">
        <v>233</v>
      </c>
      <c r="K189">
        <v>90.411000000000001</v>
      </c>
      <c r="L189">
        <v>23.677</v>
      </c>
      <c r="M189">
        <v>24.100999999999999</v>
      </c>
      <c r="N189">
        <v>14.536</v>
      </c>
      <c r="O189">
        <v>28.097000000000001</v>
      </c>
      <c r="P189">
        <v>333.4</v>
      </c>
      <c r="Q189">
        <v>549.17399999999998</v>
      </c>
      <c r="R189" t="b">
        <v>0</v>
      </c>
      <c r="S189" t="b">
        <v>0</v>
      </c>
      <c r="T189" t="b">
        <v>0</v>
      </c>
    </row>
    <row r="190" spans="1:20" x14ac:dyDescent="0.3">
      <c r="A190" t="s">
        <v>290</v>
      </c>
      <c r="B190">
        <v>47</v>
      </c>
      <c r="C190">
        <v>15</v>
      </c>
      <c r="D190" t="s">
        <v>227</v>
      </c>
      <c r="E190" t="s">
        <v>131</v>
      </c>
      <c r="F190" t="s">
        <v>6</v>
      </c>
      <c r="G190">
        <v>13</v>
      </c>
      <c r="H190">
        <v>12</v>
      </c>
      <c r="I190">
        <v>7</v>
      </c>
      <c r="J190" t="s">
        <v>234</v>
      </c>
      <c r="K190">
        <v>90.784000000000006</v>
      </c>
      <c r="L190">
        <v>23.734000000000002</v>
      </c>
      <c r="M190">
        <v>24.065000000000001</v>
      </c>
      <c r="N190">
        <v>14.525</v>
      </c>
      <c r="O190">
        <v>28.46</v>
      </c>
      <c r="P190">
        <v>334.4</v>
      </c>
      <c r="Q190">
        <v>639.95799999999997</v>
      </c>
      <c r="R190" t="b">
        <v>0</v>
      </c>
      <c r="S190" t="b">
        <v>0</v>
      </c>
      <c r="T190" t="b">
        <v>0</v>
      </c>
    </row>
    <row r="191" spans="1:20" x14ac:dyDescent="0.3">
      <c r="A191" t="s">
        <v>290</v>
      </c>
      <c r="B191">
        <v>47</v>
      </c>
      <c r="C191">
        <v>15</v>
      </c>
      <c r="D191" t="s">
        <v>227</v>
      </c>
      <c r="E191" t="s">
        <v>131</v>
      </c>
      <c r="F191" t="s">
        <v>6</v>
      </c>
      <c r="G191">
        <v>13</v>
      </c>
      <c r="H191">
        <v>12</v>
      </c>
      <c r="I191">
        <v>8</v>
      </c>
      <c r="J191" t="s">
        <v>235</v>
      </c>
      <c r="K191">
        <v>90.843999999999994</v>
      </c>
      <c r="L191">
        <v>23.681999999999999</v>
      </c>
      <c r="M191">
        <v>24.056999999999999</v>
      </c>
      <c r="N191">
        <v>14.849</v>
      </c>
      <c r="O191">
        <v>28.256</v>
      </c>
      <c r="P191">
        <v>333.4</v>
      </c>
      <c r="Q191">
        <v>730.80200000000002</v>
      </c>
      <c r="R191" t="b">
        <v>0</v>
      </c>
      <c r="S191" t="b">
        <v>0</v>
      </c>
      <c r="T191" t="b">
        <v>0</v>
      </c>
    </row>
    <row r="192" spans="1:20" x14ac:dyDescent="0.3">
      <c r="A192" t="s">
        <v>290</v>
      </c>
      <c r="B192">
        <v>47</v>
      </c>
      <c r="C192">
        <v>15</v>
      </c>
      <c r="D192" t="s">
        <v>227</v>
      </c>
      <c r="E192" t="s">
        <v>131</v>
      </c>
      <c r="F192" t="s">
        <v>6</v>
      </c>
      <c r="G192">
        <v>13</v>
      </c>
      <c r="H192">
        <v>12</v>
      </c>
      <c r="I192">
        <v>9</v>
      </c>
      <c r="J192" t="s">
        <v>236</v>
      </c>
      <c r="K192">
        <v>90.911000000000001</v>
      </c>
      <c r="L192">
        <v>23.81</v>
      </c>
      <c r="M192">
        <v>24.187000000000001</v>
      </c>
      <c r="N192">
        <v>14.577</v>
      </c>
      <c r="O192">
        <v>28.337</v>
      </c>
      <c r="P192">
        <v>330.3</v>
      </c>
      <c r="Q192">
        <v>821.71299999999997</v>
      </c>
      <c r="R192" t="b">
        <v>0</v>
      </c>
      <c r="S192" t="b">
        <v>0</v>
      </c>
      <c r="T192" t="b">
        <v>0</v>
      </c>
    </row>
    <row r="193" spans="1:20" x14ac:dyDescent="0.3">
      <c r="A193" t="s">
        <v>290</v>
      </c>
      <c r="B193">
        <v>47</v>
      </c>
      <c r="C193">
        <v>15</v>
      </c>
      <c r="D193" t="s">
        <v>227</v>
      </c>
      <c r="E193" t="s">
        <v>131</v>
      </c>
      <c r="F193" t="s">
        <v>6</v>
      </c>
      <c r="G193">
        <v>13</v>
      </c>
      <c r="H193">
        <v>12</v>
      </c>
      <c r="I193">
        <v>10</v>
      </c>
      <c r="J193" t="s">
        <v>237</v>
      </c>
      <c r="K193">
        <v>91.210999999999999</v>
      </c>
      <c r="L193">
        <v>24.021999999999998</v>
      </c>
      <c r="M193">
        <v>24.221</v>
      </c>
      <c r="N193">
        <v>14.717000000000001</v>
      </c>
      <c r="O193">
        <v>28.251000000000001</v>
      </c>
      <c r="P193">
        <v>330.3</v>
      </c>
      <c r="Q193">
        <v>912.92399999999998</v>
      </c>
      <c r="R193" t="b">
        <v>0</v>
      </c>
      <c r="S193" t="b">
        <v>0</v>
      </c>
      <c r="T193" t="b">
        <v>0</v>
      </c>
    </row>
    <row r="194" spans="1:20" x14ac:dyDescent="0.3">
      <c r="A194" t="s">
        <v>290</v>
      </c>
      <c r="B194">
        <v>47</v>
      </c>
      <c r="C194">
        <v>15</v>
      </c>
      <c r="D194" t="s">
        <v>227</v>
      </c>
      <c r="E194" t="s">
        <v>131</v>
      </c>
      <c r="F194" t="s">
        <v>6</v>
      </c>
      <c r="G194">
        <v>13</v>
      </c>
      <c r="H194">
        <v>12</v>
      </c>
      <c r="I194">
        <v>11</v>
      </c>
      <c r="J194" t="s">
        <v>238</v>
      </c>
      <c r="K194">
        <v>91.143000000000001</v>
      </c>
      <c r="L194">
        <v>23.91</v>
      </c>
      <c r="M194">
        <v>24.276</v>
      </c>
      <c r="N194">
        <v>14.632999999999999</v>
      </c>
      <c r="O194">
        <v>28.324000000000002</v>
      </c>
      <c r="P194">
        <v>332.3</v>
      </c>
      <c r="Q194">
        <v>1004.067</v>
      </c>
      <c r="R194" t="b">
        <v>0</v>
      </c>
      <c r="S194" t="b">
        <v>0</v>
      </c>
      <c r="T194" t="b">
        <v>0</v>
      </c>
    </row>
    <row r="195" spans="1:20" x14ac:dyDescent="0.3">
      <c r="A195" t="s">
        <v>290</v>
      </c>
      <c r="B195">
        <v>47</v>
      </c>
      <c r="C195">
        <v>15</v>
      </c>
      <c r="D195" t="s">
        <v>227</v>
      </c>
      <c r="E195" t="s">
        <v>131</v>
      </c>
      <c r="F195" t="s">
        <v>6</v>
      </c>
      <c r="G195">
        <v>13</v>
      </c>
      <c r="H195">
        <v>12</v>
      </c>
      <c r="I195">
        <v>12</v>
      </c>
      <c r="J195" t="s">
        <v>239</v>
      </c>
      <c r="K195">
        <v>91.879000000000005</v>
      </c>
      <c r="L195">
        <v>24.123000000000001</v>
      </c>
      <c r="M195">
        <v>24.44</v>
      </c>
      <c r="N195">
        <v>14.811</v>
      </c>
      <c r="O195">
        <v>28.504999999999999</v>
      </c>
      <c r="P195">
        <v>331.3</v>
      </c>
      <c r="Q195">
        <v>1095.9459999999999</v>
      </c>
      <c r="R195" t="b">
        <v>0</v>
      </c>
      <c r="S195" t="b">
        <v>0</v>
      </c>
      <c r="T195" t="b">
        <v>0</v>
      </c>
    </row>
    <row r="196" spans="1:20" x14ac:dyDescent="0.3">
      <c r="A196" t="s">
        <v>290</v>
      </c>
      <c r="B196">
        <v>47</v>
      </c>
      <c r="C196">
        <v>15</v>
      </c>
      <c r="D196" t="s">
        <v>227</v>
      </c>
      <c r="E196" t="s">
        <v>131</v>
      </c>
      <c r="F196" t="s">
        <v>6</v>
      </c>
      <c r="G196">
        <v>13</v>
      </c>
      <c r="H196">
        <v>12</v>
      </c>
      <c r="I196">
        <v>13</v>
      </c>
      <c r="J196" t="s">
        <v>240</v>
      </c>
      <c r="K196">
        <v>91.41</v>
      </c>
      <c r="L196">
        <v>23.972999999999999</v>
      </c>
      <c r="M196">
        <v>24.321999999999999</v>
      </c>
      <c r="N196">
        <v>14.714</v>
      </c>
      <c r="O196">
        <v>28.401</v>
      </c>
      <c r="P196">
        <v>331.3</v>
      </c>
      <c r="Q196">
        <v>1187.356</v>
      </c>
      <c r="R196" t="b">
        <v>0</v>
      </c>
      <c r="S196" t="b">
        <v>0</v>
      </c>
      <c r="T196" t="b">
        <v>0</v>
      </c>
    </row>
    <row r="197" spans="1:20" x14ac:dyDescent="0.3">
      <c r="A197" t="s">
        <v>291</v>
      </c>
      <c r="B197">
        <v>25</v>
      </c>
      <c r="C197">
        <v>16</v>
      </c>
      <c r="D197" t="s">
        <v>100</v>
      </c>
      <c r="E197" t="s">
        <v>71</v>
      </c>
      <c r="F197" t="s">
        <v>6</v>
      </c>
      <c r="G197">
        <v>8</v>
      </c>
      <c r="H197">
        <v>7</v>
      </c>
      <c r="I197">
        <v>1</v>
      </c>
      <c r="J197" t="s">
        <v>242</v>
      </c>
      <c r="K197">
        <v>96.114000000000004</v>
      </c>
      <c r="L197">
        <v>29.742000000000001</v>
      </c>
      <c r="M197">
        <v>24.466000000000001</v>
      </c>
      <c r="N197">
        <v>14.343</v>
      </c>
      <c r="O197">
        <v>27.562999999999999</v>
      </c>
      <c r="P197">
        <v>247.9</v>
      </c>
      <c r="Q197">
        <v>96.114000000000004</v>
      </c>
      <c r="R197" t="b">
        <v>0</v>
      </c>
      <c r="S197" t="b">
        <v>0</v>
      </c>
      <c r="T197" t="b">
        <v>0</v>
      </c>
    </row>
    <row r="198" spans="1:20" x14ac:dyDescent="0.3">
      <c r="A198" t="s">
        <v>291</v>
      </c>
      <c r="B198">
        <v>25</v>
      </c>
      <c r="C198">
        <v>16</v>
      </c>
      <c r="D198" t="s">
        <v>100</v>
      </c>
      <c r="E198" t="s">
        <v>71</v>
      </c>
      <c r="F198" t="s">
        <v>6</v>
      </c>
      <c r="G198">
        <v>8</v>
      </c>
      <c r="H198">
        <v>7</v>
      </c>
      <c r="I198">
        <v>2</v>
      </c>
      <c r="J198" t="s">
        <v>243</v>
      </c>
      <c r="K198">
        <v>88.33</v>
      </c>
      <c r="L198">
        <v>23.332999999999998</v>
      </c>
      <c r="M198">
        <v>23.646000000000001</v>
      </c>
      <c r="N198">
        <v>14.138</v>
      </c>
      <c r="O198">
        <v>27.213000000000001</v>
      </c>
      <c r="P198">
        <v>339.6</v>
      </c>
      <c r="Q198">
        <v>184.44399999999999</v>
      </c>
      <c r="R198" t="b">
        <v>0</v>
      </c>
      <c r="S198" t="b">
        <v>0</v>
      </c>
      <c r="T198" t="b">
        <v>0</v>
      </c>
    </row>
    <row r="199" spans="1:20" x14ac:dyDescent="0.3">
      <c r="A199" t="s">
        <v>291</v>
      </c>
      <c r="B199">
        <v>25</v>
      </c>
      <c r="C199">
        <v>16</v>
      </c>
      <c r="D199" t="s">
        <v>100</v>
      </c>
      <c r="E199" t="s">
        <v>71</v>
      </c>
      <c r="F199" t="s">
        <v>6</v>
      </c>
      <c r="G199">
        <v>8</v>
      </c>
      <c r="H199">
        <v>7</v>
      </c>
      <c r="I199">
        <v>3</v>
      </c>
      <c r="J199" t="s">
        <v>165</v>
      </c>
      <c r="K199">
        <v>88.302999999999997</v>
      </c>
      <c r="L199">
        <v>23.062000000000001</v>
      </c>
      <c r="M199">
        <v>23.658000000000001</v>
      </c>
      <c r="N199">
        <v>14.169</v>
      </c>
      <c r="O199">
        <v>27.414000000000001</v>
      </c>
      <c r="P199">
        <v>341.8</v>
      </c>
      <c r="Q199">
        <v>272.74700000000001</v>
      </c>
      <c r="R199" t="b">
        <v>0</v>
      </c>
      <c r="S199" t="b">
        <v>0</v>
      </c>
      <c r="T199" t="b">
        <v>0</v>
      </c>
    </row>
    <row r="200" spans="1:20" x14ac:dyDescent="0.3">
      <c r="A200" t="s">
        <v>291</v>
      </c>
      <c r="B200">
        <v>25</v>
      </c>
      <c r="C200">
        <v>16</v>
      </c>
      <c r="D200" t="s">
        <v>100</v>
      </c>
      <c r="E200" t="s">
        <v>71</v>
      </c>
      <c r="F200" t="s">
        <v>6</v>
      </c>
      <c r="G200">
        <v>8</v>
      </c>
      <c r="H200">
        <v>7</v>
      </c>
      <c r="I200">
        <v>4</v>
      </c>
      <c r="J200" t="s">
        <v>244</v>
      </c>
      <c r="K200">
        <v>88.64</v>
      </c>
      <c r="L200">
        <v>23.062999999999999</v>
      </c>
      <c r="M200">
        <v>23.97</v>
      </c>
      <c r="N200">
        <v>14.151</v>
      </c>
      <c r="O200">
        <v>27.456</v>
      </c>
      <c r="P200">
        <v>344</v>
      </c>
      <c r="Q200">
        <v>361.387</v>
      </c>
      <c r="R200" t="b">
        <v>0</v>
      </c>
      <c r="S200" t="b">
        <v>0</v>
      </c>
      <c r="T200" t="b">
        <v>0</v>
      </c>
    </row>
    <row r="201" spans="1:20" x14ac:dyDescent="0.3">
      <c r="A201" t="s">
        <v>291</v>
      </c>
      <c r="B201">
        <v>25</v>
      </c>
      <c r="C201">
        <v>16</v>
      </c>
      <c r="D201" t="s">
        <v>100</v>
      </c>
      <c r="E201" t="s">
        <v>71</v>
      </c>
      <c r="F201" t="s">
        <v>6</v>
      </c>
      <c r="G201">
        <v>8</v>
      </c>
      <c r="H201">
        <v>7</v>
      </c>
      <c r="I201">
        <v>5</v>
      </c>
      <c r="J201" t="s">
        <v>245</v>
      </c>
      <c r="K201">
        <v>88.272999999999996</v>
      </c>
      <c r="L201">
        <v>23.012</v>
      </c>
      <c r="M201">
        <v>23.63</v>
      </c>
      <c r="N201">
        <v>14.228</v>
      </c>
      <c r="O201">
        <v>27.402999999999999</v>
      </c>
      <c r="P201">
        <v>346.1</v>
      </c>
      <c r="Q201">
        <v>449.66</v>
      </c>
      <c r="R201" t="b">
        <v>0</v>
      </c>
      <c r="S201" t="b">
        <v>0</v>
      </c>
      <c r="T201" t="b">
        <v>0</v>
      </c>
    </row>
    <row r="202" spans="1:20" x14ac:dyDescent="0.3">
      <c r="A202" t="s">
        <v>291</v>
      </c>
      <c r="B202">
        <v>25</v>
      </c>
      <c r="C202">
        <v>16</v>
      </c>
      <c r="D202" t="s">
        <v>100</v>
      </c>
      <c r="E202" t="s">
        <v>71</v>
      </c>
      <c r="F202" t="s">
        <v>6</v>
      </c>
      <c r="G202">
        <v>8</v>
      </c>
      <c r="H202">
        <v>7</v>
      </c>
      <c r="I202">
        <v>6</v>
      </c>
      <c r="J202" t="s">
        <v>246</v>
      </c>
      <c r="K202">
        <v>89.165999999999997</v>
      </c>
      <c r="L202">
        <v>23.061</v>
      </c>
      <c r="M202">
        <v>23.803000000000001</v>
      </c>
      <c r="N202">
        <v>14.323</v>
      </c>
      <c r="O202">
        <v>27.978999999999999</v>
      </c>
      <c r="P202">
        <v>341.8</v>
      </c>
      <c r="Q202">
        <v>538.82600000000002</v>
      </c>
      <c r="R202" t="b">
        <v>0</v>
      </c>
      <c r="S202" t="b">
        <v>0</v>
      </c>
      <c r="T202" t="b">
        <v>0</v>
      </c>
    </row>
    <row r="203" spans="1:20" x14ac:dyDescent="0.3">
      <c r="A203" t="s">
        <v>291</v>
      </c>
      <c r="B203">
        <v>25</v>
      </c>
      <c r="C203">
        <v>16</v>
      </c>
      <c r="D203" t="s">
        <v>100</v>
      </c>
      <c r="E203" t="s">
        <v>71</v>
      </c>
      <c r="F203" t="s">
        <v>6</v>
      </c>
      <c r="G203">
        <v>8</v>
      </c>
      <c r="H203">
        <v>7</v>
      </c>
      <c r="I203">
        <v>7</v>
      </c>
      <c r="J203" t="s">
        <v>247</v>
      </c>
      <c r="K203">
        <v>88.215000000000003</v>
      </c>
      <c r="L203">
        <v>23.01</v>
      </c>
      <c r="M203">
        <v>23.555</v>
      </c>
      <c r="N203">
        <v>14.164</v>
      </c>
      <c r="O203">
        <v>27.486000000000001</v>
      </c>
      <c r="P203">
        <v>346.1</v>
      </c>
      <c r="Q203">
        <v>627.04100000000005</v>
      </c>
      <c r="R203" t="b">
        <v>0</v>
      </c>
      <c r="S203" t="b">
        <v>0</v>
      </c>
      <c r="T203" t="b">
        <v>0</v>
      </c>
    </row>
    <row r="204" spans="1:20" x14ac:dyDescent="0.3">
      <c r="A204" t="s">
        <v>291</v>
      </c>
      <c r="B204">
        <v>25</v>
      </c>
      <c r="C204">
        <v>16</v>
      </c>
      <c r="D204" t="s">
        <v>100</v>
      </c>
      <c r="E204" t="s">
        <v>71</v>
      </c>
      <c r="F204" t="s">
        <v>6</v>
      </c>
      <c r="G204">
        <v>8</v>
      </c>
      <c r="H204">
        <v>7</v>
      </c>
      <c r="I204">
        <v>8</v>
      </c>
      <c r="J204" t="s">
        <v>248</v>
      </c>
      <c r="K204">
        <v>88.992999999999995</v>
      </c>
      <c r="L204">
        <v>23.207999999999998</v>
      </c>
      <c r="M204">
        <v>23.689</v>
      </c>
      <c r="N204">
        <v>14.513</v>
      </c>
      <c r="O204">
        <v>27.582999999999998</v>
      </c>
      <c r="P204">
        <v>344</v>
      </c>
      <c r="Q204">
        <v>716.03399999999999</v>
      </c>
      <c r="R204" t="b">
        <v>0</v>
      </c>
      <c r="S204" t="b">
        <v>0</v>
      </c>
      <c r="T204" t="b">
        <v>0</v>
      </c>
    </row>
    <row r="205" spans="1:20" x14ac:dyDescent="0.3">
      <c r="A205" t="s">
        <v>292</v>
      </c>
      <c r="B205">
        <v>89</v>
      </c>
      <c r="C205">
        <v>17</v>
      </c>
      <c r="D205" t="s">
        <v>70</v>
      </c>
      <c r="E205" t="s">
        <v>71</v>
      </c>
      <c r="F205" t="s">
        <v>6</v>
      </c>
      <c r="G205">
        <v>7</v>
      </c>
      <c r="H205">
        <v>6</v>
      </c>
      <c r="I205">
        <v>1</v>
      </c>
      <c r="J205" t="s">
        <v>250</v>
      </c>
      <c r="K205">
        <v>93.747</v>
      </c>
      <c r="L205">
        <v>28.66</v>
      </c>
      <c r="M205">
        <v>23.67</v>
      </c>
      <c r="N205">
        <v>14.137</v>
      </c>
      <c r="O205">
        <v>27.28</v>
      </c>
      <c r="P205">
        <v>251.4</v>
      </c>
      <c r="Q205">
        <v>93.747</v>
      </c>
      <c r="R205" t="b">
        <v>0</v>
      </c>
      <c r="S205" t="b">
        <v>0</v>
      </c>
      <c r="T205" t="b">
        <v>0</v>
      </c>
    </row>
    <row r="206" spans="1:20" x14ac:dyDescent="0.3">
      <c r="A206" t="s">
        <v>292</v>
      </c>
      <c r="B206">
        <v>89</v>
      </c>
      <c r="C206">
        <v>17</v>
      </c>
      <c r="D206" t="s">
        <v>70</v>
      </c>
      <c r="E206" t="s">
        <v>71</v>
      </c>
      <c r="F206" t="s">
        <v>6</v>
      </c>
      <c r="G206">
        <v>7</v>
      </c>
      <c r="H206">
        <v>6</v>
      </c>
      <c r="I206">
        <v>2</v>
      </c>
      <c r="J206" t="s">
        <v>251</v>
      </c>
      <c r="K206">
        <v>88.572999999999993</v>
      </c>
      <c r="L206">
        <v>23.298999999999999</v>
      </c>
      <c r="M206">
        <v>23.513000000000002</v>
      </c>
      <c r="N206">
        <v>14.118</v>
      </c>
      <c r="O206">
        <v>27.643000000000001</v>
      </c>
      <c r="P206">
        <v>331.3</v>
      </c>
      <c r="Q206">
        <v>182.32</v>
      </c>
      <c r="R206" t="b">
        <v>0</v>
      </c>
      <c r="S206" t="b">
        <v>0</v>
      </c>
      <c r="T206" t="b">
        <v>0</v>
      </c>
    </row>
    <row r="207" spans="1:20" x14ac:dyDescent="0.3">
      <c r="A207" t="s">
        <v>292</v>
      </c>
      <c r="B207">
        <v>89</v>
      </c>
      <c r="C207">
        <v>17</v>
      </c>
      <c r="D207" t="s">
        <v>70</v>
      </c>
      <c r="E207" t="s">
        <v>71</v>
      </c>
      <c r="F207" t="s">
        <v>6</v>
      </c>
      <c r="G207">
        <v>7</v>
      </c>
      <c r="H207">
        <v>6</v>
      </c>
      <c r="I207">
        <v>3</v>
      </c>
      <c r="J207" t="s">
        <v>252</v>
      </c>
      <c r="K207">
        <v>88.256</v>
      </c>
      <c r="L207">
        <v>22.914000000000001</v>
      </c>
      <c r="M207">
        <v>23.716999999999999</v>
      </c>
      <c r="N207">
        <v>14.276</v>
      </c>
      <c r="O207">
        <v>27.349</v>
      </c>
      <c r="P207">
        <v>347.3</v>
      </c>
      <c r="Q207">
        <v>270.57600000000002</v>
      </c>
      <c r="R207" t="b">
        <v>0</v>
      </c>
      <c r="S207" t="b">
        <v>0</v>
      </c>
      <c r="T207" t="b">
        <v>0</v>
      </c>
    </row>
    <row r="208" spans="1:20" x14ac:dyDescent="0.3">
      <c r="A208" t="s">
        <v>292</v>
      </c>
      <c r="B208">
        <v>89</v>
      </c>
      <c r="C208">
        <v>17</v>
      </c>
      <c r="D208" t="s">
        <v>70</v>
      </c>
      <c r="E208" t="s">
        <v>71</v>
      </c>
      <c r="F208" t="s">
        <v>6</v>
      </c>
      <c r="G208">
        <v>7</v>
      </c>
      <c r="H208">
        <v>6</v>
      </c>
      <c r="I208">
        <v>4</v>
      </c>
      <c r="J208" t="s">
        <v>253</v>
      </c>
      <c r="K208">
        <v>87.228999999999999</v>
      </c>
      <c r="L208">
        <v>22.782</v>
      </c>
      <c r="M208">
        <v>23.221</v>
      </c>
      <c r="N208">
        <v>14.055</v>
      </c>
      <c r="O208">
        <v>27.170999999999999</v>
      </c>
      <c r="P208">
        <v>342.9</v>
      </c>
      <c r="Q208">
        <v>357.80500000000001</v>
      </c>
      <c r="R208" t="b">
        <v>0</v>
      </c>
      <c r="S208" t="b">
        <v>0</v>
      </c>
      <c r="T208" t="b">
        <v>0</v>
      </c>
    </row>
    <row r="209" spans="1:20" x14ac:dyDescent="0.3">
      <c r="A209" t="s">
        <v>292</v>
      </c>
      <c r="B209">
        <v>89</v>
      </c>
      <c r="C209">
        <v>17</v>
      </c>
      <c r="D209" t="s">
        <v>70</v>
      </c>
      <c r="E209" t="s">
        <v>71</v>
      </c>
      <c r="F209" t="s">
        <v>6</v>
      </c>
      <c r="G209">
        <v>7</v>
      </c>
      <c r="H209">
        <v>6</v>
      </c>
      <c r="I209">
        <v>5</v>
      </c>
      <c r="J209" t="s">
        <v>254</v>
      </c>
      <c r="K209">
        <v>88.055000000000007</v>
      </c>
      <c r="L209">
        <v>22.789000000000001</v>
      </c>
      <c r="M209">
        <v>23.861999999999998</v>
      </c>
      <c r="N209">
        <v>14.148</v>
      </c>
      <c r="O209">
        <v>27.256</v>
      </c>
      <c r="P209">
        <v>342.9</v>
      </c>
      <c r="Q209">
        <v>445.86</v>
      </c>
      <c r="R209" t="b">
        <v>0</v>
      </c>
      <c r="S209" t="b">
        <v>0</v>
      </c>
      <c r="T209" t="b">
        <v>0</v>
      </c>
    </row>
    <row r="210" spans="1:20" x14ac:dyDescent="0.3">
      <c r="A210" t="s">
        <v>292</v>
      </c>
      <c r="B210">
        <v>89</v>
      </c>
      <c r="C210">
        <v>17</v>
      </c>
      <c r="D210" t="s">
        <v>70</v>
      </c>
      <c r="E210" t="s">
        <v>71</v>
      </c>
      <c r="F210" t="s">
        <v>6</v>
      </c>
      <c r="G210">
        <v>7</v>
      </c>
      <c r="H210">
        <v>6</v>
      </c>
      <c r="I210">
        <v>6</v>
      </c>
      <c r="J210" t="s">
        <v>255</v>
      </c>
      <c r="K210">
        <v>88.034999999999997</v>
      </c>
      <c r="L210">
        <v>22.984000000000002</v>
      </c>
      <c r="M210">
        <v>23.629000000000001</v>
      </c>
      <c r="N210">
        <v>14.106999999999999</v>
      </c>
      <c r="O210">
        <v>27.315000000000001</v>
      </c>
      <c r="P210">
        <v>346.1</v>
      </c>
      <c r="Q210">
        <v>533.89499999999998</v>
      </c>
      <c r="R210" t="b">
        <v>0</v>
      </c>
      <c r="S210" t="b">
        <v>0</v>
      </c>
      <c r="T210" t="b">
        <v>0</v>
      </c>
    </row>
    <row r="211" spans="1:20" x14ac:dyDescent="0.3">
      <c r="A211" t="s">
        <v>292</v>
      </c>
      <c r="B211">
        <v>89</v>
      </c>
      <c r="C211">
        <v>17</v>
      </c>
      <c r="D211" t="s">
        <v>70</v>
      </c>
      <c r="E211" t="s">
        <v>71</v>
      </c>
      <c r="F211" t="s">
        <v>6</v>
      </c>
      <c r="G211">
        <v>7</v>
      </c>
      <c r="H211">
        <v>6</v>
      </c>
      <c r="I211">
        <v>7</v>
      </c>
      <c r="J211" t="s">
        <v>256</v>
      </c>
      <c r="K211">
        <v>87.691999999999993</v>
      </c>
      <c r="L211">
        <v>22.9</v>
      </c>
      <c r="M211">
        <v>23.466999999999999</v>
      </c>
      <c r="N211">
        <v>14.035</v>
      </c>
      <c r="O211">
        <v>27.29</v>
      </c>
      <c r="P211">
        <v>345</v>
      </c>
      <c r="Q211">
        <v>621.58699999999999</v>
      </c>
      <c r="R211" t="b">
        <v>0</v>
      </c>
      <c r="S211" t="b">
        <v>0</v>
      </c>
      <c r="T211" t="b">
        <v>0</v>
      </c>
    </row>
    <row r="212" spans="1:20" x14ac:dyDescent="0.3">
      <c r="A212" t="s">
        <v>293</v>
      </c>
      <c r="B212">
        <v>12</v>
      </c>
      <c r="C212">
        <v>18</v>
      </c>
      <c r="D212" t="s">
        <v>190</v>
      </c>
      <c r="E212" t="s">
        <v>86</v>
      </c>
      <c r="F212" t="s">
        <v>6</v>
      </c>
      <c r="G212">
        <v>6</v>
      </c>
      <c r="H212">
        <v>5</v>
      </c>
      <c r="I212">
        <v>1</v>
      </c>
      <c r="J212" t="s">
        <v>258</v>
      </c>
      <c r="K212">
        <v>97.400999999999996</v>
      </c>
      <c r="L212">
        <v>30.148</v>
      </c>
      <c r="M212">
        <v>24.957000000000001</v>
      </c>
      <c r="N212">
        <v>14.587</v>
      </c>
      <c r="O212">
        <v>27.709</v>
      </c>
      <c r="P212">
        <v>266.2</v>
      </c>
      <c r="Q212">
        <v>97.400999999999996</v>
      </c>
      <c r="R212" t="b">
        <v>0</v>
      </c>
      <c r="S212" t="b">
        <v>0</v>
      </c>
      <c r="T212" t="b">
        <v>0</v>
      </c>
    </row>
    <row r="213" spans="1:20" x14ac:dyDescent="0.3">
      <c r="A213" t="s">
        <v>293</v>
      </c>
      <c r="B213">
        <v>12</v>
      </c>
      <c r="C213">
        <v>18</v>
      </c>
      <c r="D213" t="s">
        <v>190</v>
      </c>
      <c r="E213" t="s">
        <v>86</v>
      </c>
      <c r="F213" t="s">
        <v>6</v>
      </c>
      <c r="G213">
        <v>6</v>
      </c>
      <c r="H213">
        <v>5</v>
      </c>
      <c r="I213">
        <v>2</v>
      </c>
      <c r="J213" t="s">
        <v>259</v>
      </c>
      <c r="K213">
        <v>89.128</v>
      </c>
      <c r="L213">
        <v>23.256</v>
      </c>
      <c r="M213">
        <v>23.905999999999999</v>
      </c>
      <c r="N213">
        <v>14.388</v>
      </c>
      <c r="O213">
        <v>27.577999999999999</v>
      </c>
      <c r="P213">
        <v>329.3</v>
      </c>
      <c r="Q213">
        <v>186.529</v>
      </c>
      <c r="R213" t="b">
        <v>0</v>
      </c>
      <c r="S213" t="b">
        <v>0</v>
      </c>
      <c r="T213" t="b">
        <v>0</v>
      </c>
    </row>
    <row r="214" spans="1:20" x14ac:dyDescent="0.3">
      <c r="A214" t="s">
        <v>293</v>
      </c>
      <c r="B214">
        <v>12</v>
      </c>
      <c r="C214">
        <v>18</v>
      </c>
      <c r="D214" t="s">
        <v>190</v>
      </c>
      <c r="E214" t="s">
        <v>86</v>
      </c>
      <c r="F214" t="s">
        <v>6</v>
      </c>
      <c r="G214">
        <v>6</v>
      </c>
      <c r="H214">
        <v>5</v>
      </c>
      <c r="I214">
        <v>3</v>
      </c>
      <c r="J214" t="s">
        <v>260</v>
      </c>
      <c r="K214">
        <v>89.134</v>
      </c>
      <c r="L214">
        <v>23.119</v>
      </c>
      <c r="M214">
        <v>24.105</v>
      </c>
      <c r="N214">
        <v>14.284000000000001</v>
      </c>
      <c r="O214">
        <v>27.626000000000001</v>
      </c>
      <c r="P214">
        <v>347.3</v>
      </c>
      <c r="Q214">
        <v>275.66300000000001</v>
      </c>
      <c r="R214" t="b">
        <v>0</v>
      </c>
      <c r="S214" t="b">
        <v>0</v>
      </c>
      <c r="T214" t="b">
        <v>0</v>
      </c>
    </row>
    <row r="215" spans="1:20" x14ac:dyDescent="0.3">
      <c r="A215" t="s">
        <v>293</v>
      </c>
      <c r="B215">
        <v>12</v>
      </c>
      <c r="C215">
        <v>18</v>
      </c>
      <c r="D215" t="s">
        <v>190</v>
      </c>
      <c r="E215" t="s">
        <v>86</v>
      </c>
      <c r="F215" t="s">
        <v>6</v>
      </c>
      <c r="G215">
        <v>6</v>
      </c>
      <c r="H215">
        <v>5</v>
      </c>
      <c r="I215">
        <v>4</v>
      </c>
      <c r="J215" t="s">
        <v>261</v>
      </c>
      <c r="K215">
        <v>89.158000000000001</v>
      </c>
      <c r="L215">
        <v>23.344999999999999</v>
      </c>
      <c r="M215">
        <v>23.768000000000001</v>
      </c>
      <c r="N215">
        <v>14.343999999999999</v>
      </c>
      <c r="O215">
        <v>27.701000000000001</v>
      </c>
      <c r="P215">
        <v>346.1</v>
      </c>
      <c r="Q215">
        <v>364.82100000000003</v>
      </c>
      <c r="R215" t="b">
        <v>0</v>
      </c>
      <c r="S215" t="b">
        <v>0</v>
      </c>
      <c r="T215" t="b">
        <v>0</v>
      </c>
    </row>
    <row r="216" spans="1:20" x14ac:dyDescent="0.3">
      <c r="A216" t="s">
        <v>293</v>
      </c>
      <c r="B216">
        <v>12</v>
      </c>
      <c r="C216">
        <v>18</v>
      </c>
      <c r="D216" t="s">
        <v>190</v>
      </c>
      <c r="E216" t="s">
        <v>86</v>
      </c>
      <c r="F216" t="s">
        <v>6</v>
      </c>
      <c r="G216">
        <v>6</v>
      </c>
      <c r="H216">
        <v>5</v>
      </c>
      <c r="I216">
        <v>5</v>
      </c>
      <c r="J216" t="s">
        <v>262</v>
      </c>
      <c r="K216">
        <v>88.843000000000004</v>
      </c>
      <c r="L216">
        <v>23.122</v>
      </c>
      <c r="M216">
        <v>23.751000000000001</v>
      </c>
      <c r="N216">
        <v>14.305</v>
      </c>
      <c r="O216">
        <v>27.664999999999999</v>
      </c>
      <c r="P216">
        <v>345</v>
      </c>
      <c r="Q216">
        <v>453.66399999999999</v>
      </c>
      <c r="R216" t="b">
        <v>0</v>
      </c>
      <c r="S216" t="b">
        <v>0</v>
      </c>
      <c r="T216" t="b">
        <v>0</v>
      </c>
    </row>
    <row r="217" spans="1:20" x14ac:dyDescent="0.3">
      <c r="A217" t="s">
        <v>293</v>
      </c>
      <c r="B217">
        <v>12</v>
      </c>
      <c r="C217">
        <v>18</v>
      </c>
      <c r="D217" t="s">
        <v>190</v>
      </c>
      <c r="E217" t="s">
        <v>86</v>
      </c>
      <c r="F217" t="s">
        <v>6</v>
      </c>
      <c r="G217">
        <v>6</v>
      </c>
      <c r="H217">
        <v>5</v>
      </c>
      <c r="I217">
        <v>6</v>
      </c>
      <c r="J217" t="s">
        <v>263</v>
      </c>
      <c r="K217">
        <v>89.248999999999995</v>
      </c>
      <c r="L217">
        <v>23.376000000000001</v>
      </c>
      <c r="M217">
        <v>23.884</v>
      </c>
      <c r="N217">
        <v>14.308</v>
      </c>
      <c r="O217">
        <v>27.681000000000001</v>
      </c>
      <c r="P217">
        <v>344</v>
      </c>
      <c r="Q217">
        <v>542.91300000000001</v>
      </c>
      <c r="R217" t="b">
        <v>0</v>
      </c>
      <c r="S217" t="b">
        <v>0</v>
      </c>
      <c r="T217" t="b">
        <v>0</v>
      </c>
    </row>
    <row r="218" spans="1:20" x14ac:dyDescent="0.3">
      <c r="A218" t="s">
        <v>294</v>
      </c>
      <c r="B218">
        <v>5</v>
      </c>
      <c r="C218">
        <v>19</v>
      </c>
      <c r="D218" t="s">
        <v>265</v>
      </c>
      <c r="E218" t="s">
        <v>147</v>
      </c>
      <c r="F218" t="s">
        <v>176</v>
      </c>
      <c r="G218">
        <v>3</v>
      </c>
      <c r="H218">
        <v>2</v>
      </c>
      <c r="I218">
        <v>1</v>
      </c>
      <c r="J218" t="s">
        <v>267</v>
      </c>
      <c r="K218">
        <v>94.075000000000003</v>
      </c>
      <c r="L218">
        <v>28.844999999999999</v>
      </c>
      <c r="M218">
        <v>23.922999999999998</v>
      </c>
      <c r="N218">
        <v>14.084</v>
      </c>
      <c r="O218">
        <v>27.222999999999999</v>
      </c>
      <c r="P218">
        <v>246.8</v>
      </c>
      <c r="Q218">
        <v>94.075000000000003</v>
      </c>
      <c r="R218" t="b">
        <v>0</v>
      </c>
      <c r="S218" t="b">
        <v>0</v>
      </c>
      <c r="T218" t="b">
        <v>0</v>
      </c>
    </row>
    <row r="219" spans="1:20" x14ac:dyDescent="0.3">
      <c r="A219" t="s">
        <v>294</v>
      </c>
      <c r="B219">
        <v>5</v>
      </c>
      <c r="C219">
        <v>19</v>
      </c>
      <c r="D219" t="s">
        <v>265</v>
      </c>
      <c r="E219" t="s">
        <v>147</v>
      </c>
      <c r="F219" t="s">
        <v>176</v>
      </c>
      <c r="G219">
        <v>3</v>
      </c>
      <c r="H219">
        <v>2</v>
      </c>
      <c r="I219">
        <v>2</v>
      </c>
      <c r="J219" t="s">
        <v>268</v>
      </c>
      <c r="K219">
        <v>88.296999999999997</v>
      </c>
      <c r="L219">
        <v>23.143999999999998</v>
      </c>
      <c r="M219">
        <v>23.722999999999999</v>
      </c>
      <c r="N219">
        <v>14.058</v>
      </c>
      <c r="O219">
        <v>27.372</v>
      </c>
      <c r="P219">
        <v>341.8</v>
      </c>
      <c r="Q219">
        <v>182.37200000000001</v>
      </c>
      <c r="R219" t="b">
        <v>0</v>
      </c>
      <c r="S219" t="b">
        <v>0</v>
      </c>
      <c r="T219" t="b">
        <v>0</v>
      </c>
    </row>
    <row r="220" spans="1:20" x14ac:dyDescent="0.3">
      <c r="A220" t="s">
        <v>294</v>
      </c>
      <c r="B220">
        <v>5</v>
      </c>
      <c r="C220">
        <v>19</v>
      </c>
      <c r="D220" t="s">
        <v>265</v>
      </c>
      <c r="E220" t="s">
        <v>147</v>
      </c>
      <c r="F220" t="s">
        <v>176</v>
      </c>
      <c r="G220">
        <v>3</v>
      </c>
      <c r="H220">
        <v>2</v>
      </c>
      <c r="I220">
        <v>3</v>
      </c>
      <c r="J220" t="s">
        <v>269</v>
      </c>
      <c r="K220">
        <v>88.936000000000007</v>
      </c>
      <c r="L220">
        <v>23.087</v>
      </c>
      <c r="M220">
        <v>24.065000000000001</v>
      </c>
      <c r="N220">
        <v>14.211</v>
      </c>
      <c r="O220">
        <v>27.573</v>
      </c>
      <c r="P220">
        <v>328.3</v>
      </c>
      <c r="Q220">
        <v>271.30799999999999</v>
      </c>
      <c r="R220" t="b">
        <v>0</v>
      </c>
      <c r="S220" t="b">
        <v>0</v>
      </c>
      <c r="T220" t="b">
        <v>0</v>
      </c>
    </row>
    <row r="221" spans="1:20" x14ac:dyDescent="0.3">
      <c r="A221" t="s">
        <v>295</v>
      </c>
      <c r="B221">
        <v>63</v>
      </c>
      <c r="C221">
        <v>20</v>
      </c>
      <c r="D221" t="s">
        <v>2</v>
      </c>
      <c r="E221" t="s">
        <v>4</v>
      </c>
      <c r="F221" t="s">
        <v>56</v>
      </c>
      <c r="G221">
        <v>2</v>
      </c>
      <c r="H221">
        <v>1</v>
      </c>
      <c r="I221">
        <v>1</v>
      </c>
      <c r="J221" t="s">
        <v>271</v>
      </c>
      <c r="K221">
        <v>96.701999999999998</v>
      </c>
      <c r="L221">
        <v>30.135000000000002</v>
      </c>
      <c r="M221">
        <v>24.515999999999998</v>
      </c>
      <c r="N221">
        <v>14.538</v>
      </c>
      <c r="O221">
        <v>27.513000000000002</v>
      </c>
      <c r="P221">
        <v>261.10000000000002</v>
      </c>
      <c r="Q221">
        <v>96.701999999999998</v>
      </c>
      <c r="R221" t="b">
        <v>0</v>
      </c>
      <c r="S221" t="b">
        <v>0</v>
      </c>
      <c r="T221" t="b">
        <v>0</v>
      </c>
    </row>
    <row r="222" spans="1:20" x14ac:dyDescent="0.3">
      <c r="A222" t="s">
        <v>295</v>
      </c>
      <c r="B222">
        <v>63</v>
      </c>
      <c r="C222">
        <v>20</v>
      </c>
      <c r="D222" t="s">
        <v>2</v>
      </c>
      <c r="E222" t="s">
        <v>4</v>
      </c>
      <c r="F222" t="s">
        <v>56</v>
      </c>
      <c r="G222">
        <v>2</v>
      </c>
      <c r="H222">
        <v>1</v>
      </c>
      <c r="I222">
        <v>2</v>
      </c>
      <c r="J222" t="s">
        <v>272</v>
      </c>
      <c r="K222">
        <v>95.475999999999999</v>
      </c>
      <c r="L222">
        <v>23.222999999999999</v>
      </c>
      <c r="M222">
        <v>24.196000000000002</v>
      </c>
      <c r="N222">
        <v>19.437999999999999</v>
      </c>
      <c r="O222">
        <v>28.619</v>
      </c>
      <c r="P222">
        <v>329.3</v>
      </c>
      <c r="Q222">
        <v>192.178</v>
      </c>
      <c r="R222" t="b">
        <v>0</v>
      </c>
      <c r="S222" t="b">
        <v>0</v>
      </c>
      <c r="T222" t="b">
        <v>0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Y23"/>
  <sheetViews>
    <sheetView tabSelected="1" zoomScale="80" zoomScaleNormal="80" workbookViewId="0">
      <pane ySplit="3" topLeftCell="A4" activePane="bottomLeft" state="frozen"/>
      <selection pane="bottomLeft" activeCell="P23" sqref="P23"/>
    </sheetView>
  </sheetViews>
  <sheetFormatPr defaultRowHeight="14.4" x14ac:dyDescent="0.3"/>
  <cols>
    <col min="1" max="1" width="10.6640625" customWidth="1"/>
    <col min="2" max="2" width="26.6640625" customWidth="1"/>
    <col min="3" max="3" width="14.6640625" customWidth="1"/>
    <col min="5" max="25" width="14.6640625" style="9" customWidth="1"/>
  </cols>
  <sheetData>
    <row r="1" spans="1:25" ht="21" x14ac:dyDescent="0.3">
      <c r="A1" s="31" t="s">
        <v>296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 x14ac:dyDescent="0.3">
      <c r="A2" t="s">
        <v>297</v>
      </c>
      <c r="B2" t="s">
        <v>298</v>
      </c>
    </row>
    <row r="3" spans="1:25" x14ac:dyDescent="0.3">
      <c r="A3" s="2" t="s">
        <v>299</v>
      </c>
      <c r="B3" s="2" t="s">
        <v>273</v>
      </c>
      <c r="C3" s="2" t="s">
        <v>300</v>
      </c>
      <c r="E3" s="2" t="s">
        <v>13</v>
      </c>
      <c r="F3" s="2" t="s">
        <v>276</v>
      </c>
      <c r="G3" s="2" t="s">
        <v>277</v>
      </c>
      <c r="H3" s="2" t="s">
        <v>278</v>
      </c>
      <c r="I3" s="2" t="s">
        <v>279</v>
      </c>
      <c r="J3" s="2" t="s">
        <v>280</v>
      </c>
      <c r="K3" s="2" t="s">
        <v>281</v>
      </c>
      <c r="L3" s="2" t="s">
        <v>282</v>
      </c>
      <c r="M3" s="2" t="s">
        <v>283</v>
      </c>
      <c r="N3" s="2" t="s">
        <v>284</v>
      </c>
      <c r="O3" s="2" t="s">
        <v>285</v>
      </c>
      <c r="P3" s="2" t="s">
        <v>286</v>
      </c>
      <c r="Q3" s="2" t="s">
        <v>287</v>
      </c>
      <c r="R3" s="2" t="s">
        <v>288</v>
      </c>
      <c r="S3" s="2" t="s">
        <v>289</v>
      </c>
      <c r="T3" s="2" t="s">
        <v>290</v>
      </c>
      <c r="U3" s="2" t="s">
        <v>291</v>
      </c>
      <c r="V3" s="2" t="s">
        <v>292</v>
      </c>
      <c r="W3" s="2" t="s">
        <v>293</v>
      </c>
      <c r="X3" s="2" t="s">
        <v>294</v>
      </c>
      <c r="Y3" s="2" t="s">
        <v>295</v>
      </c>
    </row>
    <row r="4" spans="1:25" x14ac:dyDescent="0.3">
      <c r="A4" s="10" t="b">
        <v>1</v>
      </c>
      <c r="B4" t="s">
        <v>276</v>
      </c>
      <c r="C4" s="11" t="s">
        <v>301</v>
      </c>
      <c r="E4" s="32">
        <v>1</v>
      </c>
      <c r="F4" s="9">
        <f>IF($A$4,'Marc Marquez'!J6,NA())</f>
        <v>1.084224537037037E-3</v>
      </c>
      <c r="G4" s="9">
        <f>IF($A$5,'Alex Marquez'!J6,NA())</f>
        <v>1.089421296296296E-3</v>
      </c>
      <c r="H4" s="9">
        <f>IF($A$6,'Fabio Di Giannantonio'!J6,NA())</f>
        <v>1.103935185185185E-3</v>
      </c>
      <c r="I4" s="9">
        <f>IF($A$7,'Marco Bezzecchi'!J6,NA())</f>
        <v>1.1127199074074071E-3</v>
      </c>
      <c r="J4" s="9">
        <f>IF($A$8,'Pedro Acosta'!J6,NA())</f>
        <v>1.0938773148148151E-3</v>
      </c>
      <c r="K4" s="9">
        <f>IF($A$9,'Ai Ogura'!J6,NA())</f>
        <v>1.116134259259259E-3</v>
      </c>
      <c r="L4" s="9">
        <f>IF($A$10,'Brad Binder'!J6,NA())</f>
        <v>1.102361111111111E-3</v>
      </c>
      <c r="M4" s="9">
        <f>IF($A$11,'Jack Miller'!J6,NA())</f>
        <v>1.098113425925926E-3</v>
      </c>
      <c r="N4" s="9">
        <f>IF($A$12,'Diogo Moreira'!J6,NA())</f>
        <v>1.103240740740741E-3</v>
      </c>
      <c r="O4" s="9">
        <f>IF($A$13,'Iker Lecuona'!J6,NA())</f>
        <v>1.120150462962963E-3</v>
      </c>
      <c r="P4" s="9">
        <f>IF($A$14,'Fabio Quartararo'!J6,NA())</f>
        <v>1.124027777777778E-3</v>
      </c>
      <c r="Q4" s="9">
        <f>IF($A$15,'Enea Bastianini'!J6,NA())</f>
        <v>1.112465277777778E-3</v>
      </c>
      <c r="R4" s="9">
        <f>IF($A$16,'Alex Rins'!J6,NA())</f>
        <v>1.1325E-3</v>
      </c>
      <c r="S4" s="9">
        <f>IF($A$17,'Franco Morbidelli'!J6,NA())</f>
        <v>1.1305902777777781E-3</v>
      </c>
      <c r="T4" s="9">
        <f>IF($A$18,'Augusto Fernandez'!J6,NA())</f>
        <v>1.130069444444445E-3</v>
      </c>
      <c r="U4" s="9">
        <f>IF($A$19,'Raul Fernandez'!J6,NA())</f>
        <v>1.112430555555556E-3</v>
      </c>
      <c r="V4" s="9">
        <f>IF($A$20,'Jorge Martin'!J6,NA())</f>
        <v>1.085034722222222E-3</v>
      </c>
      <c r="W4" s="9">
        <f>IF($A$21,'Maverick Viñales'!J6,NA())</f>
        <v>1.1273263888888891E-3</v>
      </c>
      <c r="X4" s="9">
        <f>IF($A$22,'Johann Zarco'!J6,NA())</f>
        <v>1.0888310185185181E-3</v>
      </c>
      <c r="Y4" s="9">
        <f>IF($A$23,'Francesco Bagnaia'!J6,NA())</f>
        <v>1.119236111111111E-3</v>
      </c>
    </row>
    <row r="5" spans="1:25" x14ac:dyDescent="0.3">
      <c r="A5" s="10" t="b">
        <v>1</v>
      </c>
      <c r="B5" t="s">
        <v>277</v>
      </c>
      <c r="C5" s="12" t="s">
        <v>302</v>
      </c>
      <c r="E5" s="32">
        <v>2</v>
      </c>
      <c r="F5" s="9">
        <f>IF($A$4,'Marc Marquez'!J7,NA())</f>
        <v>1.022986111111111E-3</v>
      </c>
      <c r="G5" s="9">
        <f>IF($A$5,'Alex Marquez'!J7,NA())</f>
        <v>1.0203240740740741E-3</v>
      </c>
      <c r="H5" s="9">
        <f>IF($A$6,'Fabio Di Giannantonio'!J7,NA())</f>
        <v>1.0243287037037039E-3</v>
      </c>
      <c r="I5" s="9">
        <f>IF($A$7,'Marco Bezzecchi'!J7,NA())</f>
        <v>1.0178703703703699E-3</v>
      </c>
      <c r="J5" s="9">
        <f>IF($A$8,'Pedro Acosta'!J7,NA())</f>
        <v>1.017523148148148E-3</v>
      </c>
      <c r="K5" s="9">
        <f>IF($A$9,'Ai Ogura'!J7,NA())</f>
        <v>1.0295023148148149E-3</v>
      </c>
      <c r="L5" s="9">
        <f>IF($A$10,'Brad Binder'!J7,NA())</f>
        <v>1.0215277777777781E-3</v>
      </c>
      <c r="M5" s="9">
        <f>IF($A$11,'Jack Miller'!J7,NA())</f>
        <v>1.0236226851851849E-3</v>
      </c>
      <c r="N5" s="9">
        <f>IF($A$12,'Diogo Moreira'!J7,NA())</f>
        <v>1.0246064814814809E-3</v>
      </c>
      <c r="O5" s="9">
        <f>IF($A$13,'Iker Lecuona'!J7,NA())</f>
        <v>1.029224537037037E-3</v>
      </c>
      <c r="P5" s="9">
        <f>IF($A$14,'Fabio Quartararo'!J7,NA())</f>
        <v>1.029768518518518E-3</v>
      </c>
      <c r="Q5" s="9">
        <f>IF($A$15,'Enea Bastianini'!J7,NA())</f>
        <v>1.0417361111111109E-3</v>
      </c>
      <c r="R5" s="9">
        <f>IF($A$16,'Alex Rins'!J7,NA())</f>
        <v>1.0416087962962959E-3</v>
      </c>
      <c r="S5" s="9">
        <f>IF($A$17,'Franco Morbidelli'!J7,NA())</f>
        <v>1.033611111111111E-3</v>
      </c>
      <c r="T5" s="9">
        <f>IF($A$18,'Augusto Fernandez'!J7,NA())</f>
        <v>1.0491550925925931E-3</v>
      </c>
      <c r="U5" s="9">
        <f>IF($A$19,'Raul Fernandez'!J7,NA())</f>
        <v>1.022337962962963E-3</v>
      </c>
      <c r="V5" s="9">
        <f>IF($A$20,'Jorge Martin'!J7,NA())</f>
        <v>1.025150462962963E-3</v>
      </c>
      <c r="W5" s="9">
        <f>IF($A$21,'Maverick Viñales'!J7,NA())</f>
        <v>1.0315740740740741E-3</v>
      </c>
      <c r="X5" s="9">
        <f>IF($A$22,'Johann Zarco'!J7,NA())</f>
        <v>1.021956018518518E-3</v>
      </c>
      <c r="Y5" s="9">
        <f>IF($A$23,'Francesco Bagnaia'!J7,NA())</f>
        <v>1.105046296296296E-3</v>
      </c>
    </row>
    <row r="6" spans="1:25" x14ac:dyDescent="0.3">
      <c r="A6" s="10" t="b">
        <v>1</v>
      </c>
      <c r="B6" t="s">
        <v>278</v>
      </c>
      <c r="C6" s="13" t="s">
        <v>303</v>
      </c>
      <c r="E6" s="32">
        <v>3</v>
      </c>
      <c r="F6" s="9">
        <f>IF($A$4,'Marc Marquez'!J8,NA())</f>
        <v>1.025891203703704E-3</v>
      </c>
      <c r="G6" s="9">
        <f>IF($A$5,'Alex Marquez'!J8,NA())</f>
        <v>1.028668981481482E-3</v>
      </c>
      <c r="H6" s="9">
        <f>IF($A$6,'Fabio Di Giannantonio'!J8,NA())</f>
        <v>1.018611111111111E-3</v>
      </c>
      <c r="I6" s="9">
        <f>IF($A$7,'Marco Bezzecchi'!J8,NA())</f>
        <v>1.0217592592592589E-3</v>
      </c>
      <c r="J6" s="9">
        <f>IF($A$8,'Pedro Acosta'!J8,NA())</f>
        <v>1.026909722222222E-3</v>
      </c>
      <c r="K6" s="9">
        <f>IF($A$9,'Ai Ogura'!J8,NA())</f>
        <v>1.0234722222222221E-3</v>
      </c>
      <c r="L6" s="9">
        <f>IF($A$10,'Brad Binder'!J8,NA())</f>
        <v>1.0224305555555559E-3</v>
      </c>
      <c r="M6" s="9">
        <f>IF($A$11,'Jack Miller'!J8,NA())</f>
        <v>1.0209722222222219E-3</v>
      </c>
      <c r="N6" s="9">
        <f>IF($A$12,'Diogo Moreira'!J8,NA())</f>
        <v>1.0242129629629631E-3</v>
      </c>
      <c r="O6" s="9">
        <f>IF($A$13,'Iker Lecuona'!J8,NA())</f>
        <v>1.0228009259259259E-3</v>
      </c>
      <c r="P6" s="9">
        <f>IF($A$14,'Fabio Quartararo'!J8,NA())</f>
        <v>1.0232986111111109E-3</v>
      </c>
      <c r="Q6" s="9">
        <f>IF($A$15,'Enea Bastianini'!J8,NA())</f>
        <v>1.0256828703703699E-3</v>
      </c>
      <c r="R6" s="9">
        <f>IF($A$16,'Alex Rins'!J8,NA())</f>
        <v>1.028078703703704E-3</v>
      </c>
      <c r="S6" s="9">
        <f>IF($A$17,'Franco Morbidelli'!J8,NA())</f>
        <v>1.0376157407407411E-3</v>
      </c>
      <c r="T6" s="9">
        <f>IF($A$18,'Augusto Fernandez'!J8,NA())</f>
        <v>1.043321759259259E-3</v>
      </c>
      <c r="U6" s="9">
        <f>IF($A$19,'Raul Fernandez'!J8,NA())</f>
        <v>1.0220254629629631E-3</v>
      </c>
      <c r="V6" s="9">
        <f>IF($A$20,'Jorge Martin'!J8,NA())</f>
        <v>1.0214814814814819E-3</v>
      </c>
      <c r="W6" s="9">
        <f>IF($A$21,'Maverick Viñales'!J8,NA())</f>
        <v>1.031643518518519E-3</v>
      </c>
      <c r="X6" s="9">
        <f>IF($A$22,'Johann Zarco'!J8,NA())</f>
        <v>1.029351851851852E-3</v>
      </c>
      <c r="Y6" s="9" t="e">
        <f>NA()</f>
        <v>#N/A</v>
      </c>
    </row>
    <row r="7" spans="1:25" x14ac:dyDescent="0.3">
      <c r="A7" s="10" t="b">
        <v>1</v>
      </c>
      <c r="B7" t="s">
        <v>279</v>
      </c>
      <c r="C7" s="14" t="s">
        <v>304</v>
      </c>
      <c r="E7" s="32">
        <v>4</v>
      </c>
      <c r="F7" s="9">
        <f>IF($A$4,'Marc Marquez'!J9,NA())</f>
        <v>1.010300925925926E-3</v>
      </c>
      <c r="G7" s="9">
        <f>IF($A$5,'Alex Marquez'!J9,NA())</f>
        <v>1.020671296296296E-3</v>
      </c>
      <c r="H7" s="9">
        <f>IF($A$6,'Fabio Di Giannantonio'!J9,NA())</f>
        <v>1.01869212962963E-3</v>
      </c>
      <c r="I7" s="9">
        <f>IF($A$7,'Marco Bezzecchi'!J9,NA())</f>
        <v>1.0214699074074069E-3</v>
      </c>
      <c r="J7" s="9">
        <f>IF($A$8,'Pedro Acosta'!J9,NA())</f>
        <v>1.0209837962962961E-3</v>
      </c>
      <c r="K7" s="9">
        <f>IF($A$9,'Ai Ogura'!J9,NA())</f>
        <v>1.0200347222222221E-3</v>
      </c>
      <c r="L7" s="9">
        <f>IF($A$10,'Brad Binder'!J9,NA())</f>
        <v>1.026122685185185E-3</v>
      </c>
      <c r="M7" s="9">
        <f>IF($A$11,'Jack Miller'!J9,NA())</f>
        <v>1.022615740740741E-3</v>
      </c>
      <c r="N7" s="9">
        <f>IF($A$12,'Diogo Moreira'!J9,NA())</f>
        <v>1.0228009259259259E-3</v>
      </c>
      <c r="O7" s="9">
        <f>IF($A$13,'Iker Lecuona'!J9,NA())</f>
        <v>1.0259027777777779E-3</v>
      </c>
      <c r="P7" s="9">
        <f>IF($A$14,'Fabio Quartararo'!J9,NA())</f>
        <v>1.023449074074074E-3</v>
      </c>
      <c r="Q7" s="9">
        <f>IF($A$15,'Enea Bastianini'!J9,NA())</f>
        <v>1.0211921296296291E-3</v>
      </c>
      <c r="R7" s="9">
        <f>IF($A$16,'Alex Rins'!J9,NA())</f>
        <v>1.0239236111111111E-3</v>
      </c>
      <c r="S7" s="9">
        <f>IF($A$17,'Franco Morbidelli'!J9,NA())</f>
        <v>1.0340856481481479E-3</v>
      </c>
      <c r="T7" s="9">
        <f>IF($A$18,'Augusto Fernandez'!J9,NA())</f>
        <v>1.0442476851851849E-3</v>
      </c>
      <c r="U7" s="9">
        <f>IF($A$19,'Raul Fernandez'!J9,NA())</f>
        <v>1.025925925925926E-3</v>
      </c>
      <c r="V7" s="9">
        <f>IF($A$20,'Jorge Martin'!J9,NA())</f>
        <v>1.009594907407407E-3</v>
      </c>
      <c r="W7" s="9">
        <f>IF($A$21,'Maverick Viñales'!J9,NA())</f>
        <v>1.031921296296296E-3</v>
      </c>
      <c r="X7" s="9" t="e">
        <f>NA()</f>
        <v>#N/A</v>
      </c>
      <c r="Y7" s="9" t="e">
        <f>NA()</f>
        <v>#N/A</v>
      </c>
    </row>
    <row r="8" spans="1:25" x14ac:dyDescent="0.3">
      <c r="A8" s="10" t="b">
        <v>1</v>
      </c>
      <c r="B8" t="s">
        <v>280</v>
      </c>
      <c r="C8" s="15" t="s">
        <v>305</v>
      </c>
      <c r="E8" s="32">
        <v>5</v>
      </c>
      <c r="F8" s="9">
        <f>IF($A$4,'Marc Marquez'!J10,NA())</f>
        <v>1.0162037037037041E-3</v>
      </c>
      <c r="G8" s="9">
        <f>IF($A$5,'Alex Marquez'!J10,NA())</f>
        <v>1.0159374999999999E-3</v>
      </c>
      <c r="H8" s="9">
        <f>IF($A$6,'Fabio Di Giannantonio'!J10,NA())</f>
        <v>1.017372685185185E-3</v>
      </c>
      <c r="I8" s="9">
        <f>IF($A$7,'Marco Bezzecchi'!J10,NA())</f>
        <v>1.0199884259259259E-3</v>
      </c>
      <c r="J8" s="9">
        <f>IF($A$8,'Pedro Acosta'!J10,NA())</f>
        <v>1.0206944444444449E-3</v>
      </c>
      <c r="K8" s="9">
        <f>IF($A$9,'Ai Ogura'!J10,NA())</f>
        <v>1.0187152777777781E-3</v>
      </c>
      <c r="L8" s="9">
        <f>IF($A$10,'Brad Binder'!J10,NA())</f>
        <v>1.026099537037037E-3</v>
      </c>
      <c r="M8" s="9">
        <f>IF($A$11,'Jack Miller'!J10,NA())</f>
        <v>1.028402777777778E-3</v>
      </c>
      <c r="N8" s="9">
        <f>IF($A$12,'Diogo Moreira'!J10,NA())</f>
        <v>1.0268171296296299E-3</v>
      </c>
      <c r="O8" s="9">
        <f>IF($A$13,'Iker Lecuona'!J10,NA())</f>
        <v>1.0220254629629631E-3</v>
      </c>
      <c r="P8" s="9">
        <f>IF($A$14,'Fabio Quartararo'!J10,NA())</f>
        <v>1.0235532407407411E-3</v>
      </c>
      <c r="Q8" s="9">
        <f>IF($A$15,'Enea Bastianini'!J10,NA())</f>
        <v>1.023368055555556E-3</v>
      </c>
      <c r="R8" s="9">
        <f>IF($A$16,'Alex Rins'!J10,NA())</f>
        <v>1.025300925925926E-3</v>
      </c>
      <c r="S8" s="9">
        <f>IF($A$17,'Franco Morbidelli'!J10,NA())</f>
        <v>1.030810185185185E-3</v>
      </c>
      <c r="T8" s="9">
        <f>IF($A$18,'Augusto Fernandez'!J10,NA())</f>
        <v>1.042962962962963E-3</v>
      </c>
      <c r="U8" s="9">
        <f>IF($A$19,'Raul Fernandez'!J10,NA())</f>
        <v>1.021678240740741E-3</v>
      </c>
      <c r="V8" s="9">
        <f>IF($A$20,'Jorge Martin'!J10,NA())</f>
        <v>1.019155092592593E-3</v>
      </c>
      <c r="W8" s="9">
        <f>IF($A$21,'Maverick Viñales'!J10,NA())</f>
        <v>1.028275462962963E-3</v>
      </c>
      <c r="X8" s="9" t="e">
        <f>NA()</f>
        <v>#N/A</v>
      </c>
      <c r="Y8" s="9" t="e">
        <f>NA()</f>
        <v>#N/A</v>
      </c>
    </row>
    <row r="9" spans="1:25" x14ac:dyDescent="0.3">
      <c r="A9" s="10" t="b">
        <v>1</v>
      </c>
      <c r="B9" t="s">
        <v>281</v>
      </c>
      <c r="C9" s="16" t="s">
        <v>306</v>
      </c>
      <c r="E9" s="32">
        <v>6</v>
      </c>
      <c r="F9" s="9">
        <f>IF($A$4,'Marc Marquez'!J11,NA())</f>
        <v>1.018703703703704E-3</v>
      </c>
      <c r="G9" s="9">
        <f>IF($A$5,'Alex Marquez'!J11,NA())</f>
        <v>1.0124768518518521E-3</v>
      </c>
      <c r="H9" s="9">
        <f>IF($A$6,'Fabio Di Giannantonio'!J11,NA())</f>
        <v>1.0190393518518519E-3</v>
      </c>
      <c r="I9" s="9">
        <f>IF($A$7,'Marco Bezzecchi'!J11,NA())</f>
        <v>1.0148611111111109E-3</v>
      </c>
      <c r="J9" s="9">
        <f>IF($A$8,'Pedro Acosta'!J11,NA())</f>
        <v>1.0227662037037039E-3</v>
      </c>
      <c r="K9" s="9">
        <f>IF($A$9,'Ai Ogura'!J11,NA())</f>
        <v>1.0303356481481481E-3</v>
      </c>
      <c r="L9" s="9">
        <f>IF($A$10,'Brad Binder'!J11,NA())</f>
        <v>1.0195833333333331E-3</v>
      </c>
      <c r="M9" s="9">
        <f>IF($A$11,'Jack Miller'!J11,NA())</f>
        <v>1.023541666666667E-3</v>
      </c>
      <c r="N9" s="9">
        <f>IF($A$12,'Diogo Moreira'!J11,NA())</f>
        <v>1.0363657407407409E-3</v>
      </c>
      <c r="O9" s="9">
        <f>IF($A$13,'Iker Lecuona'!J11,NA())</f>
        <v>1.0194097222222219E-3</v>
      </c>
      <c r="P9" s="9">
        <f>IF($A$14,'Fabio Quartararo'!J11,NA())</f>
        <v>1.031006944444444E-3</v>
      </c>
      <c r="Q9" s="9">
        <f>IF($A$15,'Enea Bastianini'!J11,NA())</f>
        <v>1.03005787037037E-3</v>
      </c>
      <c r="R9" s="9">
        <f>IF($A$16,'Alex Rins'!J11,NA())</f>
        <v>1.024236111111111E-3</v>
      </c>
      <c r="S9" s="9">
        <f>IF($A$17,'Franco Morbidelli'!J11,NA())</f>
        <v>1.031226851851852E-3</v>
      </c>
      <c r="T9" s="9">
        <f>IF($A$18,'Augusto Fernandez'!J11,NA())</f>
        <v>1.046423611111111E-3</v>
      </c>
      <c r="U9" s="9">
        <f>IF($A$19,'Raul Fernandez'!J11,NA())</f>
        <v>1.032013888888889E-3</v>
      </c>
      <c r="V9" s="9">
        <f>IF($A$20,'Jorge Martin'!J11,NA())</f>
        <v>1.0189236111111111E-3</v>
      </c>
      <c r="W9" s="9">
        <f>IF($A$21,'Maverick Viñales'!J11,NA())</f>
        <v>1.0329745370370371E-3</v>
      </c>
      <c r="X9" s="9" t="e">
        <f>NA()</f>
        <v>#N/A</v>
      </c>
      <c r="Y9" s="9" t="e">
        <f>NA()</f>
        <v>#N/A</v>
      </c>
    </row>
    <row r="10" spans="1:25" x14ac:dyDescent="0.3">
      <c r="A10" s="10" t="b">
        <v>1</v>
      </c>
      <c r="B10" t="s">
        <v>282</v>
      </c>
      <c r="C10" s="17" t="s">
        <v>307</v>
      </c>
      <c r="E10" s="32">
        <v>7</v>
      </c>
      <c r="F10" s="9">
        <f>IF($A$4,'Marc Marquez'!J12,NA())</f>
        <v>1.0151273148148151E-3</v>
      </c>
      <c r="G10" s="9">
        <f>IF($A$5,'Alex Marquez'!J12,NA())</f>
        <v>1.013888888888889E-3</v>
      </c>
      <c r="H10" s="9">
        <f>IF($A$6,'Fabio Di Giannantonio'!J12,NA())</f>
        <v>1.015208333333333E-3</v>
      </c>
      <c r="I10" s="9">
        <f>IF($A$7,'Marco Bezzecchi'!J12,NA())</f>
        <v>1.015601851851852E-3</v>
      </c>
      <c r="J10" s="9">
        <f>IF($A$8,'Pedro Acosta'!J12,NA())</f>
        <v>1.019513888888889E-3</v>
      </c>
      <c r="K10" s="9">
        <f>IF($A$9,'Ai Ogura'!J12,NA())</f>
        <v>1.0196064814814809E-3</v>
      </c>
      <c r="L10" s="9">
        <f>IF($A$10,'Brad Binder'!J12,NA())</f>
        <v>1.025798611111111E-3</v>
      </c>
      <c r="M10" s="9">
        <f>IF($A$11,'Jack Miller'!J12,NA())</f>
        <v>1.029108796296296E-3</v>
      </c>
      <c r="N10" s="9">
        <f>IF($A$12,'Diogo Moreira'!J12,NA())</f>
        <v>1.025729166666667E-3</v>
      </c>
      <c r="O10" s="9">
        <f>IF($A$13,'Iker Lecuona'!J12,NA())</f>
        <v>1.0256250000000001E-3</v>
      </c>
      <c r="P10" s="9">
        <f>IF($A$14,'Fabio Quartararo'!J12,NA())</f>
        <v>1.0258217592592591E-3</v>
      </c>
      <c r="Q10" s="9">
        <f>IF($A$15,'Enea Bastianini'!J12,NA())</f>
        <v>1.0380439814814809E-3</v>
      </c>
      <c r="R10" s="9">
        <f>IF($A$16,'Alex Rins'!J12,NA())</f>
        <v>1.0215972222222219E-3</v>
      </c>
      <c r="S10" s="9">
        <f>IF($A$17,'Franco Morbidelli'!J12,NA())</f>
        <v>1.030960648148148E-3</v>
      </c>
      <c r="T10" s="9">
        <f>IF($A$18,'Augusto Fernandez'!J12,NA())</f>
        <v>1.050740740740741E-3</v>
      </c>
      <c r="U10" s="9">
        <f>IF($A$19,'Raul Fernandez'!J12,NA())</f>
        <v>1.021006944444444E-3</v>
      </c>
      <c r="V10" s="9">
        <f>IF($A$20,'Jorge Martin'!J12,NA())</f>
        <v>1.0149537037037039E-3</v>
      </c>
      <c r="W10" s="9" t="e">
        <f>NA()</f>
        <v>#N/A</v>
      </c>
      <c r="X10" s="9" t="e">
        <f>NA()</f>
        <v>#N/A</v>
      </c>
      <c r="Y10" s="9" t="e">
        <f>NA()</f>
        <v>#N/A</v>
      </c>
    </row>
    <row r="11" spans="1:25" x14ac:dyDescent="0.3">
      <c r="A11" s="10" t="b">
        <v>1</v>
      </c>
      <c r="B11" t="s">
        <v>283</v>
      </c>
      <c r="C11" s="18" t="s">
        <v>308</v>
      </c>
      <c r="E11" s="32">
        <v>8</v>
      </c>
      <c r="F11" s="9">
        <f>IF($A$4,'Marc Marquez'!J13,NA())</f>
        <v>1.021423611111111E-3</v>
      </c>
      <c r="G11" s="9">
        <f>IF($A$5,'Alex Marquez'!J13,NA())</f>
        <v>1.017164351851852E-3</v>
      </c>
      <c r="H11" s="9">
        <f>IF($A$6,'Fabio Di Giannantonio'!J13,NA())</f>
        <v>1.017893518518518E-3</v>
      </c>
      <c r="I11" s="9">
        <f>IF($A$7,'Marco Bezzecchi'!J13,NA())</f>
        <v>1.0175115740740741E-3</v>
      </c>
      <c r="J11" s="9">
        <f>IF($A$8,'Pedro Acosta'!J13,NA())</f>
        <v>1.018310185185185E-3</v>
      </c>
      <c r="K11" s="9">
        <f>IF($A$9,'Ai Ogura'!J13,NA())</f>
        <v>1.0167245370370369E-3</v>
      </c>
      <c r="L11" s="9">
        <f>IF($A$10,'Brad Binder'!J13,NA())</f>
        <v>1.0258796296296301E-3</v>
      </c>
      <c r="M11" s="9">
        <f>IF($A$11,'Jack Miller'!J13,NA())</f>
        <v>1.027719907407408E-3</v>
      </c>
      <c r="N11" s="9">
        <f>IF($A$12,'Diogo Moreira'!J13,NA())</f>
        <v>1.025219907407407E-3</v>
      </c>
      <c r="O11" s="9">
        <f>IF($A$13,'Iker Lecuona'!J13,NA())</f>
        <v>1.0247916666666669E-3</v>
      </c>
      <c r="P11" s="9">
        <f>IF($A$14,'Fabio Quartararo'!J13,NA())</f>
        <v>1.0276736111111109E-3</v>
      </c>
      <c r="Q11" s="9">
        <f>IF($A$15,'Enea Bastianini'!J13,NA())</f>
        <v>1.0225462962962959E-3</v>
      </c>
      <c r="R11" s="9">
        <f>IF($A$16,'Alex Rins'!J13,NA())</f>
        <v>1.022361111111111E-3</v>
      </c>
      <c r="S11" s="9">
        <f>IF($A$17,'Franco Morbidelli'!J13,NA())</f>
        <v>1.0319444444444441E-3</v>
      </c>
      <c r="T11" s="9">
        <f>IF($A$18,'Augusto Fernandez'!J13,NA())</f>
        <v>1.051435185185185E-3</v>
      </c>
      <c r="U11" s="9">
        <f>IF($A$19,'Raul Fernandez'!J13,NA())</f>
        <v>1.030011574074074E-3</v>
      </c>
      <c r="V11" s="9" t="e">
        <f>NA()</f>
        <v>#N/A</v>
      </c>
      <c r="W11" s="9" t="e">
        <f>NA()</f>
        <v>#N/A</v>
      </c>
      <c r="X11" s="9" t="e">
        <f>NA()</f>
        <v>#N/A</v>
      </c>
      <c r="Y11" s="9" t="e">
        <f>NA()</f>
        <v>#N/A</v>
      </c>
    </row>
    <row r="12" spans="1:25" x14ac:dyDescent="0.3">
      <c r="A12" s="10" t="b">
        <v>1</v>
      </c>
      <c r="B12" t="s">
        <v>284</v>
      </c>
      <c r="C12" s="19" t="s">
        <v>309</v>
      </c>
      <c r="E12" s="32">
        <v>9</v>
      </c>
      <c r="F12" s="9">
        <f>IF($A$4,'Marc Marquez'!J14,NA())</f>
        <v>1.018969907407407E-3</v>
      </c>
      <c r="G12" s="9">
        <f>IF($A$5,'Alex Marquez'!J14,NA())</f>
        <v>1.0165162037037039E-3</v>
      </c>
      <c r="H12" s="9">
        <f>IF($A$6,'Fabio Di Giannantonio'!J14,NA())</f>
        <v>1.016168981481481E-3</v>
      </c>
      <c r="I12" s="9">
        <f>IF($A$7,'Marco Bezzecchi'!J14,NA())</f>
        <v>1.016030092592592E-3</v>
      </c>
      <c r="J12" s="9">
        <f>IF($A$8,'Pedro Acosta'!J14,NA())</f>
        <v>1.01650462962963E-3</v>
      </c>
      <c r="K12" s="9">
        <f>IF($A$9,'Ai Ogura'!J14,NA())</f>
        <v>1.0219791666666669E-3</v>
      </c>
      <c r="L12" s="9">
        <f>IF($A$10,'Brad Binder'!J14,NA())</f>
        <v>1.0261458333333329E-3</v>
      </c>
      <c r="M12" s="9">
        <f>IF($A$11,'Jack Miller'!J14,NA())</f>
        <v>1.0309027777777779E-3</v>
      </c>
      <c r="N12" s="9">
        <f>IF($A$12,'Diogo Moreira'!J14,NA())</f>
        <v>1.0255208333333329E-3</v>
      </c>
      <c r="O12" s="9">
        <f>IF($A$13,'Iker Lecuona'!J14,NA())</f>
        <v>1.0231712962962959E-3</v>
      </c>
      <c r="P12" s="9">
        <f>IF($A$14,'Fabio Quartararo'!J14,NA())</f>
        <v>1.024467592592592E-3</v>
      </c>
      <c r="Q12" s="9">
        <f>IF($A$15,'Enea Bastianini'!J14,NA())</f>
        <v>1.024224537037037E-3</v>
      </c>
      <c r="R12" s="9">
        <f>IF($A$16,'Alex Rins'!J14,NA())</f>
        <v>1.0202546296296301E-3</v>
      </c>
      <c r="S12" s="9">
        <f>IF($A$17,'Franco Morbidelli'!J14,NA())</f>
        <v>1.030277777777778E-3</v>
      </c>
      <c r="T12" s="9">
        <f>IF($A$18,'Augusto Fernandez'!J14,NA())</f>
        <v>1.052210648148148E-3</v>
      </c>
      <c r="U12" s="9" t="e">
        <f>NA()</f>
        <v>#N/A</v>
      </c>
      <c r="V12" s="9" t="e">
        <f>NA()</f>
        <v>#N/A</v>
      </c>
      <c r="W12" s="9" t="e">
        <f>NA()</f>
        <v>#N/A</v>
      </c>
      <c r="X12" s="9" t="e">
        <f>NA()</f>
        <v>#N/A</v>
      </c>
      <c r="Y12" s="9" t="e">
        <f>NA()</f>
        <v>#N/A</v>
      </c>
    </row>
    <row r="13" spans="1:25" x14ac:dyDescent="0.3">
      <c r="A13" s="10" t="b">
        <v>1</v>
      </c>
      <c r="B13" t="s">
        <v>285</v>
      </c>
      <c r="C13" s="20" t="s">
        <v>310</v>
      </c>
      <c r="E13" s="32">
        <v>10</v>
      </c>
      <c r="F13" s="9">
        <f>IF($A$4,'Marc Marquez'!J15,NA())</f>
        <v>1.016967592592593E-3</v>
      </c>
      <c r="G13" s="9">
        <f>IF($A$5,'Alex Marquez'!J15,NA())</f>
        <v>1.0178703703703699E-3</v>
      </c>
      <c r="H13" s="9">
        <f>IF($A$6,'Fabio Di Giannantonio'!J15,NA())</f>
        <v>1.014270833333333E-3</v>
      </c>
      <c r="I13" s="9">
        <f>IF($A$7,'Marco Bezzecchi'!J15,NA())</f>
        <v>1.0115625000000001E-3</v>
      </c>
      <c r="J13" s="9">
        <f>IF($A$8,'Pedro Acosta'!J15,NA())</f>
        <v>1.018206018518519E-3</v>
      </c>
      <c r="K13" s="9">
        <f>IF($A$9,'Ai Ogura'!J15,NA())</f>
        <v>1.0198726851851851E-3</v>
      </c>
      <c r="L13" s="9">
        <f>IF($A$10,'Brad Binder'!J15,NA())</f>
        <v>1.0251967592592589E-3</v>
      </c>
      <c r="M13" s="9">
        <f>IF($A$11,'Jack Miller'!J15,NA())</f>
        <v>1.020625E-3</v>
      </c>
      <c r="N13" s="9">
        <f>IF($A$12,'Diogo Moreira'!J15,NA())</f>
        <v>1.025231481481482E-3</v>
      </c>
      <c r="O13" s="9">
        <f>IF($A$13,'Iker Lecuona'!J15,NA())</f>
        <v>1.025347222222222E-3</v>
      </c>
      <c r="P13" s="9">
        <f>IF($A$14,'Fabio Quartararo'!J15,NA())</f>
        <v>1.024884259259259E-3</v>
      </c>
      <c r="Q13" s="9">
        <f>IF($A$15,'Enea Bastianini'!J15,NA())</f>
        <v>1.023078703703704E-3</v>
      </c>
      <c r="R13" s="9">
        <f>IF($A$16,'Alex Rins'!J15,NA())</f>
        <v>1.022986111111111E-3</v>
      </c>
      <c r="S13" s="9">
        <f>IF($A$17,'Franco Morbidelli'!J15,NA())</f>
        <v>1.0295138888888891E-3</v>
      </c>
      <c r="T13" s="9">
        <f>IF($A$18,'Augusto Fernandez'!J15,NA())</f>
        <v>1.05568287037037E-3</v>
      </c>
      <c r="U13" s="9" t="e">
        <f>NA()</f>
        <v>#N/A</v>
      </c>
      <c r="V13" s="9" t="e">
        <f>NA()</f>
        <v>#N/A</v>
      </c>
      <c r="W13" s="9" t="e">
        <f>NA()</f>
        <v>#N/A</v>
      </c>
      <c r="X13" s="9" t="e">
        <f>NA()</f>
        <v>#N/A</v>
      </c>
      <c r="Y13" s="9" t="e">
        <f>NA()</f>
        <v>#N/A</v>
      </c>
    </row>
    <row r="14" spans="1:25" x14ac:dyDescent="0.3">
      <c r="A14" s="10" t="b">
        <v>1</v>
      </c>
      <c r="B14" t="s">
        <v>286</v>
      </c>
      <c r="C14" s="21" t="s">
        <v>311</v>
      </c>
      <c r="E14" s="32">
        <v>11</v>
      </c>
      <c r="F14" s="9">
        <f>IF($A$4,'Marc Marquez'!J16,NA())</f>
        <v>1.0175462962962959E-3</v>
      </c>
      <c r="G14" s="9">
        <f>IF($A$5,'Alex Marquez'!J16,NA())</f>
        <v>1.0185879629629629E-3</v>
      </c>
      <c r="H14" s="9">
        <f>IF($A$6,'Fabio Di Giannantonio'!J16,NA())</f>
        <v>1.0147453703703701E-3</v>
      </c>
      <c r="I14" s="9">
        <f>IF($A$7,'Marco Bezzecchi'!J16,NA())</f>
        <v>1.013611111111111E-3</v>
      </c>
      <c r="J14" s="9">
        <f>IF($A$8,'Pedro Acosta'!J16,NA())</f>
        <v>1.0195023148148151E-3</v>
      </c>
      <c r="K14" s="9">
        <f>IF($A$9,'Ai Ogura'!J16,NA())</f>
        <v>1.017256944444445E-3</v>
      </c>
      <c r="L14" s="9">
        <f>IF($A$10,'Brad Binder'!J16,NA())</f>
        <v>1.0219791666666669E-3</v>
      </c>
      <c r="M14" s="9">
        <f>IF($A$11,'Jack Miller'!J16,NA())</f>
        <v>1.020729166666667E-3</v>
      </c>
      <c r="N14" s="9">
        <f>IF($A$12,'Diogo Moreira'!J16,NA())</f>
        <v>1.029328703703704E-3</v>
      </c>
      <c r="O14" s="9">
        <f>IF($A$13,'Iker Lecuona'!J16,NA())</f>
        <v>1.0299305555555561E-3</v>
      </c>
      <c r="P14" s="9">
        <f>IF($A$14,'Fabio Quartararo'!J16,NA())</f>
        <v>1.024155092592593E-3</v>
      </c>
      <c r="Q14" s="9">
        <f>IF($A$15,'Enea Bastianini'!J16,NA())</f>
        <v>1.022361111111111E-3</v>
      </c>
      <c r="R14" s="9">
        <f>IF($A$16,'Alex Rins'!J16,NA())</f>
        <v>1.022407407407407E-3</v>
      </c>
      <c r="S14" s="9">
        <f>IF($A$17,'Franco Morbidelli'!J16,NA())</f>
        <v>1.0295138888888891E-3</v>
      </c>
      <c r="T14" s="9">
        <f>IF($A$18,'Augusto Fernandez'!J16,NA())</f>
        <v>1.054895833333333E-3</v>
      </c>
      <c r="U14" s="9" t="e">
        <f>NA()</f>
        <v>#N/A</v>
      </c>
      <c r="V14" s="9" t="e">
        <f>NA()</f>
        <v>#N/A</v>
      </c>
      <c r="W14" s="9" t="e">
        <f>NA()</f>
        <v>#N/A</v>
      </c>
      <c r="X14" s="9" t="e">
        <f>NA()</f>
        <v>#N/A</v>
      </c>
      <c r="Y14" s="9" t="e">
        <f>NA()</f>
        <v>#N/A</v>
      </c>
    </row>
    <row r="15" spans="1:25" x14ac:dyDescent="0.3">
      <c r="A15" s="10" t="b">
        <v>1</v>
      </c>
      <c r="B15" t="s">
        <v>287</v>
      </c>
      <c r="C15" s="22" t="s">
        <v>312</v>
      </c>
      <c r="E15" s="32">
        <v>12</v>
      </c>
      <c r="F15" s="9">
        <f>IF($A$4,'Marc Marquez'!J17,NA())</f>
        <v>1.017789351851852E-3</v>
      </c>
      <c r="G15" s="9">
        <f>IF($A$5,'Alex Marquez'!J17,NA())</f>
        <v>1.0176851851851851E-3</v>
      </c>
      <c r="H15" s="9">
        <f>IF($A$6,'Fabio Di Giannantonio'!J17,NA())</f>
        <v>1.014027777777778E-3</v>
      </c>
      <c r="I15" s="9">
        <f>IF($A$7,'Marco Bezzecchi'!J17,NA())</f>
        <v>1.014606481481482E-3</v>
      </c>
      <c r="J15" s="9">
        <f>IF($A$8,'Pedro Acosta'!J17,NA())</f>
        <v>1.023831018518519E-3</v>
      </c>
      <c r="K15" s="9">
        <f>IF($A$9,'Ai Ogura'!J17,NA())</f>
        <v>1.0190046296296299E-3</v>
      </c>
      <c r="L15" s="9">
        <f>IF($A$10,'Brad Binder'!J17,NA())</f>
        <v>1.0209722222222219E-3</v>
      </c>
      <c r="M15" s="9">
        <f>IF($A$11,'Jack Miller'!J17,NA())</f>
        <v>1.0228009259259259E-3</v>
      </c>
      <c r="N15" s="9">
        <f>IF($A$12,'Diogo Moreira'!J17,NA())</f>
        <v>1.028483796296296E-3</v>
      </c>
      <c r="O15" s="9">
        <f>IF($A$13,'Iker Lecuona'!J17,NA())</f>
        <v>1.027581018518519E-3</v>
      </c>
      <c r="P15" s="9">
        <f>IF($A$14,'Fabio Quartararo'!J17,NA())</f>
        <v>1.0246064814814809E-3</v>
      </c>
      <c r="Q15" s="9">
        <f>IF($A$15,'Enea Bastianini'!J17,NA())</f>
        <v>1.023310185185185E-3</v>
      </c>
      <c r="R15" s="9">
        <f>IF($A$16,'Alex Rins'!J17,NA())</f>
        <v>1.0251967592592589E-3</v>
      </c>
      <c r="S15" s="9">
        <f>IF($A$17,'Franco Morbidelli'!J17,NA())</f>
        <v>1.033414351851852E-3</v>
      </c>
      <c r="T15" s="9">
        <f>IF($A$18,'Augusto Fernandez'!J17,NA())</f>
        <v>1.0634143518518521E-3</v>
      </c>
      <c r="U15" s="9" t="e">
        <f>NA()</f>
        <v>#N/A</v>
      </c>
      <c r="V15" s="9" t="e">
        <f>NA()</f>
        <v>#N/A</v>
      </c>
      <c r="W15" s="9" t="e">
        <f>NA()</f>
        <v>#N/A</v>
      </c>
      <c r="X15" s="9" t="e">
        <f>NA()</f>
        <v>#N/A</v>
      </c>
      <c r="Y15" s="9" t="e">
        <f>NA()</f>
        <v>#N/A</v>
      </c>
    </row>
    <row r="16" spans="1:25" x14ac:dyDescent="0.3">
      <c r="A16" s="10" t="b">
        <v>1</v>
      </c>
      <c r="B16" t="s">
        <v>288</v>
      </c>
      <c r="C16" s="23" t="s">
        <v>313</v>
      </c>
      <c r="E16" s="32">
        <v>13</v>
      </c>
      <c r="F16" s="9">
        <f>IF($A$4,'Marc Marquez'!J18,NA())</f>
        <v>1.017233796296296E-3</v>
      </c>
      <c r="G16" s="9">
        <f>IF($A$5,'Alex Marquez'!J18,NA())</f>
        <v>1.017893518518518E-3</v>
      </c>
      <c r="H16" s="9">
        <f>IF($A$6,'Fabio Di Giannantonio'!J18,NA())</f>
        <v>1.0159027777777779E-3</v>
      </c>
      <c r="I16" s="9">
        <f>IF($A$7,'Marco Bezzecchi'!J18,NA())</f>
        <v>1.018206018518519E-3</v>
      </c>
      <c r="J16" s="9">
        <f>IF($A$8,'Pedro Acosta'!J18,NA())</f>
        <v>1.0274421296296301E-3</v>
      </c>
      <c r="K16" s="9">
        <f>IF($A$9,'Ai Ogura'!J18,NA())</f>
        <v>1.0218634259259261E-3</v>
      </c>
      <c r="L16" s="9">
        <f>IF($A$10,'Brad Binder'!J18,NA())</f>
        <v>1.025300925925926E-3</v>
      </c>
      <c r="M16" s="9">
        <f>IF($A$11,'Jack Miller'!J18,NA())</f>
        <v>1.024282407407408E-3</v>
      </c>
      <c r="N16" s="9">
        <f>IF($A$12,'Diogo Moreira'!J18,NA())</f>
        <v>1.0299074074074069E-3</v>
      </c>
      <c r="O16" s="9">
        <f>IF($A$13,'Iker Lecuona'!J18,NA())</f>
        <v>1.0320949074074069E-3</v>
      </c>
      <c r="P16" s="9">
        <f>IF($A$14,'Fabio Quartararo'!J18,NA())</f>
        <v>1.026458333333333E-3</v>
      </c>
      <c r="Q16" s="9">
        <f>IF($A$15,'Enea Bastianini'!J18,NA())</f>
        <v>1.0276736111111109E-3</v>
      </c>
      <c r="R16" s="9">
        <f>IF($A$16,'Alex Rins'!J18,NA())</f>
        <v>1.026805555555556E-3</v>
      </c>
      <c r="S16" s="9">
        <f>IF($A$17,'Franco Morbidelli'!J18,NA())</f>
        <v>1.031342592592593E-3</v>
      </c>
      <c r="T16" s="9">
        <f>IF($A$18,'Augusto Fernandez'!J18,NA())</f>
        <v>1.0579861111111111E-3</v>
      </c>
      <c r="U16" s="9" t="e">
        <f>NA()</f>
        <v>#N/A</v>
      </c>
      <c r="V16" s="9" t="e">
        <f>NA()</f>
        <v>#N/A</v>
      </c>
      <c r="W16" s="9" t="e">
        <f>NA()</f>
        <v>#N/A</v>
      </c>
      <c r="X16" s="9" t="e">
        <f>NA()</f>
        <v>#N/A</v>
      </c>
      <c r="Y16" s="9" t="e">
        <f>NA()</f>
        <v>#N/A</v>
      </c>
    </row>
    <row r="17" spans="1:3" x14ac:dyDescent="0.3">
      <c r="A17" s="10" t="b">
        <v>1</v>
      </c>
      <c r="B17" t="s">
        <v>289</v>
      </c>
      <c r="C17" s="24" t="s">
        <v>314</v>
      </c>
    </row>
    <row r="18" spans="1:3" x14ac:dyDescent="0.3">
      <c r="A18" s="10" t="b">
        <v>1</v>
      </c>
      <c r="B18" t="s">
        <v>290</v>
      </c>
      <c r="C18" s="25" t="s">
        <v>315</v>
      </c>
    </row>
    <row r="19" spans="1:3" x14ac:dyDescent="0.3">
      <c r="A19" s="10" t="b">
        <v>1</v>
      </c>
      <c r="B19" t="s">
        <v>291</v>
      </c>
      <c r="C19" s="26" t="s">
        <v>316</v>
      </c>
    </row>
    <row r="20" spans="1:3" x14ac:dyDescent="0.3">
      <c r="A20" s="10" t="b">
        <v>1</v>
      </c>
      <c r="B20" t="s">
        <v>292</v>
      </c>
      <c r="C20" s="27" t="s">
        <v>317</v>
      </c>
    </row>
    <row r="21" spans="1:3" x14ac:dyDescent="0.3">
      <c r="A21" s="10" t="b">
        <v>1</v>
      </c>
      <c r="B21" t="s">
        <v>293</v>
      </c>
      <c r="C21" s="28" t="s">
        <v>318</v>
      </c>
    </row>
    <row r="22" spans="1:3" x14ac:dyDescent="0.3">
      <c r="A22" s="10" t="b">
        <v>1</v>
      </c>
      <c r="B22" t="s">
        <v>294</v>
      </c>
      <c r="C22" s="29" t="s">
        <v>319</v>
      </c>
    </row>
    <row r="23" spans="1:3" x14ac:dyDescent="0.3">
      <c r="A23" s="10" t="b">
        <v>1</v>
      </c>
      <c r="B23" t="s">
        <v>295</v>
      </c>
      <c r="C23" s="30" t="s">
        <v>320</v>
      </c>
    </row>
  </sheetData>
  <mergeCells count="1">
    <mergeCell ref="A1:Y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Marc Marquez</vt:lpstr>
      <vt:lpstr>Alex Marquez</vt:lpstr>
      <vt:lpstr>Fabio Di Giannantonio</vt:lpstr>
      <vt:lpstr>Marco Bezzecchi</vt:lpstr>
      <vt:lpstr>Pedro Acosta</vt:lpstr>
      <vt:lpstr>Ai Ogura</vt:lpstr>
      <vt:lpstr>Brad Binder</vt:lpstr>
      <vt:lpstr>Jack Miller</vt:lpstr>
      <vt:lpstr>Diogo Moreira</vt:lpstr>
      <vt:lpstr>Iker Lecuona</vt:lpstr>
      <vt:lpstr>Fabio Quartararo</vt:lpstr>
      <vt:lpstr>Enea Bastianini</vt:lpstr>
      <vt:lpstr>Alex Rins</vt:lpstr>
      <vt:lpstr>Franco Morbidelli</vt:lpstr>
      <vt:lpstr>Augusto Fernandez</vt:lpstr>
      <vt:lpstr>Raul Fernandez</vt:lpstr>
      <vt:lpstr>Jorge Martin</vt:lpstr>
      <vt:lpstr>Maverick Viñales</vt:lpstr>
      <vt:lpstr>Johann Zarco</vt:lpstr>
      <vt:lpstr>Francesco Bagnaia</vt:lpstr>
      <vt:lpstr>Race Data</vt:lpstr>
      <vt:lpstr>Race Progress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RED BULL GRAND PRIX OF AUSTRALIA Lap Analysis</dc:title>
  <dc:creator/>
  <dc:description>Generated from Analysis.pdf</dc:description>
  <cp:lastModifiedBy>Miguel Mayorga</cp:lastModifiedBy>
  <dcterms:created xsi:type="dcterms:W3CDTF">2026-10-26T01:58:30Z</dcterms:created>
  <dcterms:modified xsi:type="dcterms:W3CDTF">2026-10-26T17:43:19Z</dcterms:modified>
</cp:coreProperties>
</file>