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21446\Documents\MotoGP\Season_JSON\"/>
    </mc:Choice>
  </mc:AlternateContent>
  <xr:revisionPtr revIDLastSave="0" documentId="13_ncr:1_{831A3533-A451-4F83-A950-07BBE4B18E5C}" xr6:coauthVersionLast="47" xr6:coauthVersionMax="47" xr10:uidLastSave="{00000000-0000-0000-0000-000000000000}"/>
  <bookViews>
    <workbookView xWindow="-28920" yWindow="-120" windowWidth="29040" windowHeight="17520" activeTab="3" xr2:uid="{00000000-000D-0000-FFFF-FFFF00000000}"/>
  </bookViews>
  <sheets>
    <sheet name="Race Calendar" sheetId="1" r:id="rId1"/>
    <sheet name="Season Results" sheetId="2" r:id="rId2"/>
    <sheet name="Position Matrix" sheetId="3" r:id="rId3"/>
    <sheet name="Season Progres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0" i="4" l="1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</calcChain>
</file>

<file path=xl/sharedStrings.xml><?xml version="1.0" encoding="utf-8"?>
<sst xmlns="http://schemas.openxmlformats.org/spreadsheetml/2006/main" count="2756" uniqueCount="197">
  <si>
    <t>MotoGP Race Calendar</t>
  </si>
  <si>
    <t>Round</t>
  </si>
  <si>
    <t>Date</t>
  </si>
  <si>
    <t>Race</t>
  </si>
  <si>
    <t>Circuit</t>
  </si>
  <si>
    <t>Riders</t>
  </si>
  <si>
    <t>Maximum Laps</t>
  </si>
  <si>
    <t>Source JSON</t>
  </si>
  <si>
    <t>PT GRAND PRIX OF THAILAND i2 i3</t>
  </si>
  <si>
    <t>Chang International Circuit</t>
  </si>
  <si>
    <t>motogp_race_thailand.json</t>
  </si>
  <si>
    <t>ESTRELLA GALICIA 0,0 GRAND PRIX OF BRAZIL s fl</t>
  </si>
  <si>
    <t>Autódromo Internacional de</t>
  </si>
  <si>
    <t>motogp_race_brasil.json</t>
  </si>
  <si>
    <t>RED BULL GRAND PRIX OF THE UNITED STATES fl</t>
  </si>
  <si>
    <t>Circuit Of The Americas</t>
  </si>
  <si>
    <t>motogp_race_usa.json</t>
  </si>
  <si>
    <t>ESTRELLA GALICIA 0,0 GRAND PRIX OF SPAIN</t>
  </si>
  <si>
    <t>motogp_race_jerez.json</t>
  </si>
  <si>
    <t>MICHELIN GRAND PRIX OF FRANCE</t>
  </si>
  <si>
    <t>Le Mans</t>
  </si>
  <si>
    <t>motogp_race_le_mans.json</t>
  </si>
  <si>
    <t>MONSTER ENERGY GRAND PRIX OF CATALONIA i1</t>
  </si>
  <si>
    <t>motogp_race_catalunia.json</t>
  </si>
  <si>
    <t>BREMBO GRAND PRIX OF ITALY</t>
  </si>
  <si>
    <t>Autodromo Internazionale del</t>
  </si>
  <si>
    <t>motogp_race_mugello.json</t>
  </si>
  <si>
    <t>GRAND PRIX OF HUNGARY i2 i3</t>
  </si>
  <si>
    <t>Balaton Park Circuit</t>
  </si>
  <si>
    <t>motogp_race_balaton_park.json</t>
  </si>
  <si>
    <t>MONSTER ENERGY GRAND PRIX OF CZECHIA i3</t>
  </si>
  <si>
    <t>CREDITAS Autodrom Brno</t>
  </si>
  <si>
    <t>motogp_race_breno.json</t>
  </si>
  <si>
    <t>GRAND PRIX OF THE NETHERLANDSTISSOT GRAND PRIX OF TH i3</t>
  </si>
  <si>
    <t>TT Circuit Assen</t>
  </si>
  <si>
    <t>motogp_race_assen.json</t>
  </si>
  <si>
    <t>LIQUI MOLY GRAND PRIX OF GERMANY</t>
  </si>
  <si>
    <t>Sachsenring</t>
  </si>
  <si>
    <t>motogp_race_sachsering.json</t>
  </si>
  <si>
    <t>QATAR AIRWAYS GRAND PRIX OF GREAT BRITAIN</t>
  </si>
  <si>
    <t>Silverstone Circuit</t>
  </si>
  <si>
    <t>motogp_race_silverstone.json</t>
  </si>
  <si>
    <t>MICHELIN GRAND PRIX OF ARAGON</t>
  </si>
  <si>
    <t>MotorLand Aragón</t>
  </si>
  <si>
    <t>motogp_race_aragon.json</t>
  </si>
  <si>
    <t>RED BULL GRAND PRIX OF SAN MARINO AND THE RIMINI RIVIE fl</t>
  </si>
  <si>
    <t>Misano World Circuit Marco</t>
  </si>
  <si>
    <t>motogp_race_sanmarino.json</t>
  </si>
  <si>
    <t>QATAR AIRWAYS GRAND PRIX OF AUSTRIA</t>
  </si>
  <si>
    <t>Red Bull Ring - Spielberg</t>
  </si>
  <si>
    <t>motogp_race_austria.json</t>
  </si>
  <si>
    <t>MOTUL GRAND PRIX OF JAPAN i1</t>
  </si>
  <si>
    <t>Mobility Resort Motegi</t>
  </si>
  <si>
    <t>motogp_race_motegi.json</t>
  </si>
  <si>
    <t>PERTAMINA GRAND PRIX OF INDONESIA</t>
  </si>
  <si>
    <t>Pertamina Mandalika Circuit</t>
  </si>
  <si>
    <t>motogp_race_mandalika.json</t>
  </si>
  <si>
    <t>Rider</t>
  </si>
  <si>
    <t>Number</t>
  </si>
  <si>
    <t>Team</t>
  </si>
  <si>
    <t>Manufacturer</t>
  </si>
  <si>
    <t>Nationality</t>
  </si>
  <si>
    <t>Finish Position</t>
  </si>
  <si>
    <t>Completed Laps</t>
  </si>
  <si>
    <t>Valid Laps</t>
  </si>
  <si>
    <t>Marco BEZZECCHI</t>
  </si>
  <si>
    <t>Aprilia Racing</t>
  </si>
  <si>
    <t>APRILIA</t>
  </si>
  <si>
    <t>ITA</t>
  </si>
  <si>
    <t>Pedro ACOSTA</t>
  </si>
  <si>
    <t>Red Bull KTM Factory Racing</t>
  </si>
  <si>
    <t>KTM</t>
  </si>
  <si>
    <t>SPA</t>
  </si>
  <si>
    <t>Raul FERNANDEZ</t>
  </si>
  <si>
    <t>Trackhouse MotoGP Team</t>
  </si>
  <si>
    <t>Jorge MARTIN</t>
  </si>
  <si>
    <t>Ai OGURA</t>
  </si>
  <si>
    <t>JPN</t>
  </si>
  <si>
    <t>Fabio DI GIANNANTONIO</t>
  </si>
  <si>
    <t>Pertamina Enduro VR46 Racing Team</t>
  </si>
  <si>
    <t>DUCATI</t>
  </si>
  <si>
    <t>Brad BINDER</t>
  </si>
  <si>
    <t>RSA</t>
  </si>
  <si>
    <t>Franco MORBIDELLI</t>
  </si>
  <si>
    <t>Francesco BAGNAIA</t>
  </si>
  <si>
    <t>Ducati Lenovo Team</t>
  </si>
  <si>
    <t>Luca MARINI</t>
  </si>
  <si>
    <t>Honda HRC Castrol</t>
  </si>
  <si>
    <t>HONDA</t>
  </si>
  <si>
    <t>Johann ZARCO</t>
  </si>
  <si>
    <t>Castrol Honda LCR</t>
  </si>
  <si>
    <t>FRA</t>
  </si>
  <si>
    <t>Enea BASTIANINI</t>
  </si>
  <si>
    <t>Red Bull KTM Tech3</t>
  </si>
  <si>
    <t>Diogo MOREIRA</t>
  </si>
  <si>
    <t>Pro Honda LCR</t>
  </si>
  <si>
    <t>BRA</t>
  </si>
  <si>
    <t>Fabio QUARTARARO</t>
  </si>
  <si>
    <t>Monster Energy Yamaha MotoGP Team</t>
  </si>
  <si>
    <t>YAMAHA</t>
  </si>
  <si>
    <t>Alex RINS</t>
  </si>
  <si>
    <t>Maverick VIÑALES</t>
  </si>
  <si>
    <t>Toprak RAZGATLIOGLU</t>
  </si>
  <si>
    <t>Prima Pramac Yamaha MotoGP</t>
  </si>
  <si>
    <t>TUR</t>
  </si>
  <si>
    <t>Jack MILLER</t>
  </si>
  <si>
    <t>AUS</t>
  </si>
  <si>
    <t>Michele PIRRO</t>
  </si>
  <si>
    <t>BK8 Gresini Racing MotoGP</t>
  </si>
  <si>
    <t>Joan MIR</t>
  </si>
  <si>
    <t>Alex MARQUEZ</t>
  </si>
  <si>
    <t>Marc MARQUEZ</t>
  </si>
  <si>
    <t>Fermin ALDEGUER</t>
  </si>
  <si>
    <t>Augusto FERNANDEZ</t>
  </si>
  <si>
    <t>Yamaha Factory Racing</t>
  </si>
  <si>
    <t>Lorenzo SAVADORI</t>
  </si>
  <si>
    <t>Jonas FOLGER</t>
  </si>
  <si>
    <t>GER</t>
  </si>
  <si>
    <t>Cal CRUTCHLOW</t>
  </si>
  <si>
    <t>GBR</t>
  </si>
  <si>
    <t>SuperFile Trackhouse MotoGP Team</t>
  </si>
  <si>
    <t>Iker LECUONA</t>
  </si>
  <si>
    <t>Pol ESPARGARO</t>
  </si>
  <si>
    <t>Takaaki NAKAGAMI</t>
  </si>
  <si>
    <t>Somkiat CHANTRA</t>
  </si>
  <si>
    <t>THA</t>
  </si>
  <si>
    <t>Season Finishing Position Matrix</t>
  </si>
  <si>
    <t>R1 PT THAILAND i2 i3</t>
  </si>
  <si>
    <t>R2 ESTRELLA GALICIA 0,0 BRAZIL s fl</t>
  </si>
  <si>
    <t>R3 RED BULL UNITED STATES fl</t>
  </si>
  <si>
    <t>R4 ESTRELLA GALICIA 0,0 SPAIN</t>
  </si>
  <si>
    <t>R5 MICHELIN FRANCE</t>
  </si>
  <si>
    <t>R6 MONSTER ENERGY CATALONIA i1</t>
  </si>
  <si>
    <t>R7 BREMBO ITALY</t>
  </si>
  <si>
    <t>R8 HUNGARY i2 i3</t>
  </si>
  <si>
    <t>R9 MONSTER ENERGY CZECHIA i3</t>
  </si>
  <si>
    <t>R10 NETHERLANDSTISSOT TH i3</t>
  </si>
  <si>
    <t>R11 LIQUI MOLY GERMANY</t>
  </si>
  <si>
    <t>R12 QATAR AIRWAYS GREAT BRITAIN</t>
  </si>
  <si>
    <t>R13 MICHELIN ARAGON</t>
  </si>
  <si>
    <t>R14 RED BULL SAN MARINO AND RIMINI RIVIE fl</t>
  </si>
  <si>
    <t>R15 QATAR AIRWAYS AUSTRIA</t>
  </si>
  <si>
    <t>R16 JAPAN i1</t>
  </si>
  <si>
    <t>R17 INDONESIA</t>
  </si>
  <si>
    <t>MotoGP Season Finishing Position Progress</t>
  </si>
  <si>
    <t>Races loaded: 17</t>
  </si>
  <si>
    <t>Season riders: 31</t>
  </si>
  <si>
    <t>Show</t>
  </si>
  <si>
    <t>Color</t>
  </si>
  <si>
    <t>#6637B7</t>
  </si>
  <si>
    <t>#20E52F</t>
  </si>
  <si>
    <t>#E54467</t>
  </si>
  <si>
    <t>#1969B7</t>
  </si>
  <si>
    <t>#C5E544</t>
  </si>
  <si>
    <t>#D320E5</t>
  </si>
  <si>
    <t>#37B786</t>
  </si>
  <si>
    <t>#E56020</t>
  </si>
  <si>
    <t>#4A44E5</t>
  </si>
  <si>
    <t>#42B719</t>
  </si>
  <si>
    <t>#E5449D</t>
  </si>
  <si>
    <t>#20C6E5</t>
  </si>
  <si>
    <t>#B7A637</t>
  </si>
  <si>
    <t>#9120E5</t>
  </si>
  <si>
    <t>#44E572</t>
  </si>
  <si>
    <t>#B7191B</t>
  </si>
  <si>
    <t>#4475E5</t>
  </si>
  <si>
    <t>#95E520</t>
  </si>
  <si>
    <t>#B737A8</t>
  </si>
  <si>
    <t>#20E5C2</t>
  </si>
  <si>
    <t>#E59A44</t>
  </si>
  <si>
    <t>#3F19B7</t>
  </si>
  <si>
    <t>#4DE544</t>
  </si>
  <si>
    <t>#E52063</t>
  </si>
  <si>
    <t>#3788B7</t>
  </si>
  <si>
    <t>#D7E520</t>
  </si>
  <si>
    <t>#C244E5</t>
  </si>
  <si>
    <t>#19B767</t>
  </si>
  <si>
    <t>#E56444</t>
  </si>
  <si>
    <t>#2032E5</t>
  </si>
  <si>
    <t>#68B737</t>
  </si>
  <si>
    <t>THAILAND</t>
  </si>
  <si>
    <t>ESTRELLA_GALICIA_BRAZIL</t>
  </si>
  <si>
    <t>RED_BULL_USA</t>
  </si>
  <si>
    <t>ESTRELLA_GALICIA_SPAIN</t>
  </si>
  <si>
    <t>MICHELIN_FRANCE</t>
  </si>
  <si>
    <t>MONSTER_ENERGY_CATALONIA</t>
  </si>
  <si>
    <t>BREMBO_ITALY</t>
  </si>
  <si>
    <t>HUNGARY</t>
  </si>
  <si>
    <t>MONSTER_ENERGY_CZECHIA</t>
  </si>
  <si>
    <t>NETHERLANDS_TISSOT</t>
  </si>
  <si>
    <t>LIQUI_MOLY_GERMANY</t>
  </si>
  <si>
    <t>QATAR_AIRWAYS_GREAT_BRITAIN</t>
  </si>
  <si>
    <t>MICHELIN_ARAGON</t>
  </si>
  <si>
    <t>RED_BULL_SAN_MARINO_AND_RIMINI_RIVIE</t>
  </si>
  <si>
    <t>QATAR_AIRWAYS_AUSTRIA</t>
  </si>
  <si>
    <t>MOTEGI_JAPAN</t>
  </si>
  <si>
    <t>PERTAMINA_INDONESIA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</si>
</sst>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5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A6A6A6"/>
      <name val="Calibri"/>
      <family val="2"/>
      <scheme val="minor"/>
    </font>
    <font>
      <sz val="11"/>
      <color rgb="FF6637B7"/>
      <name val="Calibri"/>
      <family val="2"/>
      <scheme val="minor"/>
    </font>
    <font>
      <sz val="11"/>
      <color rgb="FF20E52F"/>
      <name val="Calibri"/>
      <family val="2"/>
      <scheme val="minor"/>
    </font>
    <font>
      <sz val="11"/>
      <color rgb="FFE54467"/>
      <name val="Calibri"/>
      <family val="2"/>
      <scheme val="minor"/>
    </font>
    <font>
      <sz val="11"/>
      <color rgb="FF1969B7"/>
      <name val="Calibri"/>
      <family val="2"/>
      <scheme val="minor"/>
    </font>
    <font>
      <sz val="11"/>
      <color rgb="FFC5E544"/>
      <name val="Calibri"/>
      <family val="2"/>
      <scheme val="minor"/>
    </font>
    <font>
      <sz val="11"/>
      <color rgb="FFD320E5"/>
      <name val="Calibri"/>
      <family val="2"/>
      <scheme val="minor"/>
    </font>
    <font>
      <sz val="11"/>
      <color rgb="FF37B786"/>
      <name val="Calibri"/>
      <family val="2"/>
      <scheme val="minor"/>
    </font>
    <font>
      <sz val="11"/>
      <color rgb="FFE56020"/>
      <name val="Calibri"/>
      <family val="2"/>
      <scheme val="minor"/>
    </font>
    <font>
      <sz val="11"/>
      <color rgb="FF4A44E5"/>
      <name val="Calibri"/>
      <family val="2"/>
      <scheme val="minor"/>
    </font>
    <font>
      <sz val="11"/>
      <color rgb="FF42B719"/>
      <name val="Calibri"/>
      <family val="2"/>
      <scheme val="minor"/>
    </font>
    <font>
      <sz val="11"/>
      <color rgb="FFE5449D"/>
      <name val="Calibri"/>
      <family val="2"/>
      <scheme val="minor"/>
    </font>
    <font>
      <sz val="11"/>
      <color rgb="FF20C6E5"/>
      <name val="Calibri"/>
      <family val="2"/>
      <scheme val="minor"/>
    </font>
    <font>
      <sz val="11"/>
      <color rgb="FFB7A637"/>
      <name val="Calibri"/>
      <family val="2"/>
      <scheme val="minor"/>
    </font>
    <font>
      <sz val="11"/>
      <color rgb="FF9120E5"/>
      <name val="Calibri"/>
      <family val="2"/>
      <scheme val="minor"/>
    </font>
    <font>
      <sz val="11"/>
      <color rgb="FF44E572"/>
      <name val="Calibri"/>
      <family val="2"/>
      <scheme val="minor"/>
    </font>
    <font>
      <sz val="11"/>
      <color rgb="FFB7191B"/>
      <name val="Calibri"/>
      <family val="2"/>
      <scheme val="minor"/>
    </font>
    <font>
      <sz val="11"/>
      <color rgb="FF4475E5"/>
      <name val="Calibri"/>
      <family val="2"/>
      <scheme val="minor"/>
    </font>
    <font>
      <sz val="11"/>
      <color rgb="FF95E520"/>
      <name val="Calibri"/>
      <family val="2"/>
      <scheme val="minor"/>
    </font>
    <font>
      <sz val="11"/>
      <color rgb="FFB737A8"/>
      <name val="Calibri"/>
      <family val="2"/>
      <scheme val="minor"/>
    </font>
    <font>
      <sz val="11"/>
      <color rgb="FF20E5C2"/>
      <name val="Calibri"/>
      <family val="2"/>
      <scheme val="minor"/>
    </font>
    <font>
      <sz val="11"/>
      <color rgb="FFE59A44"/>
      <name val="Calibri"/>
      <family val="2"/>
      <scheme val="minor"/>
    </font>
    <font>
      <sz val="11"/>
      <color rgb="FF3F19B7"/>
      <name val="Calibri"/>
      <family val="2"/>
      <scheme val="minor"/>
    </font>
    <font>
      <sz val="11"/>
      <color rgb="FF4DE544"/>
      <name val="Calibri"/>
      <family val="2"/>
      <scheme val="minor"/>
    </font>
    <font>
      <sz val="11"/>
      <color rgb="FFE52063"/>
      <name val="Calibri"/>
      <family val="2"/>
      <scheme val="minor"/>
    </font>
    <font>
      <sz val="11"/>
      <color rgb="FF3788B7"/>
      <name val="Calibri"/>
      <family val="2"/>
      <scheme val="minor"/>
    </font>
    <font>
      <sz val="11"/>
      <color rgb="FFD7E520"/>
      <name val="Calibri"/>
      <family val="2"/>
      <scheme val="minor"/>
    </font>
    <font>
      <sz val="11"/>
      <color rgb="FFC244E5"/>
      <name val="Calibri"/>
      <family val="2"/>
      <scheme val="minor"/>
    </font>
    <font>
      <sz val="11"/>
      <color rgb="FF19B767"/>
      <name val="Calibri"/>
      <family val="2"/>
      <scheme val="minor"/>
    </font>
    <font>
      <sz val="11"/>
      <color rgb="FFE56444"/>
      <name val="Calibri"/>
      <family val="2"/>
      <scheme val="minor"/>
    </font>
    <font>
      <sz val="11"/>
      <color rgb="FF2032E5"/>
      <name val="Calibri"/>
      <family val="2"/>
      <scheme val="minor"/>
    </font>
    <font>
      <sz val="11"/>
      <color rgb="FF68B737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6637B7"/>
        <bgColor indexed="64"/>
      </patternFill>
    </fill>
    <fill>
      <patternFill patternType="solid">
        <fgColor rgb="FF20E52F"/>
        <bgColor indexed="64"/>
      </patternFill>
    </fill>
    <fill>
      <patternFill patternType="solid">
        <fgColor rgb="FFE54467"/>
        <bgColor indexed="64"/>
      </patternFill>
    </fill>
    <fill>
      <patternFill patternType="solid">
        <fgColor rgb="FF1969B7"/>
        <bgColor indexed="64"/>
      </patternFill>
    </fill>
    <fill>
      <patternFill patternType="solid">
        <fgColor rgb="FFC5E544"/>
        <bgColor indexed="64"/>
      </patternFill>
    </fill>
    <fill>
      <patternFill patternType="solid">
        <fgColor rgb="FFD320E5"/>
        <bgColor indexed="64"/>
      </patternFill>
    </fill>
    <fill>
      <patternFill patternType="solid">
        <fgColor rgb="FF37B786"/>
        <bgColor indexed="64"/>
      </patternFill>
    </fill>
    <fill>
      <patternFill patternType="solid">
        <fgColor rgb="FFE56020"/>
        <bgColor indexed="64"/>
      </patternFill>
    </fill>
    <fill>
      <patternFill patternType="solid">
        <fgColor rgb="FF4A44E5"/>
        <bgColor indexed="64"/>
      </patternFill>
    </fill>
    <fill>
      <patternFill patternType="solid">
        <fgColor rgb="FF42B719"/>
        <bgColor indexed="64"/>
      </patternFill>
    </fill>
    <fill>
      <patternFill patternType="solid">
        <fgColor rgb="FFE5449D"/>
        <bgColor indexed="64"/>
      </patternFill>
    </fill>
    <fill>
      <patternFill patternType="solid">
        <fgColor rgb="FF20C6E5"/>
        <bgColor indexed="64"/>
      </patternFill>
    </fill>
    <fill>
      <patternFill patternType="solid">
        <fgColor rgb="FFB7A637"/>
        <bgColor indexed="64"/>
      </patternFill>
    </fill>
    <fill>
      <patternFill patternType="solid">
        <fgColor rgb="FF9120E5"/>
        <bgColor indexed="64"/>
      </patternFill>
    </fill>
    <fill>
      <patternFill patternType="solid">
        <fgColor rgb="FF44E572"/>
        <bgColor indexed="64"/>
      </patternFill>
    </fill>
    <fill>
      <patternFill patternType="solid">
        <fgColor rgb="FFB7191B"/>
        <bgColor indexed="64"/>
      </patternFill>
    </fill>
    <fill>
      <patternFill patternType="solid">
        <fgColor rgb="FF4475E5"/>
        <bgColor indexed="64"/>
      </patternFill>
    </fill>
    <fill>
      <patternFill patternType="solid">
        <fgColor rgb="FF95E520"/>
        <bgColor indexed="64"/>
      </patternFill>
    </fill>
    <fill>
      <patternFill patternType="solid">
        <fgColor rgb="FFB737A8"/>
        <bgColor indexed="64"/>
      </patternFill>
    </fill>
    <fill>
      <patternFill patternType="solid">
        <fgColor rgb="FF20E5C2"/>
        <bgColor indexed="64"/>
      </patternFill>
    </fill>
    <fill>
      <patternFill patternType="solid">
        <fgColor rgb="FFE59A44"/>
        <bgColor indexed="64"/>
      </patternFill>
    </fill>
    <fill>
      <patternFill patternType="solid">
        <fgColor rgb="FF3F19B7"/>
        <bgColor indexed="64"/>
      </patternFill>
    </fill>
    <fill>
      <patternFill patternType="solid">
        <fgColor rgb="FF4DE544"/>
        <bgColor indexed="64"/>
      </patternFill>
    </fill>
    <fill>
      <patternFill patternType="solid">
        <fgColor rgb="FFE52063"/>
        <bgColor indexed="64"/>
      </patternFill>
    </fill>
    <fill>
      <patternFill patternType="solid">
        <fgColor rgb="FF3788B7"/>
        <bgColor indexed="64"/>
      </patternFill>
    </fill>
    <fill>
      <patternFill patternType="solid">
        <fgColor rgb="FFD7E520"/>
        <bgColor indexed="64"/>
      </patternFill>
    </fill>
    <fill>
      <patternFill patternType="solid">
        <fgColor rgb="FFC244E5"/>
        <bgColor indexed="64"/>
      </patternFill>
    </fill>
    <fill>
      <patternFill patternType="solid">
        <fgColor rgb="FF19B767"/>
        <bgColor indexed="64"/>
      </patternFill>
    </fill>
    <fill>
      <patternFill patternType="solid">
        <fgColor rgb="FFE56444"/>
        <bgColor indexed="64"/>
      </patternFill>
    </fill>
    <fill>
      <patternFill patternType="solid">
        <fgColor rgb="FF2032E5"/>
        <bgColor indexed="64"/>
      </patternFill>
    </fill>
    <fill>
      <patternFill patternType="solid">
        <fgColor rgb="FF68B73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1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4" borderId="1" xfId="0" applyFont="1" applyFill="1" applyBorder="1"/>
    <xf numFmtId="0" fontId="5" fillId="5" borderId="1" xfId="0" applyFont="1" applyFill="1" applyBorder="1"/>
    <xf numFmtId="0" fontId="6" fillId="6" borderId="1" xfId="0" applyFont="1" applyFill="1" applyBorder="1"/>
    <xf numFmtId="0" fontId="7" fillId="7" borderId="1" xfId="0" applyFont="1" applyFill="1" applyBorder="1"/>
    <xf numFmtId="0" fontId="8" fillId="8" borderId="1" xfId="0" applyFont="1" applyFill="1" applyBorder="1"/>
    <xf numFmtId="0" fontId="9" fillId="9" borderId="1" xfId="0" applyFont="1" applyFill="1" applyBorder="1"/>
    <xf numFmtId="0" fontId="10" fillId="10" borderId="1" xfId="0" applyFont="1" applyFill="1" applyBorder="1"/>
    <xf numFmtId="0" fontId="11" fillId="11" borderId="1" xfId="0" applyFont="1" applyFill="1" applyBorder="1"/>
    <xf numFmtId="0" fontId="12" fillId="12" borderId="1" xfId="0" applyFont="1" applyFill="1" applyBorder="1"/>
    <xf numFmtId="0" fontId="13" fillId="13" borderId="1" xfId="0" applyFont="1" applyFill="1" applyBorder="1"/>
    <xf numFmtId="0" fontId="14" fillId="14" borderId="1" xfId="0" applyFont="1" applyFill="1" applyBorder="1"/>
    <xf numFmtId="0" fontId="15" fillId="15" borderId="1" xfId="0" applyFont="1" applyFill="1" applyBorder="1"/>
    <xf numFmtId="0" fontId="16" fillId="16" borderId="1" xfId="0" applyFont="1" applyFill="1" applyBorder="1"/>
    <xf numFmtId="0" fontId="17" fillId="17" borderId="1" xfId="0" applyFont="1" applyFill="1" applyBorder="1"/>
    <xf numFmtId="0" fontId="18" fillId="18" borderId="1" xfId="0" applyFont="1" applyFill="1" applyBorder="1"/>
    <xf numFmtId="0" fontId="19" fillId="19" borderId="1" xfId="0" applyFont="1" applyFill="1" applyBorder="1"/>
    <xf numFmtId="0" fontId="20" fillId="20" borderId="1" xfId="0" applyFont="1" applyFill="1" applyBorder="1"/>
    <xf numFmtId="0" fontId="21" fillId="21" borderId="1" xfId="0" applyFont="1" applyFill="1" applyBorder="1"/>
    <xf numFmtId="0" fontId="22" fillId="22" borderId="1" xfId="0" applyFont="1" applyFill="1" applyBorder="1"/>
    <xf numFmtId="0" fontId="23" fillId="23" borderId="1" xfId="0" applyFont="1" applyFill="1" applyBorder="1"/>
    <xf numFmtId="0" fontId="24" fillId="24" borderId="1" xfId="0" applyFont="1" applyFill="1" applyBorder="1"/>
    <xf numFmtId="0" fontId="25" fillId="25" borderId="1" xfId="0" applyFont="1" applyFill="1" applyBorder="1"/>
    <xf numFmtId="0" fontId="26" fillId="26" borderId="1" xfId="0" applyFont="1" applyFill="1" applyBorder="1"/>
    <xf numFmtId="0" fontId="27" fillId="27" borderId="1" xfId="0" applyFont="1" applyFill="1" applyBorder="1"/>
    <xf numFmtId="0" fontId="28" fillId="28" borderId="1" xfId="0" applyFont="1" applyFill="1" applyBorder="1"/>
    <xf numFmtId="0" fontId="29" fillId="29" borderId="1" xfId="0" applyFont="1" applyFill="1" applyBorder="1"/>
    <xf numFmtId="0" fontId="30" fillId="30" borderId="1" xfId="0" applyFont="1" applyFill="1" applyBorder="1"/>
    <xf numFmtId="0" fontId="31" fillId="31" borderId="1" xfId="0" applyFont="1" applyFill="1" applyBorder="1"/>
    <xf numFmtId="0" fontId="32" fillId="32" borderId="1" xfId="0" applyFont="1" applyFill="1" applyBorder="1"/>
    <xf numFmtId="0" fontId="33" fillId="33" borderId="1" xfId="0" applyFont="1" applyFill="1" applyBorder="1"/>
    <xf numFmtId="0" fontId="34" fillId="34" borderId="1" xfId="0" applyFont="1" applyFill="1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US"/>
              <a:t>Finishing Position by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'Season Progress'!$F$3</c:f>
              <c:strCache>
                <c:ptCount val="1"/>
                <c:pt idx="0">
                  <c:v>Marco BEZZECCHI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Progress'!$F$4:$F$20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  <c:pt idx="6">
                  <c:v>1</c:v>
                </c:pt>
                <c:pt idx="7">
                  <c:v>#N/A</c:v>
                </c:pt>
                <c:pt idx="8">
                  <c:v>#N/A</c:v>
                </c:pt>
                <c:pt idx="9">
                  <c:v>21</c:v>
                </c:pt>
                <c:pt idx="10">
                  <c:v>#N/A</c:v>
                </c:pt>
                <c:pt idx="11">
                  <c:v>3</c:v>
                </c:pt>
                <c:pt idx="12">
                  <c:v>3</c:v>
                </c:pt>
                <c:pt idx="13">
                  <c:v>21</c:v>
                </c:pt>
                <c:pt idx="14">
                  <c:v>3</c:v>
                </c:pt>
                <c:pt idx="15">
                  <c:v>3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2D-49AF-8FAB-283B9B24D5B2}"/>
            </c:ext>
          </c:extLst>
        </c:ser>
        <c:ser>
          <c:idx val="1"/>
          <c:order val="1"/>
          <c:tx>
            <c:strRef>
              <c:f>'Season Progress'!$G$3</c:f>
              <c:strCache>
                <c:ptCount val="1"/>
                <c:pt idx="0">
                  <c:v>Pedro ACOSTA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Progress'!$G$4:$G$20</c:f>
              <c:numCache>
                <c:formatCode>General</c:formatCode>
                <c:ptCount val="17"/>
                <c:pt idx="0">
                  <c:v>2</c:v>
                </c:pt>
                <c:pt idx="1">
                  <c:v>7</c:v>
                </c:pt>
                <c:pt idx="2">
                  <c:v>3</c:v>
                </c:pt>
                <c:pt idx="3">
                  <c:v>10</c:v>
                </c:pt>
                <c:pt idx="4">
                  <c:v>5</c:v>
                </c:pt>
                <c:pt idx="5">
                  <c:v>19</c:v>
                </c:pt>
                <c:pt idx="6">
                  <c:v>6</c:v>
                </c:pt>
                <c:pt idx="7">
                  <c:v>2</c:v>
                </c:pt>
                <c:pt idx="8">
                  <c:v>18</c:v>
                </c:pt>
                <c:pt idx="9">
                  <c:v>19</c:v>
                </c:pt>
                <c:pt idx="10">
                  <c:v>4</c:v>
                </c:pt>
                <c:pt idx="11">
                  <c:v>5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7</c:v>
                </c:pt>
                <c:pt idx="1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2D-49AF-8FAB-283B9B24D5B2}"/>
            </c:ext>
          </c:extLst>
        </c:ser>
        <c:ser>
          <c:idx val="2"/>
          <c:order val="2"/>
          <c:tx>
            <c:strRef>
              <c:f>'Season Progress'!$H$3</c:f>
              <c:strCache>
                <c:ptCount val="1"/>
                <c:pt idx="0">
                  <c:v>Raul FERNANDEZ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Progress'!$H$4:$H$20</c:f>
              <c:numCache>
                <c:formatCode>General</c:formatCode>
                <c:ptCount val="17"/>
                <c:pt idx="0">
                  <c:v>3</c:v>
                </c:pt>
                <c:pt idx="1">
                  <c:v>10</c:v>
                </c:pt>
                <c:pt idx="2">
                  <c:v>8</c:v>
                </c:pt>
                <c:pt idx="3">
                  <c:v>6</c:v>
                </c:pt>
                <c:pt idx="4">
                  <c:v>8</c:v>
                </c:pt>
                <c:pt idx="5">
                  <c:v>16</c:v>
                </c:pt>
                <c:pt idx="6">
                  <c:v>8</c:v>
                </c:pt>
                <c:pt idx="7">
                  <c:v>#N/A</c:v>
                </c:pt>
                <c:pt idx="8">
                  <c:v>7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20</c:v>
                </c:pt>
                <c:pt idx="13">
                  <c:v>6</c:v>
                </c:pt>
                <c:pt idx="14">
                  <c:v>12</c:v>
                </c:pt>
                <c:pt idx="15">
                  <c:v>5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2D-49AF-8FAB-283B9B24D5B2}"/>
            </c:ext>
          </c:extLst>
        </c:ser>
        <c:ser>
          <c:idx val="3"/>
          <c:order val="3"/>
          <c:tx>
            <c:strRef>
              <c:f>'Season Progress'!$I$3</c:f>
              <c:strCache>
                <c:ptCount val="1"/>
                <c:pt idx="0">
                  <c:v>Jorge MARTIN</c:v>
                </c:pt>
              </c:strCache>
            </c:strRef>
          </c:tx>
          <c:spPr>
            <a:ln w="19050" cap="rnd" cmpd="sng" algn="ctr">
              <a:solidFill>
                <a:schemeClr val="accent4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Progress'!$I$4:$I$20</c:f>
              <c:numCache>
                <c:formatCode>General</c:formatCode>
                <c:ptCount val="17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18</c:v>
                </c:pt>
                <c:pt idx="6">
                  <c:v>2</c:v>
                </c:pt>
                <c:pt idx="7">
                  <c:v>#N/A</c:v>
                </c:pt>
                <c:pt idx="8">
                  <c:v>9</c:v>
                </c:pt>
                <c:pt idx="9">
                  <c:v>3</c:v>
                </c:pt>
                <c:pt idx="10">
                  <c:v>5</c:v>
                </c:pt>
                <c:pt idx="11">
                  <c:v>2</c:v>
                </c:pt>
                <c:pt idx="12">
                  <c:v>5</c:v>
                </c:pt>
                <c:pt idx="13">
                  <c:v>5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2D-49AF-8FAB-283B9B24D5B2}"/>
            </c:ext>
          </c:extLst>
        </c:ser>
        <c:ser>
          <c:idx val="4"/>
          <c:order val="4"/>
          <c:tx>
            <c:strRef>
              <c:f>'Season Progress'!$J$3</c:f>
              <c:strCache>
                <c:ptCount val="1"/>
                <c:pt idx="0">
                  <c:v>Ai OGURA</c:v>
                </c:pt>
              </c:strCache>
            </c:strRef>
          </c:tx>
          <c:spPr>
            <a:ln w="19050" cap="rnd" cmpd="sng" algn="ctr">
              <a:solidFill>
                <a:schemeClr val="accent5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Progress'!$J$4:$J$20</c:f>
              <c:numCache>
                <c:formatCode>General</c:formatCode>
                <c:ptCount val="17"/>
                <c:pt idx="0">
                  <c:v>5</c:v>
                </c:pt>
                <c:pt idx="1">
                  <c:v>5</c:v>
                </c:pt>
                <c:pt idx="2">
                  <c:v>20</c:v>
                </c:pt>
                <c:pt idx="3">
                  <c:v>5</c:v>
                </c:pt>
                <c:pt idx="4">
                  <c:v>3</c:v>
                </c:pt>
                <c:pt idx="5">
                  <c:v>9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17</c:v>
                </c:pt>
                <c:pt idx="12">
                  <c:v>#N/A</c:v>
                </c:pt>
                <c:pt idx="13">
                  <c:v>#N/A</c:v>
                </c:pt>
                <c:pt idx="14">
                  <c:v>4</c:v>
                </c:pt>
                <c:pt idx="15">
                  <c:v>6</c:v>
                </c:pt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2D-49AF-8FAB-283B9B24D5B2}"/>
            </c:ext>
          </c:extLst>
        </c:ser>
        <c:ser>
          <c:idx val="5"/>
          <c:order val="5"/>
          <c:tx>
            <c:strRef>
              <c:f>'Season Progress'!$K$3</c:f>
              <c:strCache>
                <c:ptCount val="1"/>
                <c:pt idx="0">
                  <c:v>Fabio DI GIANNANTONIO</c:v>
                </c:pt>
              </c:strCache>
            </c:strRef>
          </c:tx>
          <c:spPr>
            <a:ln w="19050" cap="rnd" cmpd="sng" algn="ctr">
              <a:solidFill>
                <a:schemeClr val="accent6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Progress'!$K$4:$K$20</c:f>
              <c:numCache>
                <c:formatCode>General</c:formatCode>
                <c:ptCount val="17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5</c:v>
                </c:pt>
                <c:pt idx="7">
                  <c:v>12</c:v>
                </c:pt>
                <c:pt idx="8">
                  <c:v>4</c:v>
                </c:pt>
                <c:pt idx="9">
                  <c:v>4</c:v>
                </c:pt>
                <c:pt idx="10">
                  <c:v>20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9</c:v>
                </c:pt>
                <c:pt idx="15">
                  <c:v>18</c:v>
                </c:pt>
                <c:pt idx="1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2D-49AF-8FAB-283B9B24D5B2}"/>
            </c:ext>
          </c:extLst>
        </c:ser>
        <c:ser>
          <c:idx val="6"/>
          <c:order val="6"/>
          <c:tx>
            <c:strRef>
              <c:f>'Season Progress'!$L$3</c:f>
              <c:strCache>
                <c:ptCount val="1"/>
                <c:pt idx="0">
                  <c:v>Brad BINDER</c:v>
                </c:pt>
              </c:strCache>
            </c:strRef>
          </c:tx>
          <c:spPr>
            <a:ln w="19050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Progress'!$L$4:$L$20</c:f>
              <c:numCache>
                <c:formatCode>General</c:formatCode>
                <c:ptCount val="17"/>
                <c:pt idx="0">
                  <c:v>7</c:v>
                </c:pt>
                <c:pt idx="1">
                  <c:v>21</c:v>
                </c:pt>
                <c:pt idx="2">
                  <c:v>12</c:v>
                </c:pt>
                <c:pt idx="3">
                  <c:v>11</c:v>
                </c:pt>
                <c:pt idx="4">
                  <c:v>17</c:v>
                </c:pt>
                <c:pt idx="5">
                  <c:v>8</c:v>
                </c:pt>
                <c:pt idx="6">
                  <c:v>11</c:v>
                </c:pt>
                <c:pt idx="7">
                  <c:v>10</c:v>
                </c:pt>
                <c:pt idx="8">
                  <c:v>12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10</c:v>
                </c:pt>
                <c:pt idx="13">
                  <c:v>11</c:v>
                </c:pt>
                <c:pt idx="14">
                  <c:v>6</c:v>
                </c:pt>
                <c:pt idx="15">
                  <c:v>11</c:v>
                </c:pt>
                <c:pt idx="1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22D-49AF-8FAB-283B9B24D5B2}"/>
            </c:ext>
          </c:extLst>
        </c:ser>
        <c:ser>
          <c:idx val="7"/>
          <c:order val="7"/>
          <c:tx>
            <c:strRef>
              <c:f>'Season Progress'!$M$3</c:f>
              <c:strCache>
                <c:ptCount val="1"/>
                <c:pt idx="0">
                  <c:v>Franco MORBIDELLI</c:v>
                </c:pt>
              </c:strCache>
            </c:strRef>
          </c:tx>
          <c:spPr>
            <a:ln w="19050" cap="rnd" cmpd="sng" algn="ctr">
              <a:solidFill>
                <a:schemeClr val="accent2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Progress'!$M$4:$M$20</c:f>
              <c:numCache>
                <c:formatCode>General</c:formatCode>
                <c:ptCount val="17"/>
                <c:pt idx="0">
                  <c:v>8</c:v>
                </c:pt>
                <c:pt idx="1">
                  <c:v>12</c:v>
                </c:pt>
                <c:pt idx="2">
                  <c:v>14</c:v>
                </c:pt>
                <c:pt idx="3">
                  <c:v>12</c:v>
                </c:pt>
                <c:pt idx="4">
                  <c:v>14</c:v>
                </c:pt>
                <c:pt idx="5">
                  <c:v>12</c:v>
                </c:pt>
                <c:pt idx="6">
                  <c:v>14</c:v>
                </c:pt>
                <c:pt idx="7">
                  <c:v>14</c:v>
                </c:pt>
                <c:pt idx="8">
                  <c:v>13</c:v>
                </c:pt>
                <c:pt idx="9">
                  <c:v>20</c:v>
                </c:pt>
                <c:pt idx="10">
                  <c:v>13</c:v>
                </c:pt>
                <c:pt idx="11">
                  <c:v>11</c:v>
                </c:pt>
                <c:pt idx="12">
                  <c:v>22</c:v>
                </c:pt>
                <c:pt idx="13">
                  <c:v>13</c:v>
                </c:pt>
                <c:pt idx="14">
                  <c:v>18</c:v>
                </c:pt>
                <c:pt idx="15">
                  <c:v>15</c:v>
                </c:pt>
                <c:pt idx="1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22D-49AF-8FAB-283B9B24D5B2}"/>
            </c:ext>
          </c:extLst>
        </c:ser>
        <c:ser>
          <c:idx val="8"/>
          <c:order val="8"/>
          <c:tx>
            <c:strRef>
              <c:f>'Season Progress'!$N$3</c:f>
              <c:strCache>
                <c:ptCount val="1"/>
                <c:pt idx="0">
                  <c:v>Francesco BAGNAIA</c:v>
                </c:pt>
              </c:strCache>
            </c:strRef>
          </c:tx>
          <c:spPr>
            <a:ln w="19050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Progress'!$N$4:$N$20</c:f>
              <c:numCache>
                <c:formatCode>General</c:formatCode>
                <c:ptCount val="17"/>
                <c:pt idx="0">
                  <c:v>9</c:v>
                </c:pt>
                <c:pt idx="1">
                  <c:v>20</c:v>
                </c:pt>
                <c:pt idx="2">
                  <c:v>10</c:v>
                </c:pt>
                <c:pt idx="3">
                  <c:v>21</c:v>
                </c:pt>
                <c:pt idx="4">
                  <c:v>19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17</c:v>
                </c:pt>
                <c:pt idx="10">
                  <c:v>6</c:v>
                </c:pt>
                <c:pt idx="11">
                  <c:v>18</c:v>
                </c:pt>
                <c:pt idx="12">
                  <c:v>21</c:v>
                </c:pt>
                <c:pt idx="13">
                  <c:v>17</c:v>
                </c:pt>
                <c:pt idx="14">
                  <c:v>7</c:v>
                </c:pt>
                <c:pt idx="15">
                  <c:v>8</c:v>
                </c:pt>
                <c:pt idx="1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22D-49AF-8FAB-283B9B24D5B2}"/>
            </c:ext>
          </c:extLst>
        </c:ser>
        <c:ser>
          <c:idx val="9"/>
          <c:order val="9"/>
          <c:tx>
            <c:strRef>
              <c:f>'Season Progress'!$O$3</c:f>
              <c:strCache>
                <c:ptCount val="1"/>
                <c:pt idx="0">
                  <c:v>Luca MARINI</c:v>
                </c:pt>
              </c:strCache>
            </c:strRef>
          </c:tx>
          <c:spPr>
            <a:ln w="19050" cap="rnd" cmpd="sng" algn="ctr">
              <a:solidFill>
                <a:schemeClr val="accent4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Progress'!$O$4:$O$20</c:f>
              <c:numCache>
                <c:formatCode>General</c:formatCode>
                <c:ptCount val="17"/>
                <c:pt idx="0">
                  <c:v>10</c:v>
                </c:pt>
                <c:pt idx="1">
                  <c:v>11</c:v>
                </c:pt>
                <c:pt idx="2">
                  <c:v>9</c:v>
                </c:pt>
                <c:pt idx="3">
                  <c:v>13</c:v>
                </c:pt>
                <c:pt idx="4">
                  <c:v>10</c:v>
                </c:pt>
                <c:pt idx="5">
                  <c:v>7</c:v>
                </c:pt>
                <c:pt idx="6">
                  <c:v>13</c:v>
                </c:pt>
                <c:pt idx="7">
                  <c:v>5</c:v>
                </c:pt>
                <c:pt idx="8">
                  <c:v>8</c:v>
                </c:pt>
                <c:pt idx="9">
                  <c:v>11</c:v>
                </c:pt>
                <c:pt idx="10">
                  <c:v>8</c:v>
                </c:pt>
                <c:pt idx="11">
                  <c:v>9</c:v>
                </c:pt>
                <c:pt idx="12">
                  <c:v>14</c:v>
                </c:pt>
                <c:pt idx="13">
                  <c:v>9</c:v>
                </c:pt>
                <c:pt idx="14">
                  <c:v>14</c:v>
                </c:pt>
                <c:pt idx="15">
                  <c:v>10</c:v>
                </c:pt>
                <c:pt idx="1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22D-49AF-8FAB-283B9B24D5B2}"/>
            </c:ext>
          </c:extLst>
        </c:ser>
        <c:ser>
          <c:idx val="10"/>
          <c:order val="10"/>
          <c:tx>
            <c:strRef>
              <c:f>'Season Progress'!$P$3</c:f>
              <c:strCache>
                <c:ptCount val="1"/>
                <c:pt idx="0">
                  <c:v>Johann ZARCO</c:v>
                </c:pt>
              </c:strCache>
            </c:strRef>
          </c:tx>
          <c:spPr>
            <a:ln w="19050" cap="rnd" cmpd="sng" algn="ctr">
              <a:solidFill>
                <a:schemeClr val="accent5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Progress'!$P$4:$P$20</c:f>
              <c:numCache>
                <c:formatCode>General</c:formatCode>
                <c:ptCount val="17"/>
                <c:pt idx="0">
                  <c:v>11</c:v>
                </c:pt>
                <c:pt idx="1">
                  <c:v>9</c:v>
                </c:pt>
                <c:pt idx="2">
                  <c:v>19</c:v>
                </c:pt>
                <c:pt idx="3">
                  <c:v>7</c:v>
                </c:pt>
                <c:pt idx="4">
                  <c:v>11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15</c:v>
                </c:pt>
                <c:pt idx="13">
                  <c:v>15</c:v>
                </c:pt>
                <c:pt idx="14">
                  <c:v>10</c:v>
                </c:pt>
                <c:pt idx="15">
                  <c:v>20</c:v>
                </c:pt>
                <c:pt idx="16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22D-49AF-8FAB-283B9B24D5B2}"/>
            </c:ext>
          </c:extLst>
        </c:ser>
        <c:ser>
          <c:idx val="11"/>
          <c:order val="11"/>
          <c:tx>
            <c:strRef>
              <c:f>'Season Progress'!$Q$3</c:f>
              <c:strCache>
                <c:ptCount val="1"/>
                <c:pt idx="0">
                  <c:v>Enea BASTIANINI</c:v>
                </c:pt>
              </c:strCache>
            </c:strRef>
          </c:tx>
          <c:spPr>
            <a:ln w="19050" cap="rnd" cmpd="sng" algn="ctr">
              <a:solidFill>
                <a:schemeClr val="accent6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Progress'!$Q$4:$Q$20</c:f>
              <c:numCache>
                <c:formatCode>General</c:formatCode>
                <c:ptCount val="17"/>
                <c:pt idx="0">
                  <c:v>12</c:v>
                </c:pt>
                <c:pt idx="1">
                  <c:v>15</c:v>
                </c:pt>
                <c:pt idx="2">
                  <c:v>6</c:v>
                </c:pt>
                <c:pt idx="3">
                  <c:v>8</c:v>
                </c:pt>
                <c:pt idx="4">
                  <c:v>7</c:v>
                </c:pt>
                <c:pt idx="5">
                  <c:v>#N/A</c:v>
                </c:pt>
                <c:pt idx="6">
                  <c:v>20</c:v>
                </c:pt>
                <c:pt idx="7">
                  <c:v>9</c:v>
                </c:pt>
                <c:pt idx="8">
                  <c:v>10</c:v>
                </c:pt>
                <c:pt idx="9">
                  <c:v>6</c:v>
                </c:pt>
                <c:pt idx="10">
                  <c:v>9</c:v>
                </c:pt>
                <c:pt idx="11">
                  <c:v>21</c:v>
                </c:pt>
                <c:pt idx="12">
                  <c:v>8</c:v>
                </c:pt>
                <c:pt idx="13">
                  <c:v>8</c:v>
                </c:pt>
                <c:pt idx="14">
                  <c:v>11</c:v>
                </c:pt>
                <c:pt idx="15">
                  <c:v>4</c:v>
                </c:pt>
                <c:pt idx="1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22D-49AF-8FAB-283B9B24D5B2}"/>
            </c:ext>
          </c:extLst>
        </c:ser>
        <c:ser>
          <c:idx val="12"/>
          <c:order val="12"/>
          <c:tx>
            <c:strRef>
              <c:f>'Season Progress'!$R$3</c:f>
              <c:strCache>
                <c:ptCount val="1"/>
                <c:pt idx="0">
                  <c:v>Diogo MOREIRA</c:v>
                </c:pt>
              </c:strCache>
            </c:strRef>
          </c:tx>
          <c:spPr>
            <a:ln w="19050" cap="rnd" cmpd="sng" algn="ctr">
              <a:solidFill>
                <a:schemeClr val="accent1">
                  <a:lumMod val="80000"/>
                  <a:lumOff val="2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80000"/>
                        <a:lumOff val="2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Progress'!$R$4:$R$20</c:f>
              <c:numCache>
                <c:formatCode>General</c:formatCode>
                <c:ptCount val="17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20</c:v>
                </c:pt>
                <c:pt idx="5">
                  <c:v>10</c:v>
                </c:pt>
                <c:pt idx="6">
                  <c:v>10</c:v>
                </c:pt>
                <c:pt idx="7">
                  <c:v>6</c:v>
                </c:pt>
                <c:pt idx="8">
                  <c:v>11</c:v>
                </c:pt>
                <c:pt idx="9">
                  <c:v>14</c:v>
                </c:pt>
                <c:pt idx="10">
                  <c:v>11</c:v>
                </c:pt>
                <c:pt idx="11">
                  <c:v>10</c:v>
                </c:pt>
                <c:pt idx="12">
                  <c:v>9</c:v>
                </c:pt>
                <c:pt idx="13">
                  <c:v>19</c:v>
                </c:pt>
                <c:pt idx="14">
                  <c:v>15</c:v>
                </c:pt>
                <c:pt idx="15">
                  <c:v>22</c:v>
                </c:pt>
                <c:pt idx="1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22D-49AF-8FAB-283B9B24D5B2}"/>
            </c:ext>
          </c:extLst>
        </c:ser>
        <c:ser>
          <c:idx val="13"/>
          <c:order val="13"/>
          <c:tx>
            <c:strRef>
              <c:f>'Season Progress'!$S$3</c:f>
              <c:strCache>
                <c:ptCount val="1"/>
                <c:pt idx="0">
                  <c:v>Fabio QUARTARARO</c:v>
                </c:pt>
              </c:strCache>
            </c:strRef>
          </c:tx>
          <c:spPr>
            <a:ln w="19050" cap="rnd" cmpd="sng" algn="ctr">
              <a:solidFill>
                <a:schemeClr val="accent2">
                  <a:lumMod val="80000"/>
                  <a:lumOff val="2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80000"/>
                        <a:lumOff val="2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Progress'!$S$4:$S$20</c:f>
              <c:numCache>
                <c:formatCode>General</c:formatCode>
                <c:ptCount val="17"/>
                <c:pt idx="0">
                  <c:v>14</c:v>
                </c:pt>
                <c:pt idx="1">
                  <c:v>16</c:v>
                </c:pt>
                <c:pt idx="2">
                  <c:v>17</c:v>
                </c:pt>
                <c:pt idx="3">
                  <c:v>14</c:v>
                </c:pt>
                <c:pt idx="4">
                  <c:v>6</c:v>
                </c:pt>
                <c:pt idx="5">
                  <c:v>6</c:v>
                </c:pt>
                <c:pt idx="6">
                  <c:v>18</c:v>
                </c:pt>
                <c:pt idx="7">
                  <c:v>17</c:v>
                </c:pt>
                <c:pt idx="8">
                  <c:v>20</c:v>
                </c:pt>
                <c:pt idx="9">
                  <c:v>8</c:v>
                </c:pt>
                <c:pt idx="10">
                  <c:v>7</c:v>
                </c:pt>
                <c:pt idx="11">
                  <c:v>12</c:v>
                </c:pt>
                <c:pt idx="12">
                  <c:v>18</c:v>
                </c:pt>
                <c:pt idx="13">
                  <c:v>10</c:v>
                </c:pt>
                <c:pt idx="14">
                  <c:v>17</c:v>
                </c:pt>
                <c:pt idx="15">
                  <c:v>12</c:v>
                </c:pt>
                <c:pt idx="1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22D-49AF-8FAB-283B9B24D5B2}"/>
            </c:ext>
          </c:extLst>
        </c:ser>
        <c:ser>
          <c:idx val="14"/>
          <c:order val="14"/>
          <c:tx>
            <c:strRef>
              <c:f>'Season Progress'!$T$3</c:f>
              <c:strCache>
                <c:ptCount val="1"/>
                <c:pt idx="0">
                  <c:v>Alex RINS</c:v>
                </c:pt>
              </c:strCache>
            </c:strRef>
          </c:tx>
          <c:spPr>
            <a:ln w="19050" cap="rnd" cmpd="sng" algn="ctr">
              <a:solidFill>
                <a:schemeClr val="accent3">
                  <a:lumMod val="80000"/>
                  <a:lumOff val="2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80000"/>
                        <a:lumOff val="2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Progress'!$T$4:$T$20</c:f>
              <c:numCache>
                <c:formatCode>General</c:formatCode>
                <c:ptCount val="17"/>
                <c:pt idx="0">
                  <c:v>15</c:v>
                </c:pt>
                <c:pt idx="1">
                  <c:v>14</c:v>
                </c:pt>
                <c:pt idx="2">
                  <c:v>18</c:v>
                </c:pt>
                <c:pt idx="3">
                  <c:v>16</c:v>
                </c:pt>
                <c:pt idx="4">
                  <c:v>12</c:v>
                </c:pt>
                <c:pt idx="5">
                  <c:v>11</c:v>
                </c:pt>
                <c:pt idx="6">
                  <c:v>21</c:v>
                </c:pt>
                <c:pt idx="7">
                  <c:v>13</c:v>
                </c:pt>
                <c:pt idx="8">
                  <c:v>19</c:v>
                </c:pt>
                <c:pt idx="9">
                  <c:v>10</c:v>
                </c:pt>
                <c:pt idx="10">
                  <c:v>14</c:v>
                </c:pt>
                <c:pt idx="11">
                  <c:v>22</c:v>
                </c:pt>
                <c:pt idx="12">
                  <c:v>13</c:v>
                </c:pt>
                <c:pt idx="13">
                  <c:v>16</c:v>
                </c:pt>
                <c:pt idx="14">
                  <c:v>19</c:v>
                </c:pt>
                <c:pt idx="15">
                  <c:v>16</c:v>
                </c:pt>
                <c:pt idx="1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22D-49AF-8FAB-283B9B24D5B2}"/>
            </c:ext>
          </c:extLst>
        </c:ser>
        <c:ser>
          <c:idx val="15"/>
          <c:order val="15"/>
          <c:tx>
            <c:strRef>
              <c:f>'Season Progress'!$U$3</c:f>
              <c:strCache>
                <c:ptCount val="1"/>
                <c:pt idx="0">
                  <c:v>Maverick VIÑALES</c:v>
                </c:pt>
              </c:strCache>
            </c:strRef>
          </c:tx>
          <c:spPr>
            <a:ln w="19050" cap="rnd" cmpd="sng" algn="ctr">
              <a:solidFill>
                <a:schemeClr val="accent4">
                  <a:lumMod val="80000"/>
                  <a:lumOff val="2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>
                        <a:lumMod val="80000"/>
                        <a:lumOff val="2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Progress'!$U$4:$U$20</c:f>
              <c:numCache>
                <c:formatCode>General</c:formatCode>
                <c:ptCount val="17"/>
                <c:pt idx="0">
                  <c:v>16</c:v>
                </c:pt>
                <c:pt idx="1">
                  <c:v>18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13</c:v>
                </c:pt>
                <c:pt idx="6">
                  <c:v>17</c:v>
                </c:pt>
                <c:pt idx="7">
                  <c:v>15</c:v>
                </c:pt>
                <c:pt idx="8">
                  <c:v>15</c:v>
                </c:pt>
                <c:pt idx="9">
                  <c:v>13</c:v>
                </c:pt>
                <c:pt idx="10">
                  <c:v>16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14</c:v>
                </c:pt>
                <c:pt idx="16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22D-49AF-8FAB-283B9B24D5B2}"/>
            </c:ext>
          </c:extLst>
        </c:ser>
        <c:ser>
          <c:idx val="16"/>
          <c:order val="16"/>
          <c:tx>
            <c:strRef>
              <c:f>'Season Progress'!$V$3</c:f>
              <c:strCache>
                <c:ptCount val="1"/>
                <c:pt idx="0">
                  <c:v>Toprak RAZGATLIOGLU</c:v>
                </c:pt>
              </c:strCache>
            </c:strRef>
          </c:tx>
          <c:spPr>
            <a:ln w="19050" cap="rnd" cmpd="sng" algn="ctr">
              <a:solidFill>
                <a:schemeClr val="accent5">
                  <a:lumMod val="80000"/>
                  <a:lumOff val="2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>
                        <a:lumMod val="80000"/>
                        <a:lumOff val="2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Progress'!$V$4:$V$20</c:f>
              <c:numCache>
                <c:formatCode>General</c:formatCode>
                <c:ptCount val="17"/>
                <c:pt idx="0">
                  <c:v>17</c:v>
                </c:pt>
                <c:pt idx="1">
                  <c:v>17</c:v>
                </c:pt>
                <c:pt idx="2">
                  <c:v>15</c:v>
                </c:pt>
                <c:pt idx="3">
                  <c:v>19</c:v>
                </c:pt>
                <c:pt idx="4">
                  <c:v>13</c:v>
                </c:pt>
                <c:pt idx="5">
                  <c:v>15</c:v>
                </c:pt>
                <c:pt idx="6">
                  <c:v>16</c:v>
                </c:pt>
                <c:pt idx="7">
                  <c:v>11</c:v>
                </c:pt>
                <c:pt idx="8">
                  <c:v>14</c:v>
                </c:pt>
                <c:pt idx="9">
                  <c:v>18</c:v>
                </c:pt>
                <c:pt idx="10">
                  <c:v>15</c:v>
                </c:pt>
                <c:pt idx="11">
                  <c:v>15</c:v>
                </c:pt>
                <c:pt idx="12">
                  <c:v>19</c:v>
                </c:pt>
                <c:pt idx="13">
                  <c:v>12</c:v>
                </c:pt>
                <c:pt idx="14">
                  <c:v>20</c:v>
                </c:pt>
                <c:pt idx="15">
                  <c:v>17</c:v>
                </c:pt>
                <c:pt idx="16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22D-49AF-8FAB-283B9B24D5B2}"/>
            </c:ext>
          </c:extLst>
        </c:ser>
        <c:ser>
          <c:idx val="17"/>
          <c:order val="17"/>
          <c:tx>
            <c:strRef>
              <c:f>'Season Progress'!$W$3</c:f>
              <c:strCache>
                <c:ptCount val="1"/>
                <c:pt idx="0">
                  <c:v>Jack MILLER</c:v>
                </c:pt>
              </c:strCache>
            </c:strRef>
          </c:tx>
          <c:spPr>
            <a:ln w="19050" cap="rnd" cmpd="sng" algn="ctr">
              <a:solidFill>
                <a:schemeClr val="accent6">
                  <a:lumMod val="80000"/>
                  <a:lumOff val="2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80000"/>
                        <a:lumOff val="2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Progress'!$W$4:$W$20</c:f>
              <c:numCache>
                <c:formatCode>General</c:formatCode>
                <c:ptCount val="17"/>
                <c:pt idx="0">
                  <c:v>18</c:v>
                </c:pt>
                <c:pt idx="1">
                  <c:v>22</c:v>
                </c:pt>
                <c:pt idx="2">
                  <c:v>16</c:v>
                </c:pt>
                <c:pt idx="3">
                  <c:v>18</c:v>
                </c:pt>
                <c:pt idx="4">
                  <c:v>15</c:v>
                </c:pt>
                <c:pt idx="5">
                  <c:v>14</c:v>
                </c:pt>
                <c:pt idx="6">
                  <c:v>15</c:v>
                </c:pt>
                <c:pt idx="7">
                  <c:v>8</c:v>
                </c:pt>
                <c:pt idx="8">
                  <c:v>16</c:v>
                </c:pt>
                <c:pt idx="9">
                  <c:v>12</c:v>
                </c:pt>
                <c:pt idx="10">
                  <c:v>12</c:v>
                </c:pt>
                <c:pt idx="11">
                  <c:v>13</c:v>
                </c:pt>
                <c:pt idx="12">
                  <c:v>11</c:v>
                </c:pt>
                <c:pt idx="13">
                  <c:v>20</c:v>
                </c:pt>
                <c:pt idx="14">
                  <c:v>21</c:v>
                </c:pt>
                <c:pt idx="15">
                  <c:v>19</c:v>
                </c:pt>
                <c:pt idx="1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22D-49AF-8FAB-283B9B24D5B2}"/>
            </c:ext>
          </c:extLst>
        </c:ser>
        <c:ser>
          <c:idx val="18"/>
          <c:order val="18"/>
          <c:tx>
            <c:strRef>
              <c:f>'Season Progress'!$X$3</c:f>
              <c:strCache>
                <c:ptCount val="1"/>
                <c:pt idx="0">
                  <c:v>Michele PIRRO</c:v>
                </c:pt>
              </c:strCache>
            </c:strRef>
          </c:tx>
          <c:spPr>
            <a:ln w="19050" cap="rnd" cmpd="sng" algn="ctr">
              <a:solidFill>
                <a:schemeClr val="accent1">
                  <a:lumMod val="8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Progress'!$X$4:$X$20</c:f>
              <c:numCache>
                <c:formatCode>General</c:formatCode>
                <c:ptCount val="17"/>
                <c:pt idx="0">
                  <c:v>19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19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22D-49AF-8FAB-283B9B24D5B2}"/>
            </c:ext>
          </c:extLst>
        </c:ser>
        <c:ser>
          <c:idx val="19"/>
          <c:order val="19"/>
          <c:tx>
            <c:strRef>
              <c:f>'Season Progress'!$Y$3</c:f>
              <c:strCache>
                <c:ptCount val="1"/>
                <c:pt idx="0">
                  <c:v>Joan MIR</c:v>
                </c:pt>
              </c:strCache>
            </c:strRef>
          </c:tx>
          <c:spPr>
            <a:ln w="19050" cap="rnd" cmpd="sng" algn="ctr">
              <a:solidFill>
                <a:schemeClr val="accent2">
                  <a:lumMod val="8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Progress'!$Y$4:$Y$20</c:f>
              <c:numCache>
                <c:formatCode>General</c:formatCode>
                <c:ptCount val="17"/>
                <c:pt idx="0">
                  <c:v>20</c:v>
                </c:pt>
                <c:pt idx="1">
                  <c:v>19</c:v>
                </c:pt>
                <c:pt idx="2">
                  <c:v>21</c:v>
                </c:pt>
                <c:pt idx="3">
                  <c:v>15</c:v>
                </c:pt>
                <c:pt idx="4">
                  <c:v>18</c:v>
                </c:pt>
                <c:pt idx="5">
                  <c:v>2</c:v>
                </c:pt>
                <c:pt idx="6">
                  <c:v>12</c:v>
                </c:pt>
                <c:pt idx="7">
                  <c:v>18</c:v>
                </c:pt>
                <c:pt idx="8">
                  <c:v>5</c:v>
                </c:pt>
                <c:pt idx="9">
                  <c:v>22</c:v>
                </c:pt>
                <c:pt idx="10">
                  <c:v>19</c:v>
                </c:pt>
                <c:pt idx="11">
                  <c:v>23</c:v>
                </c:pt>
                <c:pt idx="12">
                  <c:v>12</c:v>
                </c:pt>
                <c:pt idx="13">
                  <c:v>18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22D-49AF-8FAB-283B9B24D5B2}"/>
            </c:ext>
          </c:extLst>
        </c:ser>
        <c:ser>
          <c:idx val="20"/>
          <c:order val="20"/>
          <c:tx>
            <c:strRef>
              <c:f>'Season Progress'!$Z$3</c:f>
              <c:strCache>
                <c:ptCount val="1"/>
                <c:pt idx="0">
                  <c:v>Alex MARQUEZ</c:v>
                </c:pt>
              </c:strCache>
            </c:strRef>
          </c:tx>
          <c:spPr>
            <a:ln w="19050" cap="rnd" cmpd="sng" algn="ctr">
              <a:solidFill>
                <a:schemeClr val="accent3">
                  <a:lumMod val="8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Progress'!$Z$4:$Z$20</c:f>
              <c:numCache>
                <c:formatCode>General</c:formatCode>
                <c:ptCount val="17"/>
                <c:pt idx="0">
                  <c:v>21</c:v>
                </c:pt>
                <c:pt idx="1">
                  <c:v>6</c:v>
                </c:pt>
                <c:pt idx="2">
                  <c:v>7</c:v>
                </c:pt>
                <c:pt idx="3">
                  <c:v>1</c:v>
                </c:pt>
                <c:pt idx="4">
                  <c:v>21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5</c:v>
                </c:pt>
                <c:pt idx="10">
                  <c:v>18</c:v>
                </c:pt>
                <c:pt idx="11">
                  <c:v>4</c:v>
                </c:pt>
                <c:pt idx="12">
                  <c:v>4</c:v>
                </c:pt>
                <c:pt idx="13">
                  <c:v>2</c:v>
                </c:pt>
                <c:pt idx="14">
                  <c:v>22</c:v>
                </c:pt>
                <c:pt idx="15">
                  <c:v>21</c:v>
                </c:pt>
                <c:pt idx="1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22D-49AF-8FAB-283B9B24D5B2}"/>
            </c:ext>
          </c:extLst>
        </c:ser>
        <c:ser>
          <c:idx val="21"/>
          <c:order val="21"/>
          <c:tx>
            <c:strRef>
              <c:f>'Season Progress'!$AA$3</c:f>
              <c:strCache>
                <c:ptCount val="1"/>
                <c:pt idx="0">
                  <c:v>Marc MARQUEZ</c:v>
                </c:pt>
              </c:strCache>
            </c:strRef>
          </c:tx>
          <c:spPr>
            <a:ln w="19050" cap="rnd" cmpd="sng" algn="ctr">
              <a:solidFill>
                <a:schemeClr val="accent4">
                  <a:lumMod val="8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>
                        <a:lumMod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Progress'!$AA$4:$AA$20</c:f>
              <c:numCache>
                <c:formatCode>General</c:formatCode>
                <c:ptCount val="17"/>
                <c:pt idx="0">
                  <c:v>22</c:v>
                </c:pt>
                <c:pt idx="1">
                  <c:v>4</c:v>
                </c:pt>
                <c:pt idx="2">
                  <c:v>5</c:v>
                </c:pt>
                <c:pt idx="3">
                  <c:v>23</c:v>
                </c:pt>
                <c:pt idx="4">
                  <c:v>#N/A</c:v>
                </c:pt>
                <c:pt idx="5">
                  <c:v>#N/A</c:v>
                </c:pt>
                <c:pt idx="6">
                  <c:v>7</c:v>
                </c:pt>
                <c:pt idx="7">
                  <c:v>1</c:v>
                </c:pt>
                <c:pt idx="8">
                  <c:v>1</c:v>
                </c:pt>
                <c:pt idx="9">
                  <c:v>7</c:v>
                </c:pt>
                <c:pt idx="10">
                  <c:v>1</c:v>
                </c:pt>
                <c:pt idx="11">
                  <c:v>7</c:v>
                </c:pt>
                <c:pt idx="12">
                  <c:v>1</c:v>
                </c:pt>
                <c:pt idx="13">
                  <c:v>1</c:v>
                </c:pt>
                <c:pt idx="14">
                  <c:v>5</c:v>
                </c:pt>
                <c:pt idx="15">
                  <c:v>1</c:v>
                </c:pt>
                <c:pt idx="1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22D-49AF-8FAB-283B9B24D5B2}"/>
            </c:ext>
          </c:extLst>
        </c:ser>
        <c:ser>
          <c:idx val="22"/>
          <c:order val="22"/>
          <c:tx>
            <c:strRef>
              <c:f>'Season Progress'!$AB$3</c:f>
              <c:strCache>
                <c:ptCount val="1"/>
                <c:pt idx="0">
                  <c:v>Fermin ALDEGUER</c:v>
                </c:pt>
              </c:strCache>
            </c:strRef>
          </c:tx>
          <c:spPr>
            <a:ln w="19050" cap="rnd" cmpd="sng" algn="ctr">
              <a:solidFill>
                <a:schemeClr val="accent5">
                  <a:lumMod val="8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>
                        <a:lumMod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Progress'!$AB$4:$AB$20</c:f>
              <c:numCache>
                <c:formatCode>General</c:formatCode>
                <c:ptCount val="17"/>
                <c:pt idx="0">
                  <c:v>#N/A</c:v>
                </c:pt>
                <c:pt idx="1">
                  <c:v>8</c:v>
                </c:pt>
                <c:pt idx="2">
                  <c:v>11</c:v>
                </c:pt>
                <c:pt idx="3">
                  <c:v>9</c:v>
                </c:pt>
                <c:pt idx="4">
                  <c:v>9</c:v>
                </c:pt>
                <c:pt idx="5">
                  <c:v>3</c:v>
                </c:pt>
                <c:pt idx="6">
                  <c:v>9</c:v>
                </c:pt>
                <c:pt idx="7">
                  <c:v>#N/A</c:v>
                </c:pt>
                <c:pt idx="8">
                  <c:v>6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6</c:v>
                </c:pt>
                <c:pt idx="13">
                  <c:v>4</c:v>
                </c:pt>
                <c:pt idx="14">
                  <c:v>8</c:v>
                </c:pt>
                <c:pt idx="15">
                  <c:v>9</c:v>
                </c:pt>
                <c:pt idx="1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22D-49AF-8FAB-283B9B24D5B2}"/>
            </c:ext>
          </c:extLst>
        </c:ser>
        <c:ser>
          <c:idx val="23"/>
          <c:order val="23"/>
          <c:tx>
            <c:strRef>
              <c:f>'Season Progress'!$AC$3</c:f>
              <c:strCache>
                <c:ptCount val="1"/>
                <c:pt idx="0">
                  <c:v>Augusto FERNANDEZ</c:v>
                </c:pt>
              </c:strCache>
            </c:strRef>
          </c:tx>
          <c:spPr>
            <a:ln w="19050" cap="rnd" cmpd="sng" algn="ctr">
              <a:solidFill>
                <a:schemeClr val="accent6">
                  <a:lumMod val="8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Progress'!$AC$4:$AC$20</c:f>
              <c:numCache>
                <c:formatCode>General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20</c:v>
                </c:pt>
                <c:pt idx="4">
                  <c:v>#N/A</c:v>
                </c:pt>
                <c:pt idx="5">
                  <c:v>17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15</c:v>
                </c:pt>
                <c:pt idx="10">
                  <c:v>#N/A</c:v>
                </c:pt>
                <c:pt idx="11">
                  <c:v>16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22D-49AF-8FAB-283B9B24D5B2}"/>
            </c:ext>
          </c:extLst>
        </c:ser>
        <c:ser>
          <c:idx val="24"/>
          <c:order val="24"/>
          <c:tx>
            <c:strRef>
              <c:f>'Season Progress'!$AD$3</c:f>
              <c:strCache>
                <c:ptCount val="1"/>
                <c:pt idx="0">
                  <c:v>Lorenzo SAVADORI</c:v>
                </c:pt>
              </c:strCache>
            </c:strRef>
          </c:tx>
          <c:spPr>
            <a:ln w="19050" cap="rnd" cmpd="sng" algn="ctr">
              <a:solidFill>
                <a:schemeClr val="accent1">
                  <a:lumMod val="60000"/>
                  <a:lumOff val="4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Progress'!$AD$4:$AD$20</c:f>
              <c:numCache>
                <c:formatCode>General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22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17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22D-49AF-8FAB-283B9B24D5B2}"/>
            </c:ext>
          </c:extLst>
        </c:ser>
        <c:ser>
          <c:idx val="25"/>
          <c:order val="25"/>
          <c:tx>
            <c:strRef>
              <c:f>'Season Progress'!$AE$3</c:f>
              <c:strCache>
                <c:ptCount val="1"/>
                <c:pt idx="0">
                  <c:v>Jonas FOLGER</c:v>
                </c:pt>
              </c:strCache>
            </c:strRef>
          </c:tx>
          <c:spPr>
            <a:ln w="19050" cap="rnd" cmpd="sng" algn="ctr">
              <a:solidFill>
                <a:schemeClr val="accent2">
                  <a:lumMod val="60000"/>
                  <a:lumOff val="4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Progress'!$AE$4:$AE$20</c:f>
              <c:numCache>
                <c:formatCode>General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16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22D-49AF-8FAB-283B9B24D5B2}"/>
            </c:ext>
          </c:extLst>
        </c:ser>
        <c:ser>
          <c:idx val="26"/>
          <c:order val="26"/>
          <c:tx>
            <c:strRef>
              <c:f>'Season Progress'!$AF$3</c:f>
              <c:strCache>
                <c:ptCount val="1"/>
                <c:pt idx="0">
                  <c:v>Cal CRUTCHLOW</c:v>
                </c:pt>
              </c:strCache>
            </c:strRef>
          </c:tx>
          <c:spPr>
            <a:ln w="19050" cap="rnd" cmpd="sng" algn="ctr">
              <a:solidFill>
                <a:schemeClr val="accent3">
                  <a:lumMod val="60000"/>
                  <a:lumOff val="4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Progress'!$AF$4:$AF$20</c:f>
              <c:numCache>
                <c:formatCode>General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22</c:v>
                </c:pt>
                <c:pt idx="7">
                  <c:v>16</c:v>
                </c:pt>
                <c:pt idx="8">
                  <c:v>17</c:v>
                </c:pt>
                <c:pt idx="9">
                  <c:v>16</c:v>
                </c:pt>
                <c:pt idx="10">
                  <c:v>17</c:v>
                </c:pt>
                <c:pt idx="11">
                  <c:v>19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22D-49AF-8FAB-283B9B24D5B2}"/>
            </c:ext>
          </c:extLst>
        </c:ser>
        <c:ser>
          <c:idx val="27"/>
          <c:order val="27"/>
          <c:tx>
            <c:strRef>
              <c:f>'Season Progress'!$AG$3</c:f>
              <c:strCache>
                <c:ptCount val="1"/>
                <c:pt idx="0">
                  <c:v>Iker LECUONA</c:v>
                </c:pt>
              </c:strCache>
            </c:strRef>
          </c:tx>
          <c:spPr>
            <a:ln w="19050" cap="rnd" cmpd="sng" algn="ctr">
              <a:solidFill>
                <a:schemeClr val="accent4">
                  <a:lumMod val="60000"/>
                  <a:lumOff val="4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Progress'!$AG$4:$AG$20</c:f>
              <c:numCache>
                <c:formatCode>General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7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20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22D-49AF-8FAB-283B9B24D5B2}"/>
            </c:ext>
          </c:extLst>
        </c:ser>
        <c:ser>
          <c:idx val="28"/>
          <c:order val="28"/>
          <c:tx>
            <c:strRef>
              <c:f>'Season Progress'!$AH$3</c:f>
              <c:strCache>
                <c:ptCount val="1"/>
                <c:pt idx="0">
                  <c:v>Pol ESPARGARO</c:v>
                </c:pt>
              </c:strCache>
            </c:strRef>
          </c:tx>
          <c:spPr>
            <a:ln w="19050" cap="rnd" cmpd="sng" algn="ctr">
              <a:solidFill>
                <a:schemeClr val="accent5">
                  <a:lumMod val="60000"/>
                  <a:lumOff val="4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Progress'!$AH$4:$AH$20</c:f>
              <c:numCache>
                <c:formatCode>General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14</c:v>
                </c:pt>
                <c:pt idx="12">
                  <c:v>16</c:v>
                </c:pt>
                <c:pt idx="13">
                  <c:v>14</c:v>
                </c:pt>
                <c:pt idx="14">
                  <c:v>16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22D-49AF-8FAB-283B9B24D5B2}"/>
            </c:ext>
          </c:extLst>
        </c:ser>
        <c:ser>
          <c:idx val="29"/>
          <c:order val="29"/>
          <c:tx>
            <c:strRef>
              <c:f>'Season Progress'!$AI$3</c:f>
              <c:strCache>
                <c:ptCount val="1"/>
                <c:pt idx="0">
                  <c:v>Takaaki NAKAGAMI</c:v>
                </c:pt>
              </c:strCache>
            </c:strRef>
          </c:tx>
          <c:spPr>
            <a:ln w="19050" cap="rnd" cmpd="sng" algn="ctr">
              <a:solidFill>
                <a:schemeClr val="accent6">
                  <a:lumMod val="60000"/>
                  <a:lumOff val="4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Progress'!$AI$4:$AI$20</c:f>
              <c:numCache>
                <c:formatCode>General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13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22D-49AF-8FAB-283B9B24D5B2}"/>
            </c:ext>
          </c:extLst>
        </c:ser>
        <c:ser>
          <c:idx val="30"/>
          <c:order val="30"/>
          <c:tx>
            <c:strRef>
              <c:f>'Season Progress'!$AJ$3</c:f>
              <c:strCache>
                <c:ptCount val="1"/>
                <c:pt idx="0">
                  <c:v>Somkiat CHANTRA</c:v>
                </c:pt>
              </c:strCache>
            </c:strRef>
          </c:tx>
          <c:spPr>
            <a:ln w="19050" cap="rnd" cmpd="sng" algn="ctr">
              <a:solidFill>
                <a:schemeClr val="accent1">
                  <a:lumMod val="5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'Season Progress'!$E$4:$E$20</c:f>
              <c:strCache>
                <c:ptCount val="17"/>
                <c:pt idx="0">
                  <c:v>THAILAND</c:v>
                </c:pt>
                <c:pt idx="1">
                  <c:v>ESTRELLA_GALICIA_BRAZIL</c:v>
                </c:pt>
                <c:pt idx="2">
                  <c:v>RED_BULL_USA</c:v>
                </c:pt>
                <c:pt idx="3">
                  <c:v>ESTRELLA_GALICIA_SPAIN</c:v>
                </c:pt>
                <c:pt idx="4">
                  <c:v>MICHELIN_FRANCE</c:v>
                </c:pt>
                <c:pt idx="5">
                  <c:v>MONSTER_ENERGY_CATALONIA</c:v>
                </c:pt>
                <c:pt idx="6">
                  <c:v>BREMBO_ITALY</c:v>
                </c:pt>
                <c:pt idx="7">
                  <c:v>HUNGARY</c:v>
                </c:pt>
                <c:pt idx="8">
                  <c:v>MONSTER_ENERGY_CZECHIA</c:v>
                </c:pt>
                <c:pt idx="9">
                  <c:v>NETHERLANDS_TISSOT</c:v>
                </c:pt>
                <c:pt idx="10">
                  <c:v>LIQUI_MOLY_GERMANY</c:v>
                </c:pt>
                <c:pt idx="11">
                  <c:v>QATAR_AIRWAYS_GREAT_BRITAIN</c:v>
                </c:pt>
                <c:pt idx="12">
                  <c:v>MICHELIN_ARAGON</c:v>
                </c:pt>
                <c:pt idx="13">
                  <c:v>RED_BULL_SAN_MARINO_AND_RIMINI_RIVIE</c:v>
                </c:pt>
                <c:pt idx="14">
                  <c:v>QATAR_AIRWAYS_AUSTRIA</c:v>
                </c:pt>
                <c:pt idx="15">
                  <c:v>MOTEGI_JAPAN</c:v>
                </c:pt>
                <c:pt idx="16">
                  <c:v>PERTAMINA_INDONESIA</c:v>
                </c:pt>
              </c:strCache>
            </c:strRef>
          </c:cat>
          <c:val>
            <c:numRef>
              <c:f>'Season Progress'!$AJ$4:$AJ$20</c:f>
              <c:numCache>
                <c:formatCode>General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13</c:v>
                </c:pt>
                <c:pt idx="1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22D-49AF-8FAB-283B9B24D5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0"/>
        <c:lblAlgn val="ctr"/>
        <c:lblOffset val="100"/>
        <c:noMultiLvlLbl val="0"/>
      </c:catAx>
      <c:valAx>
        <c:axId val="50010002"/>
        <c:scaling>
          <c:orientation val="maxMin"/>
          <c:max val="23"/>
          <c:min val="1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Finish Position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5001000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12</xdr:col>
      <xdr:colOff>1131092</xdr:colOff>
      <xdr:row>82</xdr:row>
      <xdr:rowOff>166688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ceCalendar" displayName="RaceCalendar" ref="A3:G20" totalsRowShown="0">
  <autoFilter ref="A3:G20" xr:uid="{00000000-0009-0000-0100-000001000000}"/>
  <tableColumns count="7">
    <tableColumn id="1" xr3:uid="{00000000-0010-0000-0000-000001000000}" name="Round"/>
    <tableColumn id="2" xr3:uid="{00000000-0010-0000-0000-000002000000}" name="Date"/>
    <tableColumn id="3" xr3:uid="{00000000-0010-0000-0000-000003000000}" name="Race"/>
    <tableColumn id="4" xr3:uid="{00000000-0010-0000-0000-000004000000}" name="Circuit"/>
    <tableColumn id="5" xr3:uid="{00000000-0010-0000-0000-000005000000}" name="Riders"/>
    <tableColumn id="6" xr3:uid="{00000000-0010-0000-0000-000006000000}" name="Maximum Laps"/>
    <tableColumn id="7" xr3:uid="{00000000-0010-0000-0000-000007000000}" name="Source J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asonResults" displayName="SeasonResults" ref="A1:M362" totalsRowShown="0">
  <autoFilter ref="A1:M362" xr:uid="{00000000-0009-0000-0100-000002000000}"/>
  <tableColumns count="13">
    <tableColumn id="1" xr3:uid="{00000000-0010-0000-0100-000001000000}" name="Round"/>
    <tableColumn id="2" xr3:uid="{00000000-0010-0000-0100-000002000000}" name="Date"/>
    <tableColumn id="3" xr3:uid="{00000000-0010-0000-0100-000003000000}" name="Race"/>
    <tableColumn id="4" xr3:uid="{00000000-0010-0000-0100-000004000000}" name="Circuit"/>
    <tableColumn id="5" xr3:uid="{00000000-0010-0000-0100-000005000000}" name="Rider"/>
    <tableColumn id="6" xr3:uid="{00000000-0010-0000-0100-000006000000}" name="Number"/>
    <tableColumn id="7" xr3:uid="{00000000-0010-0000-0100-000007000000}" name="Team"/>
    <tableColumn id="8" xr3:uid="{00000000-0010-0000-0100-000008000000}" name="Manufacturer"/>
    <tableColumn id="9" xr3:uid="{00000000-0010-0000-0100-000009000000}" name="Nationality"/>
    <tableColumn id="10" xr3:uid="{00000000-0010-0000-0100-00000A000000}" name="Finish Position"/>
    <tableColumn id="11" xr3:uid="{00000000-0010-0000-0100-00000B000000}" name="Completed Laps"/>
    <tableColumn id="12" xr3:uid="{00000000-0010-0000-0100-00000C000000}" name="Valid Laps"/>
    <tableColumn id="13" xr3:uid="{00000000-0010-0000-0100-00000D000000}" name="Source 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pane ySplit="3" topLeftCell="A4" activePane="bottomLeft" state="frozen"/>
      <selection pane="bottomLeft" activeCell="D30" sqref="D30"/>
    </sheetView>
  </sheetViews>
  <sheetFormatPr defaultRowHeight="14.4" x14ac:dyDescent="0.3"/>
  <cols>
    <col min="1" max="1" width="9.6640625" customWidth="1"/>
    <col min="2" max="2" width="10.33203125" bestFit="1" customWidth="1"/>
    <col min="3" max="3" width="56.5546875" bestFit="1" customWidth="1"/>
    <col min="4" max="4" width="34.6640625" customWidth="1"/>
    <col min="5" max="6" width="14.6640625" customWidth="1"/>
    <col min="7" max="7" width="28.6640625" customWidth="1"/>
  </cols>
  <sheetData>
    <row r="1" spans="1:7" ht="21" x14ac:dyDescent="0.3">
      <c r="A1" s="39" t="s">
        <v>0</v>
      </c>
      <c r="B1" s="39"/>
      <c r="C1" s="39"/>
      <c r="D1" s="39"/>
      <c r="E1" s="39"/>
      <c r="F1" s="39"/>
      <c r="G1" s="39"/>
    </row>
    <row r="3" spans="1:7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3">
      <c r="A4" s="1">
        <v>1</v>
      </c>
      <c r="B4" s="2">
        <v>46082</v>
      </c>
      <c r="C4" s="3" t="s">
        <v>8</v>
      </c>
      <c r="D4" s="3" t="s">
        <v>9</v>
      </c>
      <c r="E4" s="1">
        <v>22</v>
      </c>
      <c r="F4" s="1">
        <v>26</v>
      </c>
      <c r="G4" s="3" t="s">
        <v>10</v>
      </c>
    </row>
    <row r="5" spans="1:7" x14ac:dyDescent="0.3">
      <c r="A5" s="1">
        <v>2</v>
      </c>
      <c r="B5" s="2">
        <v>46103</v>
      </c>
      <c r="C5" s="3" t="s">
        <v>11</v>
      </c>
      <c r="D5" s="3" t="s">
        <v>12</v>
      </c>
      <c r="E5" s="1">
        <v>22</v>
      </c>
      <c r="F5" s="1">
        <v>23</v>
      </c>
      <c r="G5" s="3" t="s">
        <v>13</v>
      </c>
    </row>
    <row r="6" spans="1:7" x14ac:dyDescent="0.3">
      <c r="A6" s="1">
        <v>3</v>
      </c>
      <c r="B6" s="2">
        <v>46110</v>
      </c>
      <c r="C6" s="3" t="s">
        <v>14</v>
      </c>
      <c r="D6" s="3" t="s">
        <v>15</v>
      </c>
      <c r="E6" s="1">
        <v>21</v>
      </c>
      <c r="F6" s="1">
        <v>20</v>
      </c>
      <c r="G6" s="3" t="s">
        <v>16</v>
      </c>
    </row>
    <row r="7" spans="1:7" x14ac:dyDescent="0.3">
      <c r="A7" s="1">
        <v>4</v>
      </c>
      <c r="B7" s="2">
        <v>46138</v>
      </c>
      <c r="C7" s="3" t="s">
        <v>17</v>
      </c>
      <c r="D7" s="3"/>
      <c r="E7" s="1">
        <v>23</v>
      </c>
      <c r="F7" s="1">
        <v>25</v>
      </c>
      <c r="G7" s="3" t="s">
        <v>18</v>
      </c>
    </row>
    <row r="8" spans="1:7" x14ac:dyDescent="0.3">
      <c r="A8" s="1">
        <v>5</v>
      </c>
      <c r="B8" s="2">
        <v>46152</v>
      </c>
      <c r="C8" s="3" t="s">
        <v>19</v>
      </c>
      <c r="D8" s="3" t="s">
        <v>20</v>
      </c>
      <c r="E8" s="1">
        <v>21</v>
      </c>
      <c r="F8" s="1">
        <v>27</v>
      </c>
      <c r="G8" s="3" t="s">
        <v>21</v>
      </c>
    </row>
    <row r="9" spans="1:7" x14ac:dyDescent="0.3">
      <c r="A9" s="1">
        <v>6</v>
      </c>
      <c r="B9" s="2">
        <v>46159</v>
      </c>
      <c r="C9" s="3" t="s">
        <v>22</v>
      </c>
      <c r="D9" s="3"/>
      <c r="E9" s="1">
        <v>19</v>
      </c>
      <c r="F9" s="1">
        <v>12</v>
      </c>
      <c r="G9" s="3" t="s">
        <v>23</v>
      </c>
    </row>
    <row r="10" spans="1:7" x14ac:dyDescent="0.3">
      <c r="A10" s="1">
        <v>7</v>
      </c>
      <c r="B10" s="2">
        <v>46173</v>
      </c>
      <c r="C10" s="3" t="s">
        <v>24</v>
      </c>
      <c r="D10" s="3" t="s">
        <v>25</v>
      </c>
      <c r="E10" s="1">
        <v>22</v>
      </c>
      <c r="F10" s="1">
        <v>23</v>
      </c>
      <c r="G10" s="3" t="s">
        <v>26</v>
      </c>
    </row>
    <row r="11" spans="1:7" x14ac:dyDescent="0.3">
      <c r="A11" s="1">
        <v>8</v>
      </c>
      <c r="B11" s="2">
        <v>46180</v>
      </c>
      <c r="C11" s="3" t="s">
        <v>27</v>
      </c>
      <c r="D11" s="3" t="s">
        <v>28</v>
      </c>
      <c r="E11" s="1">
        <v>18</v>
      </c>
      <c r="F11" s="1">
        <v>26</v>
      </c>
      <c r="G11" s="3" t="s">
        <v>29</v>
      </c>
    </row>
    <row r="12" spans="1:7" x14ac:dyDescent="0.3">
      <c r="A12" s="1">
        <v>9</v>
      </c>
      <c r="B12" s="2">
        <v>46194</v>
      </c>
      <c r="C12" s="3" t="s">
        <v>30</v>
      </c>
      <c r="D12" s="3" t="s">
        <v>31</v>
      </c>
      <c r="E12" s="1">
        <v>20</v>
      </c>
      <c r="F12" s="1">
        <v>21</v>
      </c>
      <c r="G12" s="3" t="s">
        <v>32</v>
      </c>
    </row>
    <row r="13" spans="1:7" x14ac:dyDescent="0.3">
      <c r="A13" s="1">
        <v>10</v>
      </c>
      <c r="B13" s="2">
        <v>46201</v>
      </c>
      <c r="C13" s="3" t="s">
        <v>33</v>
      </c>
      <c r="D13" s="3" t="s">
        <v>34</v>
      </c>
      <c r="E13" s="1">
        <v>22</v>
      </c>
      <c r="F13" s="1">
        <v>26</v>
      </c>
      <c r="G13" s="3" t="s">
        <v>35</v>
      </c>
    </row>
    <row r="14" spans="1:7" x14ac:dyDescent="0.3">
      <c r="A14" s="1">
        <v>11</v>
      </c>
      <c r="B14" s="2">
        <v>46215</v>
      </c>
      <c r="C14" s="3" t="s">
        <v>36</v>
      </c>
      <c r="D14" s="3" t="s">
        <v>37</v>
      </c>
      <c r="E14" s="1">
        <v>20</v>
      </c>
      <c r="F14" s="1">
        <v>30</v>
      </c>
      <c r="G14" s="3" t="s">
        <v>38</v>
      </c>
    </row>
    <row r="15" spans="1:7" x14ac:dyDescent="0.3">
      <c r="A15" s="1">
        <v>12</v>
      </c>
      <c r="B15" s="2">
        <v>46243</v>
      </c>
      <c r="C15" s="3" t="s">
        <v>39</v>
      </c>
      <c r="D15" s="3" t="s">
        <v>40</v>
      </c>
      <c r="E15" s="1">
        <v>23</v>
      </c>
      <c r="F15" s="1">
        <v>20</v>
      </c>
      <c r="G15" s="3" t="s">
        <v>41</v>
      </c>
    </row>
    <row r="16" spans="1:7" x14ac:dyDescent="0.3">
      <c r="A16" s="1">
        <v>13</v>
      </c>
      <c r="B16" s="2">
        <v>46264</v>
      </c>
      <c r="C16" s="3" t="s">
        <v>42</v>
      </c>
      <c r="D16" s="3" t="s">
        <v>43</v>
      </c>
      <c r="E16" s="1">
        <v>22</v>
      </c>
      <c r="F16" s="1">
        <v>23</v>
      </c>
      <c r="G16" s="3" t="s">
        <v>44</v>
      </c>
    </row>
    <row r="17" spans="1:7" x14ac:dyDescent="0.3">
      <c r="A17" s="1">
        <v>14</v>
      </c>
      <c r="B17" s="2">
        <v>46278</v>
      </c>
      <c r="C17" s="3" t="s">
        <v>45</v>
      </c>
      <c r="D17" s="3" t="s">
        <v>46</v>
      </c>
      <c r="E17" s="1">
        <v>21</v>
      </c>
      <c r="F17" s="1">
        <v>27</v>
      </c>
      <c r="G17" s="3" t="s">
        <v>47</v>
      </c>
    </row>
    <row r="18" spans="1:7" x14ac:dyDescent="0.3">
      <c r="A18" s="1">
        <v>15</v>
      </c>
      <c r="B18" s="2">
        <v>46285</v>
      </c>
      <c r="C18" s="3" t="s">
        <v>48</v>
      </c>
      <c r="D18" s="3" t="s">
        <v>49</v>
      </c>
      <c r="E18" s="1">
        <v>22</v>
      </c>
      <c r="F18" s="1">
        <v>28</v>
      </c>
      <c r="G18" s="3" t="s">
        <v>50</v>
      </c>
    </row>
    <row r="19" spans="1:7" x14ac:dyDescent="0.3">
      <c r="A19" s="1">
        <v>16</v>
      </c>
      <c r="B19" s="2">
        <v>46299</v>
      </c>
      <c r="C19" s="3" t="s">
        <v>51</v>
      </c>
      <c r="D19" s="3" t="s">
        <v>52</v>
      </c>
      <c r="E19" s="1">
        <v>22</v>
      </c>
      <c r="F19" s="1">
        <v>24</v>
      </c>
      <c r="G19" s="3" t="s">
        <v>53</v>
      </c>
    </row>
    <row r="20" spans="1:7" x14ac:dyDescent="0.3">
      <c r="A20" s="1">
        <v>17</v>
      </c>
      <c r="B20" s="2">
        <v>46306</v>
      </c>
      <c r="C20" s="3" t="s">
        <v>54</v>
      </c>
      <c r="D20" s="3" t="s">
        <v>55</v>
      </c>
      <c r="E20" s="1">
        <v>21</v>
      </c>
      <c r="F20" s="1">
        <v>27</v>
      </c>
      <c r="G20" s="3" t="s">
        <v>56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2"/>
  <sheetViews>
    <sheetView zoomScale="80" zoomScaleNormal="80" workbookViewId="0">
      <pane ySplit="1" topLeftCell="A23" activePane="bottomLeft" state="frozen"/>
      <selection pane="bottomLeft" activeCell="J320" sqref="J320"/>
    </sheetView>
  </sheetViews>
  <sheetFormatPr defaultRowHeight="14.4" x14ac:dyDescent="0.3"/>
  <cols>
    <col min="1" max="1" width="9.33203125" bestFit="1" customWidth="1"/>
    <col min="2" max="2" width="11" bestFit="1" customWidth="1"/>
    <col min="3" max="3" width="61.21875" bestFit="1" customWidth="1"/>
    <col min="4" max="4" width="30.5546875" bestFit="1" customWidth="1"/>
    <col min="5" max="5" width="24.88671875" bestFit="1" customWidth="1"/>
    <col min="6" max="6" width="11" bestFit="1" customWidth="1"/>
    <col min="7" max="7" width="38.33203125" bestFit="1" customWidth="1"/>
    <col min="8" max="8" width="15.5546875" bestFit="1" customWidth="1"/>
    <col min="9" max="9" width="13.44140625" bestFit="1" customWidth="1"/>
    <col min="10" max="10" width="16.21875" bestFit="1" customWidth="1"/>
    <col min="11" max="11" width="17.6640625" bestFit="1" customWidth="1"/>
    <col min="12" max="12" width="12.6640625" bestFit="1" customWidth="1"/>
    <col min="13" max="13" width="32.44140625" bestFit="1" customWidth="1"/>
  </cols>
  <sheetData>
    <row r="1" spans="1:13" x14ac:dyDescent="0.3">
      <c r="A1" t="s">
        <v>1</v>
      </c>
      <c r="B1" t="s">
        <v>2</v>
      </c>
      <c r="C1" t="s">
        <v>3</v>
      </c>
      <c r="D1" t="s">
        <v>4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7</v>
      </c>
    </row>
    <row r="2" spans="1:13" x14ac:dyDescent="0.3">
      <c r="A2" s="1">
        <v>1</v>
      </c>
      <c r="B2" s="2">
        <v>46082</v>
      </c>
      <c r="C2" s="3" t="s">
        <v>8</v>
      </c>
      <c r="D2" s="3" t="s">
        <v>9</v>
      </c>
      <c r="E2" s="3" t="s">
        <v>65</v>
      </c>
      <c r="F2" s="1">
        <v>72</v>
      </c>
      <c r="G2" s="3" t="s">
        <v>66</v>
      </c>
      <c r="H2" s="3" t="s">
        <v>67</v>
      </c>
      <c r="I2" s="3" t="s">
        <v>68</v>
      </c>
      <c r="J2" s="1">
        <v>1</v>
      </c>
      <c r="K2" s="1">
        <v>26</v>
      </c>
      <c r="L2" s="1">
        <v>25</v>
      </c>
      <c r="M2" s="3" t="s">
        <v>10</v>
      </c>
    </row>
    <row r="3" spans="1:13" x14ac:dyDescent="0.3">
      <c r="A3" s="1">
        <v>1</v>
      </c>
      <c r="B3" s="2">
        <v>46082</v>
      </c>
      <c r="C3" s="3" t="s">
        <v>8</v>
      </c>
      <c r="D3" s="3" t="s">
        <v>9</v>
      </c>
      <c r="E3" s="3" t="s">
        <v>69</v>
      </c>
      <c r="F3" s="1">
        <v>37</v>
      </c>
      <c r="G3" s="3" t="s">
        <v>70</v>
      </c>
      <c r="H3" s="3" t="s">
        <v>71</v>
      </c>
      <c r="I3" s="3" t="s">
        <v>72</v>
      </c>
      <c r="J3" s="1">
        <v>2</v>
      </c>
      <c r="K3" s="1">
        <v>26</v>
      </c>
      <c r="L3" s="1">
        <v>25</v>
      </c>
      <c r="M3" s="3" t="s">
        <v>10</v>
      </c>
    </row>
    <row r="4" spans="1:13" x14ac:dyDescent="0.3">
      <c r="A4" s="1">
        <v>1</v>
      </c>
      <c r="B4" s="2">
        <v>46082</v>
      </c>
      <c r="C4" s="3" t="s">
        <v>8</v>
      </c>
      <c r="D4" s="3" t="s">
        <v>9</v>
      </c>
      <c r="E4" s="3" t="s">
        <v>73</v>
      </c>
      <c r="F4" s="1">
        <v>25</v>
      </c>
      <c r="G4" s="3" t="s">
        <v>74</v>
      </c>
      <c r="H4" s="3" t="s">
        <v>67</v>
      </c>
      <c r="I4" s="3" t="s">
        <v>72</v>
      </c>
      <c r="J4" s="1">
        <v>3</v>
      </c>
      <c r="K4" s="1">
        <v>26</v>
      </c>
      <c r="L4" s="1">
        <v>25</v>
      </c>
      <c r="M4" s="3" t="s">
        <v>10</v>
      </c>
    </row>
    <row r="5" spans="1:13" x14ac:dyDescent="0.3">
      <c r="A5" s="1">
        <v>1</v>
      </c>
      <c r="B5" s="2">
        <v>46082</v>
      </c>
      <c r="C5" s="3" t="s">
        <v>8</v>
      </c>
      <c r="D5" s="3" t="s">
        <v>9</v>
      </c>
      <c r="E5" s="3" t="s">
        <v>75</v>
      </c>
      <c r="F5" s="1">
        <v>89</v>
      </c>
      <c r="G5" s="3" t="s">
        <v>66</v>
      </c>
      <c r="H5" s="3" t="s">
        <v>67</v>
      </c>
      <c r="I5" s="3" t="s">
        <v>72</v>
      </c>
      <c r="J5" s="1">
        <v>4</v>
      </c>
      <c r="K5" s="1">
        <v>26</v>
      </c>
      <c r="L5" s="1">
        <v>25</v>
      </c>
      <c r="M5" s="3" t="s">
        <v>10</v>
      </c>
    </row>
    <row r="6" spans="1:13" x14ac:dyDescent="0.3">
      <c r="A6" s="1">
        <v>1</v>
      </c>
      <c r="B6" s="2">
        <v>46082</v>
      </c>
      <c r="C6" s="3" t="s">
        <v>8</v>
      </c>
      <c r="D6" s="3" t="s">
        <v>9</v>
      </c>
      <c r="E6" s="3" t="s">
        <v>76</v>
      </c>
      <c r="F6" s="1">
        <v>79</v>
      </c>
      <c r="G6" s="3" t="s">
        <v>74</v>
      </c>
      <c r="H6" s="3" t="s">
        <v>67</v>
      </c>
      <c r="I6" s="3" t="s">
        <v>77</v>
      </c>
      <c r="J6" s="1">
        <v>5</v>
      </c>
      <c r="K6" s="1">
        <v>26</v>
      </c>
      <c r="L6" s="1">
        <v>25</v>
      </c>
      <c r="M6" s="3" t="s">
        <v>10</v>
      </c>
    </row>
    <row r="7" spans="1:13" x14ac:dyDescent="0.3">
      <c r="A7" s="1">
        <v>1</v>
      </c>
      <c r="B7" s="2">
        <v>46082</v>
      </c>
      <c r="C7" s="3" t="s">
        <v>8</v>
      </c>
      <c r="D7" s="3" t="s">
        <v>9</v>
      </c>
      <c r="E7" s="3" t="s">
        <v>78</v>
      </c>
      <c r="F7" s="1">
        <v>49</v>
      </c>
      <c r="G7" s="3" t="s">
        <v>79</v>
      </c>
      <c r="H7" s="3" t="s">
        <v>80</v>
      </c>
      <c r="I7" s="3" t="s">
        <v>68</v>
      </c>
      <c r="J7" s="1">
        <v>6</v>
      </c>
      <c r="K7" s="1">
        <v>26</v>
      </c>
      <c r="L7" s="1">
        <v>24</v>
      </c>
      <c r="M7" s="3" t="s">
        <v>10</v>
      </c>
    </row>
    <row r="8" spans="1:13" x14ac:dyDescent="0.3">
      <c r="A8" s="1">
        <v>1</v>
      </c>
      <c r="B8" s="2">
        <v>46082</v>
      </c>
      <c r="C8" s="3" t="s">
        <v>8</v>
      </c>
      <c r="D8" s="3" t="s">
        <v>9</v>
      </c>
      <c r="E8" s="3" t="s">
        <v>81</v>
      </c>
      <c r="F8" s="1">
        <v>33</v>
      </c>
      <c r="G8" s="3" t="s">
        <v>70</v>
      </c>
      <c r="H8" s="3" t="s">
        <v>71</v>
      </c>
      <c r="I8" s="3" t="s">
        <v>82</v>
      </c>
      <c r="J8" s="1">
        <v>7</v>
      </c>
      <c r="K8" s="1">
        <v>26</v>
      </c>
      <c r="L8" s="1">
        <v>25</v>
      </c>
      <c r="M8" s="3" t="s">
        <v>10</v>
      </c>
    </row>
    <row r="9" spans="1:13" x14ac:dyDescent="0.3">
      <c r="A9" s="1">
        <v>1</v>
      </c>
      <c r="B9" s="2">
        <v>46082</v>
      </c>
      <c r="C9" s="3" t="s">
        <v>8</v>
      </c>
      <c r="D9" s="3" t="s">
        <v>9</v>
      </c>
      <c r="E9" s="3" t="s">
        <v>83</v>
      </c>
      <c r="F9" s="1">
        <v>21</v>
      </c>
      <c r="G9" s="3" t="s">
        <v>79</v>
      </c>
      <c r="H9" s="3" t="s">
        <v>80</v>
      </c>
      <c r="I9" s="3" t="s">
        <v>68</v>
      </c>
      <c r="J9" s="1">
        <v>8</v>
      </c>
      <c r="K9" s="1">
        <v>26</v>
      </c>
      <c r="L9" s="1">
        <v>24</v>
      </c>
      <c r="M9" s="3" t="s">
        <v>10</v>
      </c>
    </row>
    <row r="10" spans="1:13" x14ac:dyDescent="0.3">
      <c r="A10" s="1">
        <v>1</v>
      </c>
      <c r="B10" s="2">
        <v>46082</v>
      </c>
      <c r="C10" s="3" t="s">
        <v>8</v>
      </c>
      <c r="D10" s="3" t="s">
        <v>9</v>
      </c>
      <c r="E10" s="3" t="s">
        <v>84</v>
      </c>
      <c r="F10" s="1">
        <v>63</v>
      </c>
      <c r="G10" s="3" t="s">
        <v>85</v>
      </c>
      <c r="H10" s="3" t="s">
        <v>80</v>
      </c>
      <c r="I10" s="3" t="s">
        <v>68</v>
      </c>
      <c r="J10" s="1">
        <v>9</v>
      </c>
      <c r="K10" s="1">
        <v>26</v>
      </c>
      <c r="L10" s="1">
        <v>25</v>
      </c>
      <c r="M10" s="3" t="s">
        <v>10</v>
      </c>
    </row>
    <row r="11" spans="1:13" x14ac:dyDescent="0.3">
      <c r="A11" s="1">
        <v>1</v>
      </c>
      <c r="B11" s="2">
        <v>46082</v>
      </c>
      <c r="C11" s="3" t="s">
        <v>8</v>
      </c>
      <c r="D11" s="3" t="s">
        <v>9</v>
      </c>
      <c r="E11" s="3" t="s">
        <v>86</v>
      </c>
      <c r="F11" s="1">
        <v>10</v>
      </c>
      <c r="G11" s="3" t="s">
        <v>87</v>
      </c>
      <c r="H11" s="3" t="s">
        <v>88</v>
      </c>
      <c r="I11" s="3" t="s">
        <v>68</v>
      </c>
      <c r="J11" s="1">
        <v>10</v>
      </c>
      <c r="K11" s="1">
        <v>26</v>
      </c>
      <c r="L11" s="1">
        <v>25</v>
      </c>
      <c r="M11" s="3" t="s">
        <v>10</v>
      </c>
    </row>
    <row r="12" spans="1:13" x14ac:dyDescent="0.3">
      <c r="A12" s="1">
        <v>1</v>
      </c>
      <c r="B12" s="2">
        <v>46082</v>
      </c>
      <c r="C12" s="3" t="s">
        <v>8</v>
      </c>
      <c r="D12" s="3" t="s">
        <v>9</v>
      </c>
      <c r="E12" s="3" t="s">
        <v>89</v>
      </c>
      <c r="F12" s="1">
        <v>5</v>
      </c>
      <c r="G12" s="3" t="s">
        <v>90</v>
      </c>
      <c r="H12" s="3" t="s">
        <v>88</v>
      </c>
      <c r="I12" s="3" t="s">
        <v>91</v>
      </c>
      <c r="J12" s="1">
        <v>11</v>
      </c>
      <c r="K12" s="1">
        <v>26</v>
      </c>
      <c r="L12" s="1">
        <v>25</v>
      </c>
      <c r="M12" s="3" t="s">
        <v>10</v>
      </c>
    </row>
    <row r="13" spans="1:13" x14ac:dyDescent="0.3">
      <c r="A13" s="1">
        <v>1</v>
      </c>
      <c r="B13" s="2">
        <v>46082</v>
      </c>
      <c r="C13" s="3" t="s">
        <v>8</v>
      </c>
      <c r="D13" s="3" t="s">
        <v>9</v>
      </c>
      <c r="E13" s="3" t="s">
        <v>92</v>
      </c>
      <c r="F13" s="1">
        <v>23</v>
      </c>
      <c r="G13" s="3" t="s">
        <v>93</v>
      </c>
      <c r="H13" s="3" t="s">
        <v>71</v>
      </c>
      <c r="I13" s="3" t="s">
        <v>68</v>
      </c>
      <c r="J13" s="1">
        <v>12</v>
      </c>
      <c r="K13" s="1">
        <v>26</v>
      </c>
      <c r="L13" s="1">
        <v>25</v>
      </c>
      <c r="M13" s="3" t="s">
        <v>10</v>
      </c>
    </row>
    <row r="14" spans="1:13" x14ac:dyDescent="0.3">
      <c r="A14" s="1">
        <v>1</v>
      </c>
      <c r="B14" s="2">
        <v>46082</v>
      </c>
      <c r="C14" s="3" t="s">
        <v>8</v>
      </c>
      <c r="D14" s="3" t="s">
        <v>9</v>
      </c>
      <c r="E14" s="3" t="s">
        <v>94</v>
      </c>
      <c r="F14" s="1">
        <v>11</v>
      </c>
      <c r="G14" s="3" t="s">
        <v>95</v>
      </c>
      <c r="H14" s="3" t="s">
        <v>88</v>
      </c>
      <c r="I14" s="3" t="s">
        <v>96</v>
      </c>
      <c r="J14" s="1">
        <v>13</v>
      </c>
      <c r="K14" s="1">
        <v>26</v>
      </c>
      <c r="L14" s="1">
        <v>24</v>
      </c>
      <c r="M14" s="3" t="s">
        <v>10</v>
      </c>
    </row>
    <row r="15" spans="1:13" x14ac:dyDescent="0.3">
      <c r="A15" s="1">
        <v>1</v>
      </c>
      <c r="B15" s="2">
        <v>46082</v>
      </c>
      <c r="C15" s="3" t="s">
        <v>8</v>
      </c>
      <c r="D15" s="3" t="s">
        <v>9</v>
      </c>
      <c r="E15" s="3" t="s">
        <v>97</v>
      </c>
      <c r="F15" s="1">
        <v>20</v>
      </c>
      <c r="G15" s="3" t="s">
        <v>98</v>
      </c>
      <c r="H15" s="3" t="s">
        <v>99</v>
      </c>
      <c r="I15" s="3" t="s">
        <v>91</v>
      </c>
      <c r="J15" s="1">
        <v>14</v>
      </c>
      <c r="K15" s="1">
        <v>26</v>
      </c>
      <c r="L15" s="1">
        <v>24</v>
      </c>
      <c r="M15" s="3" t="s">
        <v>10</v>
      </c>
    </row>
    <row r="16" spans="1:13" x14ac:dyDescent="0.3">
      <c r="A16" s="1">
        <v>1</v>
      </c>
      <c r="B16" s="2">
        <v>46082</v>
      </c>
      <c r="C16" s="3" t="s">
        <v>8</v>
      </c>
      <c r="D16" s="3" t="s">
        <v>9</v>
      </c>
      <c r="E16" s="3" t="s">
        <v>100</v>
      </c>
      <c r="F16" s="1">
        <v>42</v>
      </c>
      <c r="G16" s="3" t="s">
        <v>98</v>
      </c>
      <c r="H16" s="3" t="s">
        <v>99</v>
      </c>
      <c r="I16" s="3" t="s">
        <v>72</v>
      </c>
      <c r="J16" s="1">
        <v>15</v>
      </c>
      <c r="K16" s="1">
        <v>26</v>
      </c>
      <c r="L16" s="1">
        <v>24</v>
      </c>
      <c r="M16" s="3" t="s">
        <v>10</v>
      </c>
    </row>
    <row r="17" spans="1:13" x14ac:dyDescent="0.3">
      <c r="A17" s="1">
        <v>1</v>
      </c>
      <c r="B17" s="2">
        <v>46082</v>
      </c>
      <c r="C17" s="3" t="s">
        <v>8</v>
      </c>
      <c r="D17" s="3" t="s">
        <v>9</v>
      </c>
      <c r="E17" s="3" t="s">
        <v>101</v>
      </c>
      <c r="F17" s="1">
        <v>12</v>
      </c>
      <c r="G17" s="3" t="s">
        <v>93</v>
      </c>
      <c r="H17" s="3" t="s">
        <v>71</v>
      </c>
      <c r="I17" s="3" t="s">
        <v>72</v>
      </c>
      <c r="J17" s="1">
        <v>16</v>
      </c>
      <c r="K17" s="1">
        <v>26</v>
      </c>
      <c r="L17" s="1">
        <v>25</v>
      </c>
      <c r="M17" s="3" t="s">
        <v>10</v>
      </c>
    </row>
    <row r="18" spans="1:13" x14ac:dyDescent="0.3">
      <c r="A18" s="1">
        <v>1</v>
      </c>
      <c r="B18" s="2">
        <v>46082</v>
      </c>
      <c r="C18" s="3" t="s">
        <v>8</v>
      </c>
      <c r="D18" s="3" t="s">
        <v>9</v>
      </c>
      <c r="E18" s="3" t="s">
        <v>102</v>
      </c>
      <c r="F18" s="1">
        <v>7</v>
      </c>
      <c r="G18" s="3" t="s">
        <v>103</v>
      </c>
      <c r="H18" s="3" t="s">
        <v>99</v>
      </c>
      <c r="I18" s="3" t="s">
        <v>104</v>
      </c>
      <c r="J18" s="1">
        <v>17</v>
      </c>
      <c r="K18" s="1">
        <v>26</v>
      </c>
      <c r="L18" s="1">
        <v>25</v>
      </c>
      <c r="M18" s="3" t="s">
        <v>10</v>
      </c>
    </row>
    <row r="19" spans="1:13" x14ac:dyDescent="0.3">
      <c r="A19" s="1">
        <v>1</v>
      </c>
      <c r="B19" s="2">
        <v>46082</v>
      </c>
      <c r="C19" s="3" t="s">
        <v>8</v>
      </c>
      <c r="D19" s="3" t="s">
        <v>9</v>
      </c>
      <c r="E19" s="3" t="s">
        <v>105</v>
      </c>
      <c r="F19" s="1">
        <v>43</v>
      </c>
      <c r="G19" s="3" t="s">
        <v>103</v>
      </c>
      <c r="H19" s="3" t="s">
        <v>99</v>
      </c>
      <c r="I19" s="3" t="s">
        <v>106</v>
      </c>
      <c r="J19" s="1">
        <v>18</v>
      </c>
      <c r="K19" s="1">
        <v>26</v>
      </c>
      <c r="L19" s="1">
        <v>25</v>
      </c>
      <c r="M19" s="3" t="s">
        <v>10</v>
      </c>
    </row>
    <row r="20" spans="1:13" x14ac:dyDescent="0.3">
      <c r="A20" s="1">
        <v>1</v>
      </c>
      <c r="B20" s="2">
        <v>46082</v>
      </c>
      <c r="C20" s="3" t="s">
        <v>8</v>
      </c>
      <c r="D20" s="3" t="s">
        <v>9</v>
      </c>
      <c r="E20" s="3" t="s">
        <v>107</v>
      </c>
      <c r="F20" s="1">
        <v>51</v>
      </c>
      <c r="G20" s="3" t="s">
        <v>108</v>
      </c>
      <c r="H20" s="3" t="s">
        <v>80</v>
      </c>
      <c r="I20" s="3" t="s">
        <v>68</v>
      </c>
      <c r="J20" s="1">
        <v>19</v>
      </c>
      <c r="K20" s="1">
        <v>26</v>
      </c>
      <c r="L20" s="1">
        <v>25</v>
      </c>
      <c r="M20" s="3" t="s">
        <v>10</v>
      </c>
    </row>
    <row r="21" spans="1:13" x14ac:dyDescent="0.3">
      <c r="A21" s="1">
        <v>1</v>
      </c>
      <c r="B21" s="2">
        <v>46082</v>
      </c>
      <c r="C21" s="3" t="s">
        <v>8</v>
      </c>
      <c r="D21" s="3" t="s">
        <v>9</v>
      </c>
      <c r="E21" s="3" t="s">
        <v>109</v>
      </c>
      <c r="F21" s="1">
        <v>36</v>
      </c>
      <c r="G21" s="3" t="s">
        <v>87</v>
      </c>
      <c r="H21" s="3" t="s">
        <v>88</v>
      </c>
      <c r="I21" s="3" t="s">
        <v>72</v>
      </c>
      <c r="J21" s="1">
        <v>20</v>
      </c>
      <c r="K21" s="1">
        <v>23</v>
      </c>
      <c r="L21" s="1">
        <v>21</v>
      </c>
      <c r="M21" s="3" t="s">
        <v>10</v>
      </c>
    </row>
    <row r="22" spans="1:13" x14ac:dyDescent="0.3">
      <c r="A22" s="1">
        <v>1</v>
      </c>
      <c r="B22" s="2">
        <v>46082</v>
      </c>
      <c r="C22" s="3" t="s">
        <v>8</v>
      </c>
      <c r="D22" s="3" t="s">
        <v>9</v>
      </c>
      <c r="E22" s="3" t="s">
        <v>110</v>
      </c>
      <c r="F22" s="1">
        <v>73</v>
      </c>
      <c r="G22" s="3" t="s">
        <v>108</v>
      </c>
      <c r="H22" s="3" t="s">
        <v>80</v>
      </c>
      <c r="I22" s="3" t="s">
        <v>72</v>
      </c>
      <c r="J22" s="1">
        <v>21</v>
      </c>
      <c r="K22" s="1">
        <v>21</v>
      </c>
      <c r="L22" s="1">
        <v>20</v>
      </c>
      <c r="M22" s="3" t="s">
        <v>10</v>
      </c>
    </row>
    <row r="23" spans="1:13" x14ac:dyDescent="0.3">
      <c r="A23" s="1">
        <v>1</v>
      </c>
      <c r="B23" s="2">
        <v>46082</v>
      </c>
      <c r="C23" s="3" t="s">
        <v>8</v>
      </c>
      <c r="D23" s="3" t="s">
        <v>9</v>
      </c>
      <c r="E23" s="3" t="s">
        <v>111</v>
      </c>
      <c r="F23" s="1">
        <v>93</v>
      </c>
      <c r="G23" s="3" t="s">
        <v>85</v>
      </c>
      <c r="H23" s="3" t="s">
        <v>80</v>
      </c>
      <c r="I23" s="3" t="s">
        <v>72</v>
      </c>
      <c r="J23" s="1">
        <v>22</v>
      </c>
      <c r="K23" s="1">
        <v>20</v>
      </c>
      <c r="L23" s="1">
        <v>19</v>
      </c>
      <c r="M23" s="3" t="s">
        <v>10</v>
      </c>
    </row>
    <row r="24" spans="1:13" x14ac:dyDescent="0.3">
      <c r="A24" s="1">
        <v>2</v>
      </c>
      <c r="B24" s="2">
        <v>46103</v>
      </c>
      <c r="C24" s="3" t="s">
        <v>11</v>
      </c>
      <c r="D24" s="3" t="s">
        <v>12</v>
      </c>
      <c r="E24" s="3" t="s">
        <v>65</v>
      </c>
      <c r="F24" s="1">
        <v>72</v>
      </c>
      <c r="G24" s="3" t="s">
        <v>66</v>
      </c>
      <c r="H24" s="3" t="s">
        <v>67</v>
      </c>
      <c r="I24" s="3" t="s">
        <v>68</v>
      </c>
      <c r="J24" s="1">
        <v>1</v>
      </c>
      <c r="K24" s="1">
        <v>23</v>
      </c>
      <c r="L24" s="1">
        <v>22</v>
      </c>
      <c r="M24" s="3" t="s">
        <v>13</v>
      </c>
    </row>
    <row r="25" spans="1:13" x14ac:dyDescent="0.3">
      <c r="A25" s="1">
        <v>2</v>
      </c>
      <c r="B25" s="2">
        <v>46103</v>
      </c>
      <c r="C25" s="3" t="s">
        <v>11</v>
      </c>
      <c r="D25" s="3" t="s">
        <v>12</v>
      </c>
      <c r="E25" s="3" t="s">
        <v>75</v>
      </c>
      <c r="F25" s="1">
        <v>89</v>
      </c>
      <c r="G25" s="3" t="s">
        <v>66</v>
      </c>
      <c r="H25" s="3" t="s">
        <v>67</v>
      </c>
      <c r="I25" s="3" t="s">
        <v>72</v>
      </c>
      <c r="J25" s="1">
        <v>2</v>
      </c>
      <c r="K25" s="1">
        <v>23</v>
      </c>
      <c r="L25" s="1">
        <v>22</v>
      </c>
      <c r="M25" s="3" t="s">
        <v>13</v>
      </c>
    </row>
    <row r="26" spans="1:13" x14ac:dyDescent="0.3">
      <c r="A26" s="1">
        <v>2</v>
      </c>
      <c r="B26" s="2">
        <v>46103</v>
      </c>
      <c r="C26" s="3" t="s">
        <v>11</v>
      </c>
      <c r="D26" s="3" t="s">
        <v>12</v>
      </c>
      <c r="E26" s="3" t="s">
        <v>78</v>
      </c>
      <c r="F26" s="1">
        <v>49</v>
      </c>
      <c r="G26" s="3" t="s">
        <v>79</v>
      </c>
      <c r="H26" s="3" t="s">
        <v>80</v>
      </c>
      <c r="I26" s="3" t="s">
        <v>68</v>
      </c>
      <c r="J26" s="1">
        <v>3</v>
      </c>
      <c r="K26" s="1">
        <v>23</v>
      </c>
      <c r="L26" s="1">
        <v>22</v>
      </c>
      <c r="M26" s="3" t="s">
        <v>13</v>
      </c>
    </row>
    <row r="27" spans="1:13" x14ac:dyDescent="0.3">
      <c r="A27" s="1">
        <v>2</v>
      </c>
      <c r="B27" s="2">
        <v>46103</v>
      </c>
      <c r="C27" s="3" t="s">
        <v>11</v>
      </c>
      <c r="D27" s="3" t="s">
        <v>12</v>
      </c>
      <c r="E27" s="3" t="s">
        <v>111</v>
      </c>
      <c r="F27" s="1">
        <v>93</v>
      </c>
      <c r="G27" s="3" t="s">
        <v>85</v>
      </c>
      <c r="H27" s="3" t="s">
        <v>80</v>
      </c>
      <c r="I27" s="3" t="s">
        <v>72</v>
      </c>
      <c r="J27" s="1">
        <v>4</v>
      </c>
      <c r="K27" s="1">
        <v>23</v>
      </c>
      <c r="L27" s="1">
        <v>22</v>
      </c>
      <c r="M27" s="3" t="s">
        <v>13</v>
      </c>
    </row>
    <row r="28" spans="1:13" x14ac:dyDescent="0.3">
      <c r="A28" s="1">
        <v>2</v>
      </c>
      <c r="B28" s="2">
        <v>46103</v>
      </c>
      <c r="C28" s="3" t="s">
        <v>11</v>
      </c>
      <c r="D28" s="3" t="s">
        <v>12</v>
      </c>
      <c r="E28" s="3" t="s">
        <v>76</v>
      </c>
      <c r="F28" s="1">
        <v>79</v>
      </c>
      <c r="G28" s="3" t="s">
        <v>74</v>
      </c>
      <c r="H28" s="3" t="s">
        <v>67</v>
      </c>
      <c r="I28" s="3" t="s">
        <v>77</v>
      </c>
      <c r="J28" s="1">
        <v>5</v>
      </c>
      <c r="K28" s="1">
        <v>23</v>
      </c>
      <c r="L28" s="1">
        <v>22</v>
      </c>
      <c r="M28" s="3" t="s">
        <v>13</v>
      </c>
    </row>
    <row r="29" spans="1:13" x14ac:dyDescent="0.3">
      <c r="A29" s="1">
        <v>2</v>
      </c>
      <c r="B29" s="2">
        <v>46103</v>
      </c>
      <c r="C29" s="3" t="s">
        <v>11</v>
      </c>
      <c r="D29" s="3" t="s">
        <v>12</v>
      </c>
      <c r="E29" s="3" t="s">
        <v>110</v>
      </c>
      <c r="F29" s="1">
        <v>73</v>
      </c>
      <c r="G29" s="3" t="s">
        <v>108</v>
      </c>
      <c r="H29" s="3" t="s">
        <v>80</v>
      </c>
      <c r="I29" s="3" t="s">
        <v>72</v>
      </c>
      <c r="J29" s="1">
        <v>6</v>
      </c>
      <c r="K29" s="1">
        <v>23</v>
      </c>
      <c r="L29" s="1">
        <v>22</v>
      </c>
      <c r="M29" s="3" t="s">
        <v>13</v>
      </c>
    </row>
    <row r="30" spans="1:13" x14ac:dyDescent="0.3">
      <c r="A30" s="1">
        <v>2</v>
      </c>
      <c r="B30" s="2">
        <v>46103</v>
      </c>
      <c r="C30" s="3" t="s">
        <v>11</v>
      </c>
      <c r="D30" s="3" t="s">
        <v>12</v>
      </c>
      <c r="E30" s="3" t="s">
        <v>69</v>
      </c>
      <c r="F30" s="1">
        <v>37</v>
      </c>
      <c r="G30" s="3" t="s">
        <v>70</v>
      </c>
      <c r="H30" s="3" t="s">
        <v>71</v>
      </c>
      <c r="I30" s="3" t="s">
        <v>72</v>
      </c>
      <c r="J30" s="1">
        <v>7</v>
      </c>
      <c r="K30" s="1">
        <v>23</v>
      </c>
      <c r="L30" s="1">
        <v>22</v>
      </c>
      <c r="M30" s="3" t="s">
        <v>13</v>
      </c>
    </row>
    <row r="31" spans="1:13" x14ac:dyDescent="0.3">
      <c r="A31" s="1">
        <v>2</v>
      </c>
      <c r="B31" s="2">
        <v>46103</v>
      </c>
      <c r="C31" s="3" t="s">
        <v>11</v>
      </c>
      <c r="D31" s="3" t="s">
        <v>12</v>
      </c>
      <c r="E31" s="3" t="s">
        <v>112</v>
      </c>
      <c r="F31" s="1">
        <v>54</v>
      </c>
      <c r="G31" s="3" t="s">
        <v>108</v>
      </c>
      <c r="H31" s="3" t="s">
        <v>80</v>
      </c>
      <c r="I31" s="3" t="s">
        <v>72</v>
      </c>
      <c r="J31" s="1">
        <v>8</v>
      </c>
      <c r="K31" s="1">
        <v>23</v>
      </c>
      <c r="L31" s="1">
        <v>22</v>
      </c>
      <c r="M31" s="3" t="s">
        <v>13</v>
      </c>
    </row>
    <row r="32" spans="1:13" x14ac:dyDescent="0.3">
      <c r="A32" s="1">
        <v>2</v>
      </c>
      <c r="B32" s="2">
        <v>46103</v>
      </c>
      <c r="C32" s="3" t="s">
        <v>11</v>
      </c>
      <c r="D32" s="3" t="s">
        <v>12</v>
      </c>
      <c r="E32" s="3" t="s">
        <v>89</v>
      </c>
      <c r="F32" s="1">
        <v>5</v>
      </c>
      <c r="G32" s="3" t="s">
        <v>90</v>
      </c>
      <c r="H32" s="3" t="s">
        <v>88</v>
      </c>
      <c r="I32" s="3" t="s">
        <v>91</v>
      </c>
      <c r="J32" s="1">
        <v>9</v>
      </c>
      <c r="K32" s="1">
        <v>23</v>
      </c>
      <c r="L32" s="1">
        <v>22</v>
      </c>
      <c r="M32" s="3" t="s">
        <v>13</v>
      </c>
    </row>
    <row r="33" spans="1:13" x14ac:dyDescent="0.3">
      <c r="A33" s="1">
        <v>2</v>
      </c>
      <c r="B33" s="2">
        <v>46103</v>
      </c>
      <c r="C33" s="3" t="s">
        <v>11</v>
      </c>
      <c r="D33" s="3" t="s">
        <v>12</v>
      </c>
      <c r="E33" s="3" t="s">
        <v>73</v>
      </c>
      <c r="F33" s="1">
        <v>25</v>
      </c>
      <c r="G33" s="3" t="s">
        <v>74</v>
      </c>
      <c r="H33" s="3" t="s">
        <v>67</v>
      </c>
      <c r="I33" s="3" t="s">
        <v>72</v>
      </c>
      <c r="J33" s="1">
        <v>10</v>
      </c>
      <c r="K33" s="1">
        <v>23</v>
      </c>
      <c r="L33" s="1">
        <v>22</v>
      </c>
      <c r="M33" s="3" t="s">
        <v>13</v>
      </c>
    </row>
    <row r="34" spans="1:13" x14ac:dyDescent="0.3">
      <c r="A34" s="1">
        <v>2</v>
      </c>
      <c r="B34" s="2">
        <v>46103</v>
      </c>
      <c r="C34" s="3" t="s">
        <v>11</v>
      </c>
      <c r="D34" s="3" t="s">
        <v>12</v>
      </c>
      <c r="E34" s="3" t="s">
        <v>86</v>
      </c>
      <c r="F34" s="1">
        <v>10</v>
      </c>
      <c r="G34" s="3" t="s">
        <v>87</v>
      </c>
      <c r="H34" s="3" t="s">
        <v>88</v>
      </c>
      <c r="I34" s="3" t="s">
        <v>68</v>
      </c>
      <c r="J34" s="1">
        <v>11</v>
      </c>
      <c r="K34" s="1">
        <v>23</v>
      </c>
      <c r="L34" s="1">
        <v>22</v>
      </c>
      <c r="M34" s="3" t="s">
        <v>13</v>
      </c>
    </row>
    <row r="35" spans="1:13" x14ac:dyDescent="0.3">
      <c r="A35" s="1">
        <v>2</v>
      </c>
      <c r="B35" s="2">
        <v>46103</v>
      </c>
      <c r="C35" s="3" t="s">
        <v>11</v>
      </c>
      <c r="D35" s="3" t="s">
        <v>12</v>
      </c>
      <c r="E35" s="3" t="s">
        <v>83</v>
      </c>
      <c r="F35" s="1">
        <v>21</v>
      </c>
      <c r="G35" s="3" t="s">
        <v>79</v>
      </c>
      <c r="H35" s="3" t="s">
        <v>80</v>
      </c>
      <c r="I35" s="3" t="s">
        <v>68</v>
      </c>
      <c r="J35" s="1">
        <v>12</v>
      </c>
      <c r="K35" s="1">
        <v>23</v>
      </c>
      <c r="L35" s="1">
        <v>22</v>
      </c>
      <c r="M35" s="3" t="s">
        <v>13</v>
      </c>
    </row>
    <row r="36" spans="1:13" x14ac:dyDescent="0.3">
      <c r="A36" s="1">
        <v>2</v>
      </c>
      <c r="B36" s="2">
        <v>46103</v>
      </c>
      <c r="C36" s="3" t="s">
        <v>11</v>
      </c>
      <c r="D36" s="3" t="s">
        <v>12</v>
      </c>
      <c r="E36" s="3" t="s">
        <v>94</v>
      </c>
      <c r="F36" s="1">
        <v>11</v>
      </c>
      <c r="G36" s="3" t="s">
        <v>95</v>
      </c>
      <c r="H36" s="3" t="s">
        <v>88</v>
      </c>
      <c r="I36" s="3" t="s">
        <v>96</v>
      </c>
      <c r="J36" s="1">
        <v>13</v>
      </c>
      <c r="K36" s="1">
        <v>23</v>
      </c>
      <c r="L36" s="1">
        <v>22</v>
      </c>
      <c r="M36" s="3" t="s">
        <v>13</v>
      </c>
    </row>
    <row r="37" spans="1:13" x14ac:dyDescent="0.3">
      <c r="A37" s="1">
        <v>2</v>
      </c>
      <c r="B37" s="2">
        <v>46103</v>
      </c>
      <c r="C37" s="3" t="s">
        <v>11</v>
      </c>
      <c r="D37" s="3" t="s">
        <v>12</v>
      </c>
      <c r="E37" s="3" t="s">
        <v>100</v>
      </c>
      <c r="F37" s="1">
        <v>42</v>
      </c>
      <c r="G37" s="3" t="s">
        <v>98</v>
      </c>
      <c r="H37" s="3" t="s">
        <v>99</v>
      </c>
      <c r="I37" s="3" t="s">
        <v>72</v>
      </c>
      <c r="J37" s="1">
        <v>14</v>
      </c>
      <c r="K37" s="1">
        <v>23</v>
      </c>
      <c r="L37" s="1">
        <v>22</v>
      </c>
      <c r="M37" s="3" t="s">
        <v>13</v>
      </c>
    </row>
    <row r="38" spans="1:13" x14ac:dyDescent="0.3">
      <c r="A38" s="1">
        <v>2</v>
      </c>
      <c r="B38" s="2">
        <v>46103</v>
      </c>
      <c r="C38" s="3" t="s">
        <v>11</v>
      </c>
      <c r="D38" s="3" t="s">
        <v>12</v>
      </c>
      <c r="E38" s="3" t="s">
        <v>92</v>
      </c>
      <c r="F38" s="1">
        <v>23</v>
      </c>
      <c r="G38" s="3" t="s">
        <v>93</v>
      </c>
      <c r="H38" s="3" t="s">
        <v>71</v>
      </c>
      <c r="I38" s="3" t="s">
        <v>68</v>
      </c>
      <c r="J38" s="1">
        <v>15</v>
      </c>
      <c r="K38" s="1">
        <v>23</v>
      </c>
      <c r="L38" s="1">
        <v>22</v>
      </c>
      <c r="M38" s="3" t="s">
        <v>13</v>
      </c>
    </row>
    <row r="39" spans="1:13" x14ac:dyDescent="0.3">
      <c r="A39" s="1">
        <v>2</v>
      </c>
      <c r="B39" s="2">
        <v>46103</v>
      </c>
      <c r="C39" s="3" t="s">
        <v>11</v>
      </c>
      <c r="D39" s="3" t="s">
        <v>12</v>
      </c>
      <c r="E39" s="3" t="s">
        <v>97</v>
      </c>
      <c r="F39" s="1">
        <v>20</v>
      </c>
      <c r="G39" s="3" t="s">
        <v>98</v>
      </c>
      <c r="H39" s="3" t="s">
        <v>99</v>
      </c>
      <c r="I39" s="3" t="s">
        <v>91</v>
      </c>
      <c r="J39" s="1">
        <v>16</v>
      </c>
      <c r="K39" s="1">
        <v>23</v>
      </c>
      <c r="L39" s="1">
        <v>22</v>
      </c>
      <c r="M39" s="3" t="s">
        <v>13</v>
      </c>
    </row>
    <row r="40" spans="1:13" x14ac:dyDescent="0.3">
      <c r="A40" s="1">
        <v>2</v>
      </c>
      <c r="B40" s="2">
        <v>46103</v>
      </c>
      <c r="C40" s="3" t="s">
        <v>11</v>
      </c>
      <c r="D40" s="3" t="s">
        <v>12</v>
      </c>
      <c r="E40" s="3" t="s">
        <v>102</v>
      </c>
      <c r="F40" s="1">
        <v>7</v>
      </c>
      <c r="G40" s="3" t="s">
        <v>103</v>
      </c>
      <c r="H40" s="3" t="s">
        <v>99</v>
      </c>
      <c r="I40" s="3" t="s">
        <v>104</v>
      </c>
      <c r="J40" s="1">
        <v>17</v>
      </c>
      <c r="K40" s="1">
        <v>23</v>
      </c>
      <c r="L40" s="1">
        <v>22</v>
      </c>
      <c r="M40" s="3" t="s">
        <v>13</v>
      </c>
    </row>
    <row r="41" spans="1:13" x14ac:dyDescent="0.3">
      <c r="A41" s="1">
        <v>2</v>
      </c>
      <c r="B41" s="2">
        <v>46103</v>
      </c>
      <c r="C41" s="3" t="s">
        <v>11</v>
      </c>
      <c r="D41" s="3" t="s">
        <v>12</v>
      </c>
      <c r="E41" s="3" t="s">
        <v>101</v>
      </c>
      <c r="F41" s="1">
        <v>12</v>
      </c>
      <c r="G41" s="3" t="s">
        <v>93</v>
      </c>
      <c r="H41" s="3" t="s">
        <v>71</v>
      </c>
      <c r="I41" s="3" t="s">
        <v>72</v>
      </c>
      <c r="J41" s="1">
        <v>18</v>
      </c>
      <c r="K41" s="1">
        <v>23</v>
      </c>
      <c r="L41" s="1">
        <v>22</v>
      </c>
      <c r="M41" s="3" t="s">
        <v>13</v>
      </c>
    </row>
    <row r="42" spans="1:13" x14ac:dyDescent="0.3">
      <c r="A42" s="1">
        <v>2</v>
      </c>
      <c r="B42" s="2">
        <v>46103</v>
      </c>
      <c r="C42" s="3" t="s">
        <v>11</v>
      </c>
      <c r="D42" s="3" t="s">
        <v>12</v>
      </c>
      <c r="E42" s="3" t="s">
        <v>109</v>
      </c>
      <c r="F42" s="1">
        <v>36</v>
      </c>
      <c r="G42" s="3" t="s">
        <v>87</v>
      </c>
      <c r="H42" s="3" t="s">
        <v>88</v>
      </c>
      <c r="I42" s="3" t="s">
        <v>72</v>
      </c>
      <c r="J42" s="1">
        <v>19</v>
      </c>
      <c r="K42" s="1">
        <v>10</v>
      </c>
      <c r="L42" s="1">
        <v>9</v>
      </c>
      <c r="M42" s="3" t="s">
        <v>13</v>
      </c>
    </row>
    <row r="43" spans="1:13" x14ac:dyDescent="0.3">
      <c r="A43" s="1">
        <v>2</v>
      </c>
      <c r="B43" s="2">
        <v>46103</v>
      </c>
      <c r="C43" s="3" t="s">
        <v>11</v>
      </c>
      <c r="D43" s="3" t="s">
        <v>12</v>
      </c>
      <c r="E43" s="3" t="s">
        <v>84</v>
      </c>
      <c r="F43" s="1">
        <v>63</v>
      </c>
      <c r="G43" s="3" t="s">
        <v>85</v>
      </c>
      <c r="H43" s="3" t="s">
        <v>80</v>
      </c>
      <c r="I43" s="3" t="s">
        <v>68</v>
      </c>
      <c r="J43" s="1">
        <v>20</v>
      </c>
      <c r="K43" s="1">
        <v>10</v>
      </c>
      <c r="L43" s="1">
        <v>9</v>
      </c>
      <c r="M43" s="3" t="s">
        <v>13</v>
      </c>
    </row>
    <row r="44" spans="1:13" x14ac:dyDescent="0.3">
      <c r="A44" s="1">
        <v>2</v>
      </c>
      <c r="B44" s="2">
        <v>46103</v>
      </c>
      <c r="C44" s="3" t="s">
        <v>11</v>
      </c>
      <c r="D44" s="3" t="s">
        <v>12</v>
      </c>
      <c r="E44" s="3" t="s">
        <v>81</v>
      </c>
      <c r="F44" s="1">
        <v>33</v>
      </c>
      <c r="G44" s="3" t="s">
        <v>70</v>
      </c>
      <c r="H44" s="3" t="s">
        <v>71</v>
      </c>
      <c r="I44" s="3" t="s">
        <v>82</v>
      </c>
      <c r="J44" s="1">
        <v>21</v>
      </c>
      <c r="K44" s="1">
        <v>3</v>
      </c>
      <c r="L44" s="1">
        <v>2</v>
      </c>
      <c r="M44" s="3" t="s">
        <v>13</v>
      </c>
    </row>
    <row r="45" spans="1:13" x14ac:dyDescent="0.3">
      <c r="A45" s="1">
        <v>2</v>
      </c>
      <c r="B45" s="2">
        <v>46103</v>
      </c>
      <c r="C45" s="3" t="s">
        <v>11</v>
      </c>
      <c r="D45" s="3" t="s">
        <v>12</v>
      </c>
      <c r="E45" s="3" t="s">
        <v>105</v>
      </c>
      <c r="F45" s="1">
        <v>43</v>
      </c>
      <c r="G45" s="3" t="s">
        <v>103</v>
      </c>
      <c r="H45" s="3" t="s">
        <v>99</v>
      </c>
      <c r="I45" s="3" t="s">
        <v>106</v>
      </c>
      <c r="J45" s="1">
        <v>22</v>
      </c>
      <c r="K45" s="1">
        <v>1</v>
      </c>
      <c r="L45" s="1">
        <v>0</v>
      </c>
      <c r="M45" s="3" t="s">
        <v>13</v>
      </c>
    </row>
    <row r="46" spans="1:13" x14ac:dyDescent="0.3">
      <c r="A46" s="1">
        <v>3</v>
      </c>
      <c r="B46" s="2">
        <v>46110</v>
      </c>
      <c r="C46" s="3" t="s">
        <v>14</v>
      </c>
      <c r="D46" s="3" t="s">
        <v>15</v>
      </c>
      <c r="E46" s="3" t="s">
        <v>65</v>
      </c>
      <c r="F46" s="1">
        <v>72</v>
      </c>
      <c r="G46" s="3" t="s">
        <v>66</v>
      </c>
      <c r="H46" s="3" t="s">
        <v>67</v>
      </c>
      <c r="I46" s="3" t="s">
        <v>68</v>
      </c>
      <c r="J46" s="1">
        <v>1</v>
      </c>
      <c r="K46" s="1">
        <v>20</v>
      </c>
      <c r="L46" s="1">
        <v>19</v>
      </c>
      <c r="M46" s="3" t="s">
        <v>16</v>
      </c>
    </row>
    <row r="47" spans="1:13" x14ac:dyDescent="0.3">
      <c r="A47" s="1">
        <v>3</v>
      </c>
      <c r="B47" s="2">
        <v>46110</v>
      </c>
      <c r="C47" s="3" t="s">
        <v>14</v>
      </c>
      <c r="D47" s="3" t="s">
        <v>15</v>
      </c>
      <c r="E47" s="3" t="s">
        <v>75</v>
      </c>
      <c r="F47" s="1">
        <v>89</v>
      </c>
      <c r="G47" s="3" t="s">
        <v>66</v>
      </c>
      <c r="H47" s="3" t="s">
        <v>67</v>
      </c>
      <c r="I47" s="3" t="s">
        <v>72</v>
      </c>
      <c r="J47" s="1">
        <v>2</v>
      </c>
      <c r="K47" s="1">
        <v>20</v>
      </c>
      <c r="L47" s="1">
        <v>19</v>
      </c>
      <c r="M47" s="3" t="s">
        <v>16</v>
      </c>
    </row>
    <row r="48" spans="1:13" x14ac:dyDescent="0.3">
      <c r="A48" s="1">
        <v>3</v>
      </c>
      <c r="B48" s="2">
        <v>46110</v>
      </c>
      <c r="C48" s="3" t="s">
        <v>14</v>
      </c>
      <c r="D48" s="3" t="s">
        <v>15</v>
      </c>
      <c r="E48" s="3" t="s">
        <v>69</v>
      </c>
      <c r="F48" s="1">
        <v>37</v>
      </c>
      <c r="G48" s="3" t="s">
        <v>70</v>
      </c>
      <c r="H48" s="3" t="s">
        <v>71</v>
      </c>
      <c r="I48" s="3" t="s">
        <v>72</v>
      </c>
      <c r="J48" s="1">
        <v>3</v>
      </c>
      <c r="K48" s="1">
        <v>20</v>
      </c>
      <c r="L48" s="1">
        <v>18</v>
      </c>
      <c r="M48" s="3" t="s">
        <v>16</v>
      </c>
    </row>
    <row r="49" spans="1:13" x14ac:dyDescent="0.3">
      <c r="A49" s="1">
        <v>3</v>
      </c>
      <c r="B49" s="2">
        <v>46110</v>
      </c>
      <c r="C49" s="3" t="s">
        <v>14</v>
      </c>
      <c r="D49" s="3" t="s">
        <v>15</v>
      </c>
      <c r="E49" s="3" t="s">
        <v>78</v>
      </c>
      <c r="F49" s="1">
        <v>49</v>
      </c>
      <c r="G49" s="3" t="s">
        <v>79</v>
      </c>
      <c r="H49" s="3" t="s">
        <v>80</v>
      </c>
      <c r="I49" s="3" t="s">
        <v>68</v>
      </c>
      <c r="J49" s="1">
        <v>4</v>
      </c>
      <c r="K49" s="1">
        <v>20</v>
      </c>
      <c r="L49" s="1">
        <v>18</v>
      </c>
      <c r="M49" s="3" t="s">
        <v>16</v>
      </c>
    </row>
    <row r="50" spans="1:13" x14ac:dyDescent="0.3">
      <c r="A50" s="1">
        <v>3</v>
      </c>
      <c r="B50" s="2">
        <v>46110</v>
      </c>
      <c r="C50" s="3" t="s">
        <v>14</v>
      </c>
      <c r="D50" s="3" t="s">
        <v>15</v>
      </c>
      <c r="E50" s="3" t="s">
        <v>111</v>
      </c>
      <c r="F50" s="1">
        <v>93</v>
      </c>
      <c r="G50" s="3" t="s">
        <v>85</v>
      </c>
      <c r="H50" s="3" t="s">
        <v>80</v>
      </c>
      <c r="I50" s="3" t="s">
        <v>72</v>
      </c>
      <c r="J50" s="1">
        <v>5</v>
      </c>
      <c r="K50" s="1">
        <v>20</v>
      </c>
      <c r="L50" s="1">
        <v>19</v>
      </c>
      <c r="M50" s="3" t="s">
        <v>16</v>
      </c>
    </row>
    <row r="51" spans="1:13" x14ac:dyDescent="0.3">
      <c r="A51" s="1">
        <v>3</v>
      </c>
      <c r="B51" s="2">
        <v>46110</v>
      </c>
      <c r="C51" s="3" t="s">
        <v>14</v>
      </c>
      <c r="D51" s="3" t="s">
        <v>15</v>
      </c>
      <c r="E51" s="3" t="s">
        <v>92</v>
      </c>
      <c r="F51" s="1">
        <v>23</v>
      </c>
      <c r="G51" s="3" t="s">
        <v>93</v>
      </c>
      <c r="H51" s="3" t="s">
        <v>71</v>
      </c>
      <c r="I51" s="3" t="s">
        <v>68</v>
      </c>
      <c r="J51" s="1">
        <v>6</v>
      </c>
      <c r="K51" s="1">
        <v>20</v>
      </c>
      <c r="L51" s="1">
        <v>19</v>
      </c>
      <c r="M51" s="3" t="s">
        <v>16</v>
      </c>
    </row>
    <row r="52" spans="1:13" x14ac:dyDescent="0.3">
      <c r="A52" s="1">
        <v>3</v>
      </c>
      <c r="B52" s="2">
        <v>46110</v>
      </c>
      <c r="C52" s="3" t="s">
        <v>14</v>
      </c>
      <c r="D52" s="3" t="s">
        <v>15</v>
      </c>
      <c r="E52" s="3" t="s">
        <v>110</v>
      </c>
      <c r="F52" s="1">
        <v>73</v>
      </c>
      <c r="G52" s="3" t="s">
        <v>108</v>
      </c>
      <c r="H52" s="3" t="s">
        <v>80</v>
      </c>
      <c r="I52" s="3" t="s">
        <v>72</v>
      </c>
      <c r="J52" s="1">
        <v>7</v>
      </c>
      <c r="K52" s="1">
        <v>20</v>
      </c>
      <c r="L52" s="1">
        <v>17</v>
      </c>
      <c r="M52" s="3" t="s">
        <v>16</v>
      </c>
    </row>
    <row r="53" spans="1:13" x14ac:dyDescent="0.3">
      <c r="A53" s="1">
        <v>3</v>
      </c>
      <c r="B53" s="2">
        <v>46110</v>
      </c>
      <c r="C53" s="3" t="s">
        <v>14</v>
      </c>
      <c r="D53" s="3" t="s">
        <v>15</v>
      </c>
      <c r="E53" s="3" t="s">
        <v>73</v>
      </c>
      <c r="F53" s="1">
        <v>25</v>
      </c>
      <c r="G53" s="3" t="s">
        <v>74</v>
      </c>
      <c r="H53" s="3" t="s">
        <v>67</v>
      </c>
      <c r="I53" s="3" t="s">
        <v>72</v>
      </c>
      <c r="J53" s="1">
        <v>8</v>
      </c>
      <c r="K53" s="1">
        <v>20</v>
      </c>
      <c r="L53" s="1">
        <v>18</v>
      </c>
      <c r="M53" s="3" t="s">
        <v>16</v>
      </c>
    </row>
    <row r="54" spans="1:13" x14ac:dyDescent="0.3">
      <c r="A54" s="1">
        <v>3</v>
      </c>
      <c r="B54" s="2">
        <v>46110</v>
      </c>
      <c r="C54" s="3" t="s">
        <v>14</v>
      </c>
      <c r="D54" s="3" t="s">
        <v>15</v>
      </c>
      <c r="E54" s="3" t="s">
        <v>86</v>
      </c>
      <c r="F54" s="1">
        <v>10</v>
      </c>
      <c r="G54" s="3" t="s">
        <v>87</v>
      </c>
      <c r="H54" s="3" t="s">
        <v>88</v>
      </c>
      <c r="I54" s="3" t="s">
        <v>68</v>
      </c>
      <c r="J54" s="1">
        <v>9</v>
      </c>
      <c r="K54" s="1">
        <v>20</v>
      </c>
      <c r="L54" s="1">
        <v>19</v>
      </c>
      <c r="M54" s="3" t="s">
        <v>16</v>
      </c>
    </row>
    <row r="55" spans="1:13" x14ac:dyDescent="0.3">
      <c r="A55" s="1">
        <v>3</v>
      </c>
      <c r="B55" s="2">
        <v>46110</v>
      </c>
      <c r="C55" s="3" t="s">
        <v>14</v>
      </c>
      <c r="D55" s="3" t="s">
        <v>15</v>
      </c>
      <c r="E55" s="3" t="s">
        <v>84</v>
      </c>
      <c r="F55" s="1">
        <v>63</v>
      </c>
      <c r="G55" s="3" t="s">
        <v>85</v>
      </c>
      <c r="H55" s="3" t="s">
        <v>80</v>
      </c>
      <c r="I55" s="3" t="s">
        <v>68</v>
      </c>
      <c r="J55" s="1">
        <v>10</v>
      </c>
      <c r="K55" s="1">
        <v>20</v>
      </c>
      <c r="L55" s="1">
        <v>17</v>
      </c>
      <c r="M55" s="3" t="s">
        <v>16</v>
      </c>
    </row>
    <row r="56" spans="1:13" x14ac:dyDescent="0.3">
      <c r="A56" s="1">
        <v>3</v>
      </c>
      <c r="B56" s="2">
        <v>46110</v>
      </c>
      <c r="C56" s="3" t="s">
        <v>14</v>
      </c>
      <c r="D56" s="3" t="s">
        <v>15</v>
      </c>
      <c r="E56" s="3" t="s">
        <v>112</v>
      </c>
      <c r="F56" s="1">
        <v>54</v>
      </c>
      <c r="G56" s="3" t="s">
        <v>108</v>
      </c>
      <c r="H56" s="3" t="s">
        <v>80</v>
      </c>
      <c r="I56" s="3" t="s">
        <v>72</v>
      </c>
      <c r="J56" s="1">
        <v>11</v>
      </c>
      <c r="K56" s="1">
        <v>20</v>
      </c>
      <c r="L56" s="1">
        <v>18</v>
      </c>
      <c r="M56" s="3" t="s">
        <v>16</v>
      </c>
    </row>
    <row r="57" spans="1:13" x14ac:dyDescent="0.3">
      <c r="A57" s="1">
        <v>3</v>
      </c>
      <c r="B57" s="2">
        <v>46110</v>
      </c>
      <c r="C57" s="3" t="s">
        <v>14</v>
      </c>
      <c r="D57" s="3" t="s">
        <v>15</v>
      </c>
      <c r="E57" s="3" t="s">
        <v>81</v>
      </c>
      <c r="F57" s="1">
        <v>33</v>
      </c>
      <c r="G57" s="3" t="s">
        <v>70</v>
      </c>
      <c r="H57" s="3" t="s">
        <v>71</v>
      </c>
      <c r="I57" s="3" t="s">
        <v>82</v>
      </c>
      <c r="J57" s="1">
        <v>12</v>
      </c>
      <c r="K57" s="1">
        <v>20</v>
      </c>
      <c r="L57" s="1">
        <v>19</v>
      </c>
      <c r="M57" s="3" t="s">
        <v>16</v>
      </c>
    </row>
    <row r="58" spans="1:13" x14ac:dyDescent="0.3">
      <c r="A58" s="1">
        <v>3</v>
      </c>
      <c r="B58" s="2">
        <v>46110</v>
      </c>
      <c r="C58" s="3" t="s">
        <v>14</v>
      </c>
      <c r="D58" s="3" t="s">
        <v>15</v>
      </c>
      <c r="E58" s="3" t="s">
        <v>94</v>
      </c>
      <c r="F58" s="1">
        <v>11</v>
      </c>
      <c r="G58" s="3" t="s">
        <v>95</v>
      </c>
      <c r="H58" s="3" t="s">
        <v>88</v>
      </c>
      <c r="I58" s="3" t="s">
        <v>96</v>
      </c>
      <c r="J58" s="1">
        <v>13</v>
      </c>
      <c r="K58" s="1">
        <v>20</v>
      </c>
      <c r="L58" s="1">
        <v>19</v>
      </c>
      <c r="M58" s="3" t="s">
        <v>16</v>
      </c>
    </row>
    <row r="59" spans="1:13" x14ac:dyDescent="0.3">
      <c r="A59" s="1">
        <v>3</v>
      </c>
      <c r="B59" s="2">
        <v>46110</v>
      </c>
      <c r="C59" s="3" t="s">
        <v>14</v>
      </c>
      <c r="D59" s="3" t="s">
        <v>15</v>
      </c>
      <c r="E59" s="3" t="s">
        <v>83</v>
      </c>
      <c r="F59" s="1">
        <v>21</v>
      </c>
      <c r="G59" s="3" t="s">
        <v>79</v>
      </c>
      <c r="H59" s="3" t="s">
        <v>80</v>
      </c>
      <c r="I59" s="3" t="s">
        <v>68</v>
      </c>
      <c r="J59" s="1">
        <v>14</v>
      </c>
      <c r="K59" s="1">
        <v>20</v>
      </c>
      <c r="L59" s="1">
        <v>19</v>
      </c>
      <c r="M59" s="3" t="s">
        <v>16</v>
      </c>
    </row>
    <row r="60" spans="1:13" x14ac:dyDescent="0.3">
      <c r="A60" s="1">
        <v>3</v>
      </c>
      <c r="B60" s="2">
        <v>46110</v>
      </c>
      <c r="C60" s="3" t="s">
        <v>14</v>
      </c>
      <c r="D60" s="3" t="s">
        <v>15</v>
      </c>
      <c r="E60" s="3" t="s">
        <v>102</v>
      </c>
      <c r="F60" s="1">
        <v>7</v>
      </c>
      <c r="G60" s="3" t="s">
        <v>103</v>
      </c>
      <c r="H60" s="3" t="s">
        <v>99</v>
      </c>
      <c r="I60" s="3" t="s">
        <v>104</v>
      </c>
      <c r="J60" s="1">
        <v>15</v>
      </c>
      <c r="K60" s="1">
        <v>20</v>
      </c>
      <c r="L60" s="1">
        <v>17</v>
      </c>
      <c r="M60" s="3" t="s">
        <v>16</v>
      </c>
    </row>
    <row r="61" spans="1:13" x14ac:dyDescent="0.3">
      <c r="A61" s="1">
        <v>3</v>
      </c>
      <c r="B61" s="2">
        <v>46110</v>
      </c>
      <c r="C61" s="3" t="s">
        <v>14</v>
      </c>
      <c r="D61" s="3" t="s">
        <v>15</v>
      </c>
      <c r="E61" s="3" t="s">
        <v>105</v>
      </c>
      <c r="F61" s="1">
        <v>43</v>
      </c>
      <c r="G61" s="3" t="s">
        <v>103</v>
      </c>
      <c r="H61" s="3" t="s">
        <v>99</v>
      </c>
      <c r="I61" s="3" t="s">
        <v>106</v>
      </c>
      <c r="J61" s="1">
        <v>16</v>
      </c>
      <c r="K61" s="1">
        <v>20</v>
      </c>
      <c r="L61" s="1">
        <v>19</v>
      </c>
      <c r="M61" s="3" t="s">
        <v>16</v>
      </c>
    </row>
    <row r="62" spans="1:13" x14ac:dyDescent="0.3">
      <c r="A62" s="1">
        <v>3</v>
      </c>
      <c r="B62" s="2">
        <v>46110</v>
      </c>
      <c r="C62" s="3" t="s">
        <v>14</v>
      </c>
      <c r="D62" s="3" t="s">
        <v>15</v>
      </c>
      <c r="E62" s="3" t="s">
        <v>97</v>
      </c>
      <c r="F62" s="1">
        <v>20</v>
      </c>
      <c r="G62" s="3" t="s">
        <v>98</v>
      </c>
      <c r="H62" s="3" t="s">
        <v>99</v>
      </c>
      <c r="I62" s="3" t="s">
        <v>91</v>
      </c>
      <c r="J62" s="1">
        <v>17</v>
      </c>
      <c r="K62" s="1">
        <v>20</v>
      </c>
      <c r="L62" s="1">
        <v>19</v>
      </c>
      <c r="M62" s="3" t="s">
        <v>16</v>
      </c>
    </row>
    <row r="63" spans="1:13" x14ac:dyDescent="0.3">
      <c r="A63" s="1">
        <v>3</v>
      </c>
      <c r="B63" s="2">
        <v>46110</v>
      </c>
      <c r="C63" s="3" t="s">
        <v>14</v>
      </c>
      <c r="D63" s="3" t="s">
        <v>15</v>
      </c>
      <c r="E63" s="3" t="s">
        <v>100</v>
      </c>
      <c r="F63" s="1">
        <v>42</v>
      </c>
      <c r="G63" s="3" t="s">
        <v>98</v>
      </c>
      <c r="H63" s="3" t="s">
        <v>99</v>
      </c>
      <c r="I63" s="3" t="s">
        <v>72</v>
      </c>
      <c r="J63" s="1">
        <v>18</v>
      </c>
      <c r="K63" s="1">
        <v>20</v>
      </c>
      <c r="L63" s="1">
        <v>19</v>
      </c>
      <c r="M63" s="3" t="s">
        <v>16</v>
      </c>
    </row>
    <row r="64" spans="1:13" x14ac:dyDescent="0.3">
      <c r="A64" s="1">
        <v>3</v>
      </c>
      <c r="B64" s="2">
        <v>46110</v>
      </c>
      <c r="C64" s="3" t="s">
        <v>14</v>
      </c>
      <c r="D64" s="3" t="s">
        <v>15</v>
      </c>
      <c r="E64" s="3" t="s">
        <v>89</v>
      </c>
      <c r="F64" s="1">
        <v>5</v>
      </c>
      <c r="G64" s="3" t="s">
        <v>90</v>
      </c>
      <c r="H64" s="3" t="s">
        <v>88</v>
      </c>
      <c r="I64" s="3" t="s">
        <v>91</v>
      </c>
      <c r="J64" s="1">
        <v>19</v>
      </c>
      <c r="K64" s="1">
        <v>18</v>
      </c>
      <c r="L64" s="1">
        <v>16</v>
      </c>
      <c r="M64" s="3" t="s">
        <v>16</v>
      </c>
    </row>
    <row r="65" spans="1:13" x14ac:dyDescent="0.3">
      <c r="A65" s="1">
        <v>3</v>
      </c>
      <c r="B65" s="2">
        <v>46110</v>
      </c>
      <c r="C65" s="3" t="s">
        <v>14</v>
      </c>
      <c r="D65" s="3" t="s">
        <v>15</v>
      </c>
      <c r="E65" s="3" t="s">
        <v>76</v>
      </c>
      <c r="F65" s="1">
        <v>79</v>
      </c>
      <c r="G65" s="3" t="s">
        <v>74</v>
      </c>
      <c r="H65" s="3" t="s">
        <v>67</v>
      </c>
      <c r="I65" s="3" t="s">
        <v>77</v>
      </c>
      <c r="J65" s="1">
        <v>20</v>
      </c>
      <c r="K65" s="1">
        <v>15</v>
      </c>
      <c r="L65" s="1">
        <v>13</v>
      </c>
      <c r="M65" s="3" t="s">
        <v>16</v>
      </c>
    </row>
    <row r="66" spans="1:13" x14ac:dyDescent="0.3">
      <c r="A66" s="1">
        <v>3</v>
      </c>
      <c r="B66" s="2">
        <v>46110</v>
      </c>
      <c r="C66" s="3" t="s">
        <v>14</v>
      </c>
      <c r="D66" s="3" t="s">
        <v>15</v>
      </c>
      <c r="E66" s="3" t="s">
        <v>109</v>
      </c>
      <c r="F66" s="1">
        <v>36</v>
      </c>
      <c r="G66" s="3" t="s">
        <v>87</v>
      </c>
      <c r="H66" s="3" t="s">
        <v>88</v>
      </c>
      <c r="I66" s="3" t="s">
        <v>72</v>
      </c>
      <c r="J66" s="1">
        <v>21</v>
      </c>
      <c r="K66" s="1">
        <v>5</v>
      </c>
      <c r="L66" s="1">
        <v>3</v>
      </c>
      <c r="M66" s="3" t="s">
        <v>16</v>
      </c>
    </row>
    <row r="67" spans="1:13" x14ac:dyDescent="0.3">
      <c r="A67" s="1">
        <v>4</v>
      </c>
      <c r="B67" s="2">
        <v>46138</v>
      </c>
      <c r="C67" s="3" t="s">
        <v>17</v>
      </c>
      <c r="D67" s="3"/>
      <c r="E67" s="3" t="s">
        <v>110</v>
      </c>
      <c r="F67" s="1">
        <v>73</v>
      </c>
      <c r="G67" s="3" t="s">
        <v>108</v>
      </c>
      <c r="H67" s="3" t="s">
        <v>80</v>
      </c>
      <c r="I67" s="3" t="s">
        <v>72</v>
      </c>
      <c r="J67" s="1">
        <v>1</v>
      </c>
      <c r="K67" s="1">
        <v>25</v>
      </c>
      <c r="L67" s="1">
        <v>24</v>
      </c>
      <c r="M67" s="3" t="s">
        <v>18</v>
      </c>
    </row>
    <row r="68" spans="1:13" x14ac:dyDescent="0.3">
      <c r="A68" s="1">
        <v>4</v>
      </c>
      <c r="B68" s="2">
        <v>46138</v>
      </c>
      <c r="C68" s="3" t="s">
        <v>17</v>
      </c>
      <c r="D68" s="3"/>
      <c r="E68" s="3" t="s">
        <v>65</v>
      </c>
      <c r="F68" s="1">
        <v>72</v>
      </c>
      <c r="G68" s="3" t="s">
        <v>66</v>
      </c>
      <c r="H68" s="3" t="s">
        <v>67</v>
      </c>
      <c r="I68" s="3" t="s">
        <v>68</v>
      </c>
      <c r="J68" s="1">
        <v>2</v>
      </c>
      <c r="K68" s="1">
        <v>25</v>
      </c>
      <c r="L68" s="1">
        <v>24</v>
      </c>
      <c r="M68" s="3" t="s">
        <v>18</v>
      </c>
    </row>
    <row r="69" spans="1:13" x14ac:dyDescent="0.3">
      <c r="A69" s="1">
        <v>4</v>
      </c>
      <c r="B69" s="2">
        <v>46138</v>
      </c>
      <c r="C69" s="3" t="s">
        <v>17</v>
      </c>
      <c r="D69" s="3"/>
      <c r="E69" s="3" t="s">
        <v>78</v>
      </c>
      <c r="F69" s="1">
        <v>49</v>
      </c>
      <c r="G69" s="3" t="s">
        <v>79</v>
      </c>
      <c r="H69" s="3" t="s">
        <v>80</v>
      </c>
      <c r="I69" s="3" t="s">
        <v>68</v>
      </c>
      <c r="J69" s="1">
        <v>3</v>
      </c>
      <c r="K69" s="1">
        <v>25</v>
      </c>
      <c r="L69" s="1">
        <v>24</v>
      </c>
      <c r="M69" s="3" t="s">
        <v>18</v>
      </c>
    </row>
    <row r="70" spans="1:13" x14ac:dyDescent="0.3">
      <c r="A70" s="1">
        <v>4</v>
      </c>
      <c r="B70" s="2">
        <v>46138</v>
      </c>
      <c r="C70" s="3" t="s">
        <v>17</v>
      </c>
      <c r="D70" s="3"/>
      <c r="E70" s="3" t="s">
        <v>75</v>
      </c>
      <c r="F70" s="1">
        <v>89</v>
      </c>
      <c r="G70" s="3" t="s">
        <v>66</v>
      </c>
      <c r="H70" s="3" t="s">
        <v>67</v>
      </c>
      <c r="I70" s="3" t="s">
        <v>72</v>
      </c>
      <c r="J70" s="1">
        <v>4</v>
      </c>
      <c r="K70" s="1">
        <v>25</v>
      </c>
      <c r="L70" s="1">
        <v>24</v>
      </c>
      <c r="M70" s="3" t="s">
        <v>18</v>
      </c>
    </row>
    <row r="71" spans="1:13" x14ac:dyDescent="0.3">
      <c r="A71" s="1">
        <v>4</v>
      </c>
      <c r="B71" s="2">
        <v>46138</v>
      </c>
      <c r="C71" s="3" t="s">
        <v>17</v>
      </c>
      <c r="D71" s="3"/>
      <c r="E71" s="3" t="s">
        <v>76</v>
      </c>
      <c r="F71" s="1">
        <v>79</v>
      </c>
      <c r="G71" s="3" t="s">
        <v>74</v>
      </c>
      <c r="H71" s="3" t="s">
        <v>67</v>
      </c>
      <c r="I71" s="3" t="s">
        <v>77</v>
      </c>
      <c r="J71" s="1">
        <v>5</v>
      </c>
      <c r="K71" s="1">
        <v>25</v>
      </c>
      <c r="L71" s="1">
        <v>24</v>
      </c>
      <c r="M71" s="3" t="s">
        <v>18</v>
      </c>
    </row>
    <row r="72" spans="1:13" x14ac:dyDescent="0.3">
      <c r="A72" s="1">
        <v>4</v>
      </c>
      <c r="B72" s="2">
        <v>46138</v>
      </c>
      <c r="C72" s="3" t="s">
        <v>17</v>
      </c>
      <c r="D72" s="3"/>
      <c r="E72" s="3" t="s">
        <v>73</v>
      </c>
      <c r="F72" s="1">
        <v>25</v>
      </c>
      <c r="G72" s="3" t="s">
        <v>74</v>
      </c>
      <c r="H72" s="3" t="s">
        <v>67</v>
      </c>
      <c r="I72" s="3" t="s">
        <v>72</v>
      </c>
      <c r="J72" s="1">
        <v>6</v>
      </c>
      <c r="K72" s="1">
        <v>25</v>
      </c>
      <c r="L72" s="1">
        <v>24</v>
      </c>
      <c r="M72" s="3" t="s">
        <v>18</v>
      </c>
    </row>
    <row r="73" spans="1:13" x14ac:dyDescent="0.3">
      <c r="A73" s="1">
        <v>4</v>
      </c>
      <c r="B73" s="2">
        <v>46138</v>
      </c>
      <c r="C73" s="3" t="s">
        <v>17</v>
      </c>
      <c r="D73" s="3"/>
      <c r="E73" s="3" t="s">
        <v>89</v>
      </c>
      <c r="F73" s="1">
        <v>5</v>
      </c>
      <c r="G73" s="3" t="s">
        <v>90</v>
      </c>
      <c r="H73" s="3" t="s">
        <v>88</v>
      </c>
      <c r="I73" s="3" t="s">
        <v>91</v>
      </c>
      <c r="J73" s="1">
        <v>7</v>
      </c>
      <c r="K73" s="1">
        <v>25</v>
      </c>
      <c r="L73" s="1">
        <v>24</v>
      </c>
      <c r="M73" s="3" t="s">
        <v>18</v>
      </c>
    </row>
    <row r="74" spans="1:13" x14ac:dyDescent="0.3">
      <c r="A74" s="1">
        <v>4</v>
      </c>
      <c r="B74" s="2">
        <v>46138</v>
      </c>
      <c r="C74" s="3" t="s">
        <v>17</v>
      </c>
      <c r="D74" s="3"/>
      <c r="E74" s="3" t="s">
        <v>92</v>
      </c>
      <c r="F74" s="1">
        <v>23</v>
      </c>
      <c r="G74" s="3" t="s">
        <v>93</v>
      </c>
      <c r="H74" s="3" t="s">
        <v>71</v>
      </c>
      <c r="I74" s="3" t="s">
        <v>68</v>
      </c>
      <c r="J74" s="1">
        <v>8</v>
      </c>
      <c r="K74" s="1">
        <v>25</v>
      </c>
      <c r="L74" s="1">
        <v>24</v>
      </c>
      <c r="M74" s="3" t="s">
        <v>18</v>
      </c>
    </row>
    <row r="75" spans="1:13" x14ac:dyDescent="0.3">
      <c r="A75" s="1">
        <v>4</v>
      </c>
      <c r="B75" s="2">
        <v>46138</v>
      </c>
      <c r="C75" s="3" t="s">
        <v>17</v>
      </c>
      <c r="D75" s="3"/>
      <c r="E75" s="3" t="s">
        <v>112</v>
      </c>
      <c r="F75" s="1">
        <v>54</v>
      </c>
      <c r="G75" s="3" t="s">
        <v>108</v>
      </c>
      <c r="H75" s="3" t="s">
        <v>80</v>
      </c>
      <c r="I75" s="3" t="s">
        <v>72</v>
      </c>
      <c r="J75" s="1">
        <v>9</v>
      </c>
      <c r="K75" s="1">
        <v>25</v>
      </c>
      <c r="L75" s="1">
        <v>24</v>
      </c>
      <c r="M75" s="3" t="s">
        <v>18</v>
      </c>
    </row>
    <row r="76" spans="1:13" x14ac:dyDescent="0.3">
      <c r="A76" s="1">
        <v>4</v>
      </c>
      <c r="B76" s="2">
        <v>46138</v>
      </c>
      <c r="C76" s="3" t="s">
        <v>17</v>
      </c>
      <c r="D76" s="3"/>
      <c r="E76" s="3" t="s">
        <v>69</v>
      </c>
      <c r="F76" s="1">
        <v>37</v>
      </c>
      <c r="G76" s="3" t="s">
        <v>70</v>
      </c>
      <c r="H76" s="3" t="s">
        <v>71</v>
      </c>
      <c r="I76" s="3" t="s">
        <v>72</v>
      </c>
      <c r="J76" s="1">
        <v>10</v>
      </c>
      <c r="K76" s="1">
        <v>25</v>
      </c>
      <c r="L76" s="1">
        <v>24</v>
      </c>
      <c r="M76" s="3" t="s">
        <v>18</v>
      </c>
    </row>
    <row r="77" spans="1:13" x14ac:dyDescent="0.3">
      <c r="A77" s="1">
        <v>4</v>
      </c>
      <c r="B77" s="2">
        <v>46138</v>
      </c>
      <c r="C77" s="3" t="s">
        <v>17</v>
      </c>
      <c r="D77" s="3"/>
      <c r="E77" s="3" t="s">
        <v>81</v>
      </c>
      <c r="F77" s="1">
        <v>33</v>
      </c>
      <c r="G77" s="3" t="s">
        <v>70</v>
      </c>
      <c r="H77" s="3" t="s">
        <v>71</v>
      </c>
      <c r="I77" s="3" t="s">
        <v>82</v>
      </c>
      <c r="J77" s="1">
        <v>11</v>
      </c>
      <c r="K77" s="1">
        <v>25</v>
      </c>
      <c r="L77" s="1">
        <v>24</v>
      </c>
      <c r="M77" s="3" t="s">
        <v>18</v>
      </c>
    </row>
    <row r="78" spans="1:13" x14ac:dyDescent="0.3">
      <c r="A78" s="1">
        <v>4</v>
      </c>
      <c r="B78" s="2">
        <v>46138</v>
      </c>
      <c r="C78" s="3" t="s">
        <v>17</v>
      </c>
      <c r="D78" s="3"/>
      <c r="E78" s="3" t="s">
        <v>83</v>
      </c>
      <c r="F78" s="1">
        <v>21</v>
      </c>
      <c r="G78" s="3" t="s">
        <v>79</v>
      </c>
      <c r="H78" s="3" t="s">
        <v>80</v>
      </c>
      <c r="I78" s="3" t="s">
        <v>68</v>
      </c>
      <c r="J78" s="1">
        <v>12</v>
      </c>
      <c r="K78" s="1">
        <v>25</v>
      </c>
      <c r="L78" s="1">
        <v>24</v>
      </c>
      <c r="M78" s="3" t="s">
        <v>18</v>
      </c>
    </row>
    <row r="79" spans="1:13" x14ac:dyDescent="0.3">
      <c r="A79" s="1">
        <v>4</v>
      </c>
      <c r="B79" s="2">
        <v>46138</v>
      </c>
      <c r="C79" s="3" t="s">
        <v>17</v>
      </c>
      <c r="D79" s="3"/>
      <c r="E79" s="3" t="s">
        <v>86</v>
      </c>
      <c r="F79" s="1">
        <v>10</v>
      </c>
      <c r="G79" s="3" t="s">
        <v>87</v>
      </c>
      <c r="H79" s="3" t="s">
        <v>88</v>
      </c>
      <c r="I79" s="3" t="s">
        <v>68</v>
      </c>
      <c r="J79" s="1">
        <v>13</v>
      </c>
      <c r="K79" s="1">
        <v>25</v>
      </c>
      <c r="L79" s="1">
        <v>24</v>
      </c>
      <c r="M79" s="3" t="s">
        <v>18</v>
      </c>
    </row>
    <row r="80" spans="1:13" x14ac:dyDescent="0.3">
      <c r="A80" s="1">
        <v>4</v>
      </c>
      <c r="B80" s="2">
        <v>46138</v>
      </c>
      <c r="C80" s="3" t="s">
        <v>17</v>
      </c>
      <c r="D80" s="3"/>
      <c r="E80" s="3" t="s">
        <v>97</v>
      </c>
      <c r="F80" s="1">
        <v>20</v>
      </c>
      <c r="G80" s="3" t="s">
        <v>98</v>
      </c>
      <c r="H80" s="3" t="s">
        <v>99</v>
      </c>
      <c r="I80" s="3" t="s">
        <v>91</v>
      </c>
      <c r="J80" s="1">
        <v>14</v>
      </c>
      <c r="K80" s="1">
        <v>25</v>
      </c>
      <c r="L80" s="1">
        <v>24</v>
      </c>
      <c r="M80" s="3" t="s">
        <v>18</v>
      </c>
    </row>
    <row r="81" spans="1:13" x14ac:dyDescent="0.3">
      <c r="A81" s="1">
        <v>4</v>
      </c>
      <c r="B81" s="2">
        <v>46138</v>
      </c>
      <c r="C81" s="3" t="s">
        <v>17</v>
      </c>
      <c r="D81" s="3"/>
      <c r="E81" s="3" t="s">
        <v>109</v>
      </c>
      <c r="F81" s="1">
        <v>36</v>
      </c>
      <c r="G81" s="3" t="s">
        <v>87</v>
      </c>
      <c r="H81" s="3" t="s">
        <v>88</v>
      </c>
      <c r="I81" s="3" t="s">
        <v>72</v>
      </c>
      <c r="J81" s="1">
        <v>15</v>
      </c>
      <c r="K81" s="1">
        <v>25</v>
      </c>
      <c r="L81" s="1">
        <v>23</v>
      </c>
      <c r="M81" s="3" t="s">
        <v>18</v>
      </c>
    </row>
    <row r="82" spans="1:13" x14ac:dyDescent="0.3">
      <c r="A82" s="1">
        <v>4</v>
      </c>
      <c r="B82" s="2">
        <v>46138</v>
      </c>
      <c r="C82" s="3" t="s">
        <v>17</v>
      </c>
      <c r="D82" s="3"/>
      <c r="E82" s="3" t="s">
        <v>100</v>
      </c>
      <c r="F82" s="1">
        <v>42</v>
      </c>
      <c r="G82" s="3" t="s">
        <v>98</v>
      </c>
      <c r="H82" s="3" t="s">
        <v>99</v>
      </c>
      <c r="I82" s="3" t="s">
        <v>72</v>
      </c>
      <c r="J82" s="1">
        <v>16</v>
      </c>
      <c r="K82" s="1">
        <v>25</v>
      </c>
      <c r="L82" s="1">
        <v>24</v>
      </c>
      <c r="M82" s="3" t="s">
        <v>18</v>
      </c>
    </row>
    <row r="83" spans="1:13" x14ac:dyDescent="0.3">
      <c r="A83" s="1">
        <v>4</v>
      </c>
      <c r="B83" s="2">
        <v>46138</v>
      </c>
      <c r="C83" s="3" t="s">
        <v>17</v>
      </c>
      <c r="D83" s="3"/>
      <c r="E83" s="3" t="s">
        <v>94</v>
      </c>
      <c r="F83" s="1">
        <v>11</v>
      </c>
      <c r="G83" s="3" t="s">
        <v>95</v>
      </c>
      <c r="H83" s="3" t="s">
        <v>88</v>
      </c>
      <c r="I83" s="3" t="s">
        <v>96</v>
      </c>
      <c r="J83" s="1">
        <v>17</v>
      </c>
      <c r="K83" s="1">
        <v>25</v>
      </c>
      <c r="L83" s="1">
        <v>24</v>
      </c>
      <c r="M83" s="3" t="s">
        <v>18</v>
      </c>
    </row>
    <row r="84" spans="1:13" x14ac:dyDescent="0.3">
      <c r="A84" s="1">
        <v>4</v>
      </c>
      <c r="B84" s="2">
        <v>46138</v>
      </c>
      <c r="C84" s="3" t="s">
        <v>17</v>
      </c>
      <c r="D84" s="3"/>
      <c r="E84" s="3" t="s">
        <v>105</v>
      </c>
      <c r="F84" s="1">
        <v>43</v>
      </c>
      <c r="G84" s="3" t="s">
        <v>103</v>
      </c>
      <c r="H84" s="3" t="s">
        <v>99</v>
      </c>
      <c r="I84" s="3" t="s">
        <v>106</v>
      </c>
      <c r="J84" s="1">
        <v>18</v>
      </c>
      <c r="K84" s="1">
        <v>25</v>
      </c>
      <c r="L84" s="1">
        <v>24</v>
      </c>
      <c r="M84" s="3" t="s">
        <v>18</v>
      </c>
    </row>
    <row r="85" spans="1:13" x14ac:dyDescent="0.3">
      <c r="A85" s="1">
        <v>4</v>
      </c>
      <c r="B85" s="2">
        <v>46138</v>
      </c>
      <c r="C85" s="3" t="s">
        <v>17</v>
      </c>
      <c r="D85" s="3"/>
      <c r="E85" s="3" t="s">
        <v>102</v>
      </c>
      <c r="F85" s="1">
        <v>7</v>
      </c>
      <c r="G85" s="3" t="s">
        <v>103</v>
      </c>
      <c r="H85" s="3" t="s">
        <v>99</v>
      </c>
      <c r="I85" s="3" t="s">
        <v>104</v>
      </c>
      <c r="J85" s="1">
        <v>19</v>
      </c>
      <c r="K85" s="1">
        <v>25</v>
      </c>
      <c r="L85" s="1">
        <v>22</v>
      </c>
      <c r="M85" s="3" t="s">
        <v>18</v>
      </c>
    </row>
    <row r="86" spans="1:13" x14ac:dyDescent="0.3">
      <c r="A86" s="1">
        <v>4</v>
      </c>
      <c r="B86" s="2">
        <v>46138</v>
      </c>
      <c r="C86" s="3" t="s">
        <v>17</v>
      </c>
      <c r="D86" s="3"/>
      <c r="E86" s="3" t="s">
        <v>113</v>
      </c>
      <c r="F86" s="1">
        <v>47</v>
      </c>
      <c r="G86" s="3" t="s">
        <v>114</v>
      </c>
      <c r="H86" s="3" t="s">
        <v>99</v>
      </c>
      <c r="I86" s="3" t="s">
        <v>72</v>
      </c>
      <c r="J86" s="1">
        <v>20</v>
      </c>
      <c r="K86" s="1">
        <v>25</v>
      </c>
      <c r="L86" s="1">
        <v>24</v>
      </c>
      <c r="M86" s="3" t="s">
        <v>18</v>
      </c>
    </row>
    <row r="87" spans="1:13" x14ac:dyDescent="0.3">
      <c r="A87" s="1">
        <v>4</v>
      </c>
      <c r="B87" s="2">
        <v>46138</v>
      </c>
      <c r="C87" s="3" t="s">
        <v>17</v>
      </c>
      <c r="D87" s="3"/>
      <c r="E87" s="3" t="s">
        <v>84</v>
      </c>
      <c r="F87" s="1">
        <v>63</v>
      </c>
      <c r="G87" s="3" t="s">
        <v>85</v>
      </c>
      <c r="H87" s="3" t="s">
        <v>80</v>
      </c>
      <c r="I87" s="3" t="s">
        <v>68</v>
      </c>
      <c r="J87" s="1">
        <v>21</v>
      </c>
      <c r="K87" s="1">
        <v>12</v>
      </c>
      <c r="L87" s="1">
        <v>11</v>
      </c>
      <c r="M87" s="3" t="s">
        <v>18</v>
      </c>
    </row>
    <row r="88" spans="1:13" x14ac:dyDescent="0.3">
      <c r="A88" s="1">
        <v>4</v>
      </c>
      <c r="B88" s="2">
        <v>46138</v>
      </c>
      <c r="C88" s="3" t="s">
        <v>17</v>
      </c>
      <c r="D88" s="3"/>
      <c r="E88" s="3" t="s">
        <v>115</v>
      </c>
      <c r="F88" s="1">
        <v>32</v>
      </c>
      <c r="G88" s="3" t="s">
        <v>66</v>
      </c>
      <c r="H88" s="3" t="s">
        <v>67</v>
      </c>
      <c r="I88" s="3" t="s">
        <v>68</v>
      </c>
      <c r="J88" s="1">
        <v>22</v>
      </c>
      <c r="K88" s="1">
        <v>6</v>
      </c>
      <c r="L88" s="1">
        <v>5</v>
      </c>
      <c r="M88" s="3" t="s">
        <v>18</v>
      </c>
    </row>
    <row r="89" spans="1:13" x14ac:dyDescent="0.3">
      <c r="A89" s="1">
        <v>4</v>
      </c>
      <c r="B89" s="2">
        <v>46138</v>
      </c>
      <c r="C89" s="3" t="s">
        <v>17</v>
      </c>
      <c r="D89" s="3"/>
      <c r="E89" s="3" t="s">
        <v>111</v>
      </c>
      <c r="F89" s="1">
        <v>93</v>
      </c>
      <c r="G89" s="3" t="s">
        <v>85</v>
      </c>
      <c r="H89" s="3" t="s">
        <v>80</v>
      </c>
      <c r="I89" s="3" t="s">
        <v>72</v>
      </c>
      <c r="J89" s="1">
        <v>23</v>
      </c>
      <c r="K89" s="1">
        <v>1</v>
      </c>
      <c r="L89" s="1">
        <v>0</v>
      </c>
      <c r="M89" s="3" t="s">
        <v>18</v>
      </c>
    </row>
    <row r="90" spans="1:13" x14ac:dyDescent="0.3">
      <c r="A90" s="1">
        <v>5</v>
      </c>
      <c r="B90" s="2">
        <v>46152</v>
      </c>
      <c r="C90" s="3" t="s">
        <v>19</v>
      </c>
      <c r="D90" s="3" t="s">
        <v>20</v>
      </c>
      <c r="E90" s="3" t="s">
        <v>75</v>
      </c>
      <c r="F90" s="1">
        <v>89</v>
      </c>
      <c r="G90" s="3" t="s">
        <v>66</v>
      </c>
      <c r="H90" s="3" t="s">
        <v>67</v>
      </c>
      <c r="I90" s="3" t="s">
        <v>72</v>
      </c>
      <c r="J90" s="1">
        <v>1</v>
      </c>
      <c r="K90" s="1">
        <v>27</v>
      </c>
      <c r="L90" s="1">
        <v>26</v>
      </c>
      <c r="M90" s="3" t="s">
        <v>21</v>
      </c>
    </row>
    <row r="91" spans="1:13" x14ac:dyDescent="0.3">
      <c r="A91" s="1">
        <v>5</v>
      </c>
      <c r="B91" s="2">
        <v>46152</v>
      </c>
      <c r="C91" s="3" t="s">
        <v>19</v>
      </c>
      <c r="D91" s="3" t="s">
        <v>20</v>
      </c>
      <c r="E91" s="3" t="s">
        <v>65</v>
      </c>
      <c r="F91" s="1">
        <v>72</v>
      </c>
      <c r="G91" s="3" t="s">
        <v>66</v>
      </c>
      <c r="H91" s="3" t="s">
        <v>67</v>
      </c>
      <c r="I91" s="3" t="s">
        <v>68</v>
      </c>
      <c r="J91" s="1">
        <v>2</v>
      </c>
      <c r="K91" s="1">
        <v>27</v>
      </c>
      <c r="L91" s="1">
        <v>26</v>
      </c>
      <c r="M91" s="3" t="s">
        <v>21</v>
      </c>
    </row>
    <row r="92" spans="1:13" x14ac:dyDescent="0.3">
      <c r="A92" s="1">
        <v>5</v>
      </c>
      <c r="B92" s="2">
        <v>46152</v>
      </c>
      <c r="C92" s="3" t="s">
        <v>19</v>
      </c>
      <c r="D92" s="3" t="s">
        <v>20</v>
      </c>
      <c r="E92" s="3" t="s">
        <v>76</v>
      </c>
      <c r="F92" s="1">
        <v>79</v>
      </c>
      <c r="G92" s="3" t="s">
        <v>74</v>
      </c>
      <c r="H92" s="3" t="s">
        <v>67</v>
      </c>
      <c r="I92" s="3" t="s">
        <v>77</v>
      </c>
      <c r="J92" s="1">
        <v>3</v>
      </c>
      <c r="K92" s="1">
        <v>27</v>
      </c>
      <c r="L92" s="1">
        <v>26</v>
      </c>
      <c r="M92" s="3" t="s">
        <v>21</v>
      </c>
    </row>
    <row r="93" spans="1:13" x14ac:dyDescent="0.3">
      <c r="A93" s="1">
        <v>5</v>
      </c>
      <c r="B93" s="2">
        <v>46152</v>
      </c>
      <c r="C93" s="3" t="s">
        <v>19</v>
      </c>
      <c r="D93" s="3" t="s">
        <v>20</v>
      </c>
      <c r="E93" s="3" t="s">
        <v>78</v>
      </c>
      <c r="F93" s="1">
        <v>49</v>
      </c>
      <c r="G93" s="3" t="s">
        <v>79</v>
      </c>
      <c r="H93" s="3" t="s">
        <v>80</v>
      </c>
      <c r="I93" s="3" t="s">
        <v>68</v>
      </c>
      <c r="J93" s="1">
        <v>4</v>
      </c>
      <c r="K93" s="1">
        <v>27</v>
      </c>
      <c r="L93" s="1">
        <v>26</v>
      </c>
      <c r="M93" s="3" t="s">
        <v>21</v>
      </c>
    </row>
    <row r="94" spans="1:13" x14ac:dyDescent="0.3">
      <c r="A94" s="1">
        <v>5</v>
      </c>
      <c r="B94" s="2">
        <v>46152</v>
      </c>
      <c r="C94" s="3" t="s">
        <v>19</v>
      </c>
      <c r="D94" s="3" t="s">
        <v>20</v>
      </c>
      <c r="E94" s="3" t="s">
        <v>69</v>
      </c>
      <c r="F94" s="1">
        <v>37</v>
      </c>
      <c r="G94" s="3" t="s">
        <v>70</v>
      </c>
      <c r="H94" s="3" t="s">
        <v>71</v>
      </c>
      <c r="I94" s="3" t="s">
        <v>72</v>
      </c>
      <c r="J94" s="1">
        <v>5</v>
      </c>
      <c r="K94" s="1">
        <v>27</v>
      </c>
      <c r="L94" s="1">
        <v>26</v>
      </c>
      <c r="M94" s="3" t="s">
        <v>21</v>
      </c>
    </row>
    <row r="95" spans="1:13" x14ac:dyDescent="0.3">
      <c r="A95" s="1">
        <v>5</v>
      </c>
      <c r="B95" s="2">
        <v>46152</v>
      </c>
      <c r="C95" s="3" t="s">
        <v>19</v>
      </c>
      <c r="D95" s="3" t="s">
        <v>20</v>
      </c>
      <c r="E95" s="3" t="s">
        <v>97</v>
      </c>
      <c r="F95" s="1">
        <v>20</v>
      </c>
      <c r="G95" s="3" t="s">
        <v>98</v>
      </c>
      <c r="H95" s="3" t="s">
        <v>99</v>
      </c>
      <c r="I95" s="3" t="s">
        <v>91</v>
      </c>
      <c r="J95" s="1">
        <v>6</v>
      </c>
      <c r="K95" s="1">
        <v>27</v>
      </c>
      <c r="L95" s="1">
        <v>26</v>
      </c>
      <c r="M95" s="3" t="s">
        <v>21</v>
      </c>
    </row>
    <row r="96" spans="1:13" x14ac:dyDescent="0.3">
      <c r="A96" s="1">
        <v>5</v>
      </c>
      <c r="B96" s="2">
        <v>46152</v>
      </c>
      <c r="C96" s="3" t="s">
        <v>19</v>
      </c>
      <c r="D96" s="3" t="s">
        <v>20</v>
      </c>
      <c r="E96" s="3" t="s">
        <v>92</v>
      </c>
      <c r="F96" s="1">
        <v>23</v>
      </c>
      <c r="G96" s="3" t="s">
        <v>93</v>
      </c>
      <c r="H96" s="3" t="s">
        <v>71</v>
      </c>
      <c r="I96" s="3" t="s">
        <v>68</v>
      </c>
      <c r="J96" s="1">
        <v>7</v>
      </c>
      <c r="K96" s="1">
        <v>27</v>
      </c>
      <c r="L96" s="1">
        <v>26</v>
      </c>
      <c r="M96" s="3" t="s">
        <v>21</v>
      </c>
    </row>
    <row r="97" spans="1:13" x14ac:dyDescent="0.3">
      <c r="A97" s="1">
        <v>5</v>
      </c>
      <c r="B97" s="2">
        <v>46152</v>
      </c>
      <c r="C97" s="3" t="s">
        <v>19</v>
      </c>
      <c r="D97" s="3" t="s">
        <v>20</v>
      </c>
      <c r="E97" s="3" t="s">
        <v>73</v>
      </c>
      <c r="F97" s="1">
        <v>25</v>
      </c>
      <c r="G97" s="3" t="s">
        <v>74</v>
      </c>
      <c r="H97" s="3" t="s">
        <v>67</v>
      </c>
      <c r="I97" s="3" t="s">
        <v>72</v>
      </c>
      <c r="J97" s="1">
        <v>8</v>
      </c>
      <c r="K97" s="1">
        <v>27</v>
      </c>
      <c r="L97" s="1">
        <v>26</v>
      </c>
      <c r="M97" s="3" t="s">
        <v>21</v>
      </c>
    </row>
    <row r="98" spans="1:13" x14ac:dyDescent="0.3">
      <c r="A98" s="1">
        <v>5</v>
      </c>
      <c r="B98" s="2">
        <v>46152</v>
      </c>
      <c r="C98" s="3" t="s">
        <v>19</v>
      </c>
      <c r="D98" s="3" t="s">
        <v>20</v>
      </c>
      <c r="E98" s="3" t="s">
        <v>112</v>
      </c>
      <c r="F98" s="1">
        <v>54</v>
      </c>
      <c r="G98" s="3" t="s">
        <v>108</v>
      </c>
      <c r="H98" s="3" t="s">
        <v>80</v>
      </c>
      <c r="I98" s="3" t="s">
        <v>72</v>
      </c>
      <c r="J98" s="1">
        <v>9</v>
      </c>
      <c r="K98" s="1">
        <v>27</v>
      </c>
      <c r="L98" s="1">
        <v>25</v>
      </c>
      <c r="M98" s="3" t="s">
        <v>21</v>
      </c>
    </row>
    <row r="99" spans="1:13" x14ac:dyDescent="0.3">
      <c r="A99" s="1">
        <v>5</v>
      </c>
      <c r="B99" s="2">
        <v>46152</v>
      </c>
      <c r="C99" s="3" t="s">
        <v>19</v>
      </c>
      <c r="D99" s="3" t="s">
        <v>20</v>
      </c>
      <c r="E99" s="3" t="s">
        <v>86</v>
      </c>
      <c r="F99" s="1">
        <v>10</v>
      </c>
      <c r="G99" s="3" t="s">
        <v>87</v>
      </c>
      <c r="H99" s="3" t="s">
        <v>88</v>
      </c>
      <c r="I99" s="3" t="s">
        <v>68</v>
      </c>
      <c r="J99" s="1">
        <v>10</v>
      </c>
      <c r="K99" s="1">
        <v>27</v>
      </c>
      <c r="L99" s="1">
        <v>26</v>
      </c>
      <c r="M99" s="3" t="s">
        <v>21</v>
      </c>
    </row>
    <row r="100" spans="1:13" x14ac:dyDescent="0.3">
      <c r="A100" s="1">
        <v>5</v>
      </c>
      <c r="B100" s="2">
        <v>46152</v>
      </c>
      <c r="C100" s="3" t="s">
        <v>19</v>
      </c>
      <c r="D100" s="3" t="s">
        <v>20</v>
      </c>
      <c r="E100" s="3" t="s">
        <v>89</v>
      </c>
      <c r="F100" s="1">
        <v>5</v>
      </c>
      <c r="G100" s="3" t="s">
        <v>90</v>
      </c>
      <c r="H100" s="3" t="s">
        <v>88</v>
      </c>
      <c r="I100" s="3" t="s">
        <v>91</v>
      </c>
      <c r="J100" s="1">
        <v>11</v>
      </c>
      <c r="K100" s="1">
        <v>27</v>
      </c>
      <c r="L100" s="1">
        <v>26</v>
      </c>
      <c r="M100" s="3" t="s">
        <v>21</v>
      </c>
    </row>
    <row r="101" spans="1:13" x14ac:dyDescent="0.3">
      <c r="A101" s="1">
        <v>5</v>
      </c>
      <c r="B101" s="2">
        <v>46152</v>
      </c>
      <c r="C101" s="3" t="s">
        <v>19</v>
      </c>
      <c r="D101" s="3" t="s">
        <v>20</v>
      </c>
      <c r="E101" s="3" t="s">
        <v>100</v>
      </c>
      <c r="F101" s="1">
        <v>42</v>
      </c>
      <c r="G101" s="3" t="s">
        <v>98</v>
      </c>
      <c r="H101" s="3" t="s">
        <v>99</v>
      </c>
      <c r="I101" s="3" t="s">
        <v>72</v>
      </c>
      <c r="J101" s="1">
        <v>12</v>
      </c>
      <c r="K101" s="1">
        <v>27</v>
      </c>
      <c r="L101" s="1">
        <v>25</v>
      </c>
      <c r="M101" s="3" t="s">
        <v>21</v>
      </c>
    </row>
    <row r="102" spans="1:13" x14ac:dyDescent="0.3">
      <c r="A102" s="1">
        <v>5</v>
      </c>
      <c r="B102" s="2">
        <v>46152</v>
      </c>
      <c r="C102" s="3" t="s">
        <v>19</v>
      </c>
      <c r="D102" s="3" t="s">
        <v>20</v>
      </c>
      <c r="E102" s="3" t="s">
        <v>102</v>
      </c>
      <c r="F102" s="1">
        <v>7</v>
      </c>
      <c r="G102" s="3" t="s">
        <v>103</v>
      </c>
      <c r="H102" s="3" t="s">
        <v>99</v>
      </c>
      <c r="I102" s="3" t="s">
        <v>104</v>
      </c>
      <c r="J102" s="1">
        <v>13</v>
      </c>
      <c r="K102" s="1">
        <v>27</v>
      </c>
      <c r="L102" s="1">
        <v>25</v>
      </c>
      <c r="M102" s="3" t="s">
        <v>21</v>
      </c>
    </row>
    <row r="103" spans="1:13" x14ac:dyDescent="0.3">
      <c r="A103" s="1">
        <v>5</v>
      </c>
      <c r="B103" s="2">
        <v>46152</v>
      </c>
      <c r="C103" s="3" t="s">
        <v>19</v>
      </c>
      <c r="D103" s="3" t="s">
        <v>20</v>
      </c>
      <c r="E103" s="3" t="s">
        <v>83</v>
      </c>
      <c r="F103" s="1">
        <v>21</v>
      </c>
      <c r="G103" s="3" t="s">
        <v>79</v>
      </c>
      <c r="H103" s="3" t="s">
        <v>80</v>
      </c>
      <c r="I103" s="3" t="s">
        <v>68</v>
      </c>
      <c r="J103" s="1">
        <v>14</v>
      </c>
      <c r="K103" s="1">
        <v>27</v>
      </c>
      <c r="L103" s="1">
        <v>26</v>
      </c>
      <c r="M103" s="3" t="s">
        <v>21</v>
      </c>
    </row>
    <row r="104" spans="1:13" x14ac:dyDescent="0.3">
      <c r="A104" s="1">
        <v>5</v>
      </c>
      <c r="B104" s="2">
        <v>46152</v>
      </c>
      <c r="C104" s="3" t="s">
        <v>19</v>
      </c>
      <c r="D104" s="3" t="s">
        <v>20</v>
      </c>
      <c r="E104" s="3" t="s">
        <v>105</v>
      </c>
      <c r="F104" s="1">
        <v>43</v>
      </c>
      <c r="G104" s="3" t="s">
        <v>103</v>
      </c>
      <c r="H104" s="3" t="s">
        <v>99</v>
      </c>
      <c r="I104" s="3" t="s">
        <v>106</v>
      </c>
      <c r="J104" s="1">
        <v>15</v>
      </c>
      <c r="K104" s="1">
        <v>27</v>
      </c>
      <c r="L104" s="1">
        <v>26</v>
      </c>
      <c r="M104" s="3" t="s">
        <v>21</v>
      </c>
    </row>
    <row r="105" spans="1:13" x14ac:dyDescent="0.3">
      <c r="A105" s="1">
        <v>5</v>
      </c>
      <c r="B105" s="2">
        <v>46152</v>
      </c>
      <c r="C105" s="3" t="s">
        <v>19</v>
      </c>
      <c r="D105" s="3" t="s">
        <v>20</v>
      </c>
      <c r="E105" s="3" t="s">
        <v>116</v>
      </c>
      <c r="F105" s="1">
        <v>94</v>
      </c>
      <c r="G105" s="3" t="s">
        <v>93</v>
      </c>
      <c r="H105" s="3" t="s">
        <v>71</v>
      </c>
      <c r="I105" s="3" t="s">
        <v>117</v>
      </c>
      <c r="J105" s="1">
        <v>16</v>
      </c>
      <c r="K105" s="1">
        <v>27</v>
      </c>
      <c r="L105" s="1">
        <v>25</v>
      </c>
      <c r="M105" s="3" t="s">
        <v>21</v>
      </c>
    </row>
    <row r="106" spans="1:13" x14ac:dyDescent="0.3">
      <c r="A106" s="1">
        <v>5</v>
      </c>
      <c r="B106" s="2">
        <v>46152</v>
      </c>
      <c r="C106" s="3" t="s">
        <v>19</v>
      </c>
      <c r="D106" s="3" t="s">
        <v>20</v>
      </c>
      <c r="E106" s="3" t="s">
        <v>81</v>
      </c>
      <c r="F106" s="1">
        <v>33</v>
      </c>
      <c r="G106" s="3" t="s">
        <v>70</v>
      </c>
      <c r="H106" s="3" t="s">
        <v>71</v>
      </c>
      <c r="I106" s="3" t="s">
        <v>82</v>
      </c>
      <c r="J106" s="1">
        <v>17</v>
      </c>
      <c r="K106" s="1">
        <v>20</v>
      </c>
      <c r="L106" s="1">
        <v>19</v>
      </c>
      <c r="M106" s="3" t="s">
        <v>21</v>
      </c>
    </row>
    <row r="107" spans="1:13" x14ac:dyDescent="0.3">
      <c r="A107" s="1">
        <v>5</v>
      </c>
      <c r="B107" s="2">
        <v>46152</v>
      </c>
      <c r="C107" s="3" t="s">
        <v>19</v>
      </c>
      <c r="D107" s="3" t="s">
        <v>20</v>
      </c>
      <c r="E107" s="3" t="s">
        <v>109</v>
      </c>
      <c r="F107" s="1">
        <v>36</v>
      </c>
      <c r="G107" s="3" t="s">
        <v>87</v>
      </c>
      <c r="H107" s="3" t="s">
        <v>88</v>
      </c>
      <c r="I107" s="3" t="s">
        <v>72</v>
      </c>
      <c r="J107" s="1">
        <v>18</v>
      </c>
      <c r="K107" s="1">
        <v>19</v>
      </c>
      <c r="L107" s="1">
        <v>18</v>
      </c>
      <c r="M107" s="3" t="s">
        <v>21</v>
      </c>
    </row>
    <row r="108" spans="1:13" x14ac:dyDescent="0.3">
      <c r="A108" s="1">
        <v>5</v>
      </c>
      <c r="B108" s="2">
        <v>46152</v>
      </c>
      <c r="C108" s="3" t="s">
        <v>19</v>
      </c>
      <c r="D108" s="3" t="s">
        <v>20</v>
      </c>
      <c r="E108" s="3" t="s">
        <v>84</v>
      </c>
      <c r="F108" s="1">
        <v>63</v>
      </c>
      <c r="G108" s="3" t="s">
        <v>85</v>
      </c>
      <c r="H108" s="3" t="s">
        <v>80</v>
      </c>
      <c r="I108" s="3" t="s">
        <v>68</v>
      </c>
      <c r="J108" s="1">
        <v>19</v>
      </c>
      <c r="K108" s="1">
        <v>15</v>
      </c>
      <c r="L108" s="1">
        <v>14</v>
      </c>
      <c r="M108" s="3" t="s">
        <v>21</v>
      </c>
    </row>
    <row r="109" spans="1:13" x14ac:dyDescent="0.3">
      <c r="A109" s="1">
        <v>5</v>
      </c>
      <c r="B109" s="2">
        <v>46152</v>
      </c>
      <c r="C109" s="3" t="s">
        <v>19</v>
      </c>
      <c r="D109" s="3" t="s">
        <v>20</v>
      </c>
      <c r="E109" s="3" t="s">
        <v>94</v>
      </c>
      <c r="F109" s="1">
        <v>11</v>
      </c>
      <c r="G109" s="3" t="s">
        <v>95</v>
      </c>
      <c r="H109" s="3" t="s">
        <v>88</v>
      </c>
      <c r="I109" s="3" t="s">
        <v>96</v>
      </c>
      <c r="J109" s="1">
        <v>20</v>
      </c>
      <c r="K109" s="1">
        <v>10</v>
      </c>
      <c r="L109" s="1">
        <v>8</v>
      </c>
      <c r="M109" s="3" t="s">
        <v>21</v>
      </c>
    </row>
    <row r="110" spans="1:13" x14ac:dyDescent="0.3">
      <c r="A110" s="1">
        <v>5</v>
      </c>
      <c r="B110" s="2">
        <v>46152</v>
      </c>
      <c r="C110" s="3" t="s">
        <v>19</v>
      </c>
      <c r="D110" s="3" t="s">
        <v>20</v>
      </c>
      <c r="E110" s="3" t="s">
        <v>110</v>
      </c>
      <c r="F110" s="1">
        <v>73</v>
      </c>
      <c r="G110" s="3" t="s">
        <v>108</v>
      </c>
      <c r="H110" s="3" t="s">
        <v>80</v>
      </c>
      <c r="I110" s="3" t="s">
        <v>72</v>
      </c>
      <c r="J110" s="1">
        <v>21</v>
      </c>
      <c r="K110" s="1">
        <v>1</v>
      </c>
      <c r="L110" s="1">
        <v>0</v>
      </c>
      <c r="M110" s="3" t="s">
        <v>21</v>
      </c>
    </row>
    <row r="111" spans="1:13" x14ac:dyDescent="0.3">
      <c r="A111" s="1">
        <v>6</v>
      </c>
      <c r="B111" s="2">
        <v>46159</v>
      </c>
      <c r="C111" s="3" t="s">
        <v>22</v>
      </c>
      <c r="D111" s="3"/>
      <c r="E111" s="3" t="s">
        <v>78</v>
      </c>
      <c r="F111" s="1">
        <v>49</v>
      </c>
      <c r="G111" s="3" t="s">
        <v>79</v>
      </c>
      <c r="H111" s="3" t="s">
        <v>80</v>
      </c>
      <c r="I111" s="3" t="s">
        <v>68</v>
      </c>
      <c r="J111" s="1">
        <v>1</v>
      </c>
      <c r="K111" s="1">
        <v>12</v>
      </c>
      <c r="L111" s="1">
        <v>11</v>
      </c>
      <c r="M111" s="3" t="s">
        <v>23</v>
      </c>
    </row>
    <row r="112" spans="1:13" x14ac:dyDescent="0.3">
      <c r="A112" s="1">
        <v>6</v>
      </c>
      <c r="B112" s="2">
        <v>46159</v>
      </c>
      <c r="C112" s="3" t="s">
        <v>22</v>
      </c>
      <c r="D112" s="3"/>
      <c r="E112" s="3" t="s">
        <v>109</v>
      </c>
      <c r="F112" s="1">
        <v>36</v>
      </c>
      <c r="G112" s="3" t="s">
        <v>87</v>
      </c>
      <c r="H112" s="3" t="s">
        <v>88</v>
      </c>
      <c r="I112" s="3" t="s">
        <v>72</v>
      </c>
      <c r="J112" s="1">
        <v>2</v>
      </c>
      <c r="K112" s="1">
        <v>12</v>
      </c>
      <c r="L112" s="1">
        <v>11</v>
      </c>
      <c r="M112" s="3" t="s">
        <v>23</v>
      </c>
    </row>
    <row r="113" spans="1:13" x14ac:dyDescent="0.3">
      <c r="A113" s="1">
        <v>6</v>
      </c>
      <c r="B113" s="2">
        <v>46159</v>
      </c>
      <c r="C113" s="3" t="s">
        <v>22</v>
      </c>
      <c r="D113" s="3"/>
      <c r="E113" s="3" t="s">
        <v>112</v>
      </c>
      <c r="F113" s="1">
        <v>54</v>
      </c>
      <c r="G113" s="3" t="s">
        <v>108</v>
      </c>
      <c r="H113" s="3" t="s">
        <v>80</v>
      </c>
      <c r="I113" s="3" t="s">
        <v>72</v>
      </c>
      <c r="J113" s="1">
        <v>3</v>
      </c>
      <c r="K113" s="1">
        <v>12</v>
      </c>
      <c r="L113" s="1">
        <v>11</v>
      </c>
      <c r="M113" s="3" t="s">
        <v>23</v>
      </c>
    </row>
    <row r="114" spans="1:13" x14ac:dyDescent="0.3">
      <c r="A114" s="1">
        <v>6</v>
      </c>
      <c r="B114" s="2">
        <v>46159</v>
      </c>
      <c r="C114" s="3" t="s">
        <v>22</v>
      </c>
      <c r="D114" s="3"/>
      <c r="E114" s="3" t="s">
        <v>84</v>
      </c>
      <c r="F114" s="1">
        <v>63</v>
      </c>
      <c r="G114" s="3" t="s">
        <v>85</v>
      </c>
      <c r="H114" s="3" t="s">
        <v>80</v>
      </c>
      <c r="I114" s="3" t="s">
        <v>68</v>
      </c>
      <c r="J114" s="1">
        <v>4</v>
      </c>
      <c r="K114" s="1">
        <v>12</v>
      </c>
      <c r="L114" s="1">
        <v>11</v>
      </c>
      <c r="M114" s="3" t="s">
        <v>23</v>
      </c>
    </row>
    <row r="115" spans="1:13" x14ac:dyDescent="0.3">
      <c r="A115" s="1">
        <v>6</v>
      </c>
      <c r="B115" s="2">
        <v>46159</v>
      </c>
      <c r="C115" s="3" t="s">
        <v>22</v>
      </c>
      <c r="D115" s="3"/>
      <c r="E115" s="3" t="s">
        <v>65</v>
      </c>
      <c r="F115" s="1">
        <v>72</v>
      </c>
      <c r="G115" s="3" t="s">
        <v>66</v>
      </c>
      <c r="H115" s="3" t="s">
        <v>67</v>
      </c>
      <c r="I115" s="3" t="s">
        <v>68</v>
      </c>
      <c r="J115" s="1">
        <v>5</v>
      </c>
      <c r="K115" s="1">
        <v>12</v>
      </c>
      <c r="L115" s="1">
        <v>11</v>
      </c>
      <c r="M115" s="3" t="s">
        <v>23</v>
      </c>
    </row>
    <row r="116" spans="1:13" x14ac:dyDescent="0.3">
      <c r="A116" s="1">
        <v>6</v>
      </c>
      <c r="B116" s="2">
        <v>46159</v>
      </c>
      <c r="C116" s="3" t="s">
        <v>22</v>
      </c>
      <c r="D116" s="3"/>
      <c r="E116" s="3" t="s">
        <v>97</v>
      </c>
      <c r="F116" s="1">
        <v>20</v>
      </c>
      <c r="G116" s="3" t="s">
        <v>98</v>
      </c>
      <c r="H116" s="3" t="s">
        <v>99</v>
      </c>
      <c r="I116" s="3" t="s">
        <v>91</v>
      </c>
      <c r="J116" s="1">
        <v>6</v>
      </c>
      <c r="K116" s="1">
        <v>12</v>
      </c>
      <c r="L116" s="1">
        <v>11</v>
      </c>
      <c r="M116" s="3" t="s">
        <v>23</v>
      </c>
    </row>
    <row r="117" spans="1:13" x14ac:dyDescent="0.3">
      <c r="A117" s="1">
        <v>6</v>
      </c>
      <c r="B117" s="2">
        <v>46159</v>
      </c>
      <c r="C117" s="3" t="s">
        <v>22</v>
      </c>
      <c r="D117" s="3"/>
      <c r="E117" s="3" t="s">
        <v>86</v>
      </c>
      <c r="F117" s="1">
        <v>10</v>
      </c>
      <c r="G117" s="3" t="s">
        <v>87</v>
      </c>
      <c r="H117" s="3" t="s">
        <v>88</v>
      </c>
      <c r="I117" s="3" t="s">
        <v>68</v>
      </c>
      <c r="J117" s="1">
        <v>7</v>
      </c>
      <c r="K117" s="1">
        <v>12</v>
      </c>
      <c r="L117" s="1">
        <v>11</v>
      </c>
      <c r="M117" s="3" t="s">
        <v>23</v>
      </c>
    </row>
    <row r="118" spans="1:13" x14ac:dyDescent="0.3">
      <c r="A118" s="1">
        <v>6</v>
      </c>
      <c r="B118" s="2">
        <v>46159</v>
      </c>
      <c r="C118" s="3" t="s">
        <v>22</v>
      </c>
      <c r="D118" s="3"/>
      <c r="E118" s="3" t="s">
        <v>81</v>
      </c>
      <c r="F118" s="1">
        <v>33</v>
      </c>
      <c r="G118" s="3" t="s">
        <v>70</v>
      </c>
      <c r="H118" s="3" t="s">
        <v>71</v>
      </c>
      <c r="I118" s="3" t="s">
        <v>82</v>
      </c>
      <c r="J118" s="1">
        <v>8</v>
      </c>
      <c r="K118" s="1">
        <v>12</v>
      </c>
      <c r="L118" s="1">
        <v>11</v>
      </c>
      <c r="M118" s="3" t="s">
        <v>23</v>
      </c>
    </row>
    <row r="119" spans="1:13" x14ac:dyDescent="0.3">
      <c r="A119" s="1">
        <v>6</v>
      </c>
      <c r="B119" s="2">
        <v>46159</v>
      </c>
      <c r="C119" s="3" t="s">
        <v>22</v>
      </c>
      <c r="D119" s="3"/>
      <c r="E119" s="3" t="s">
        <v>76</v>
      </c>
      <c r="F119" s="1">
        <v>79</v>
      </c>
      <c r="G119" s="3" t="s">
        <v>74</v>
      </c>
      <c r="H119" s="3" t="s">
        <v>67</v>
      </c>
      <c r="I119" s="3" t="s">
        <v>77</v>
      </c>
      <c r="J119" s="1">
        <v>9</v>
      </c>
      <c r="K119" s="1">
        <v>12</v>
      </c>
      <c r="L119" s="1">
        <v>11</v>
      </c>
      <c r="M119" s="3" t="s">
        <v>23</v>
      </c>
    </row>
    <row r="120" spans="1:13" x14ac:dyDescent="0.3">
      <c r="A120" s="1">
        <v>6</v>
      </c>
      <c r="B120" s="2">
        <v>46159</v>
      </c>
      <c r="C120" s="3" t="s">
        <v>22</v>
      </c>
      <c r="D120" s="3"/>
      <c r="E120" s="3" t="s">
        <v>94</v>
      </c>
      <c r="F120" s="1">
        <v>11</v>
      </c>
      <c r="G120" s="3" t="s">
        <v>95</v>
      </c>
      <c r="H120" s="3" t="s">
        <v>88</v>
      </c>
      <c r="I120" s="3" t="s">
        <v>96</v>
      </c>
      <c r="J120" s="1">
        <v>10</v>
      </c>
      <c r="K120" s="1">
        <v>12</v>
      </c>
      <c r="L120" s="1">
        <v>9</v>
      </c>
      <c r="M120" s="3" t="s">
        <v>23</v>
      </c>
    </row>
    <row r="121" spans="1:13" x14ac:dyDescent="0.3">
      <c r="A121" s="1">
        <v>6</v>
      </c>
      <c r="B121" s="2">
        <v>46159</v>
      </c>
      <c r="C121" s="3" t="s">
        <v>22</v>
      </c>
      <c r="D121" s="3"/>
      <c r="E121" s="3" t="s">
        <v>100</v>
      </c>
      <c r="F121" s="1">
        <v>42</v>
      </c>
      <c r="G121" s="3" t="s">
        <v>98</v>
      </c>
      <c r="H121" s="3" t="s">
        <v>99</v>
      </c>
      <c r="I121" s="3" t="s">
        <v>72</v>
      </c>
      <c r="J121" s="1">
        <v>11</v>
      </c>
      <c r="K121" s="1">
        <v>12</v>
      </c>
      <c r="L121" s="1">
        <v>11</v>
      </c>
      <c r="M121" s="3" t="s">
        <v>23</v>
      </c>
    </row>
    <row r="122" spans="1:13" x14ac:dyDescent="0.3">
      <c r="A122" s="1">
        <v>6</v>
      </c>
      <c r="B122" s="2">
        <v>46159</v>
      </c>
      <c r="C122" s="3" t="s">
        <v>22</v>
      </c>
      <c r="D122" s="3"/>
      <c r="E122" s="3" t="s">
        <v>83</v>
      </c>
      <c r="F122" s="1">
        <v>21</v>
      </c>
      <c r="G122" s="3" t="s">
        <v>79</v>
      </c>
      <c r="H122" s="3" t="s">
        <v>80</v>
      </c>
      <c r="I122" s="3" t="s">
        <v>68</v>
      </c>
      <c r="J122" s="1">
        <v>12</v>
      </c>
      <c r="K122" s="1">
        <v>12</v>
      </c>
      <c r="L122" s="1">
        <v>11</v>
      </c>
      <c r="M122" s="3" t="s">
        <v>23</v>
      </c>
    </row>
    <row r="123" spans="1:13" x14ac:dyDescent="0.3">
      <c r="A123" s="1">
        <v>6</v>
      </c>
      <c r="B123" s="2">
        <v>46159</v>
      </c>
      <c r="C123" s="3" t="s">
        <v>22</v>
      </c>
      <c r="D123" s="3"/>
      <c r="E123" s="3" t="s">
        <v>101</v>
      </c>
      <c r="F123" s="1">
        <v>12</v>
      </c>
      <c r="G123" s="3" t="s">
        <v>93</v>
      </c>
      <c r="H123" s="3" t="s">
        <v>71</v>
      </c>
      <c r="I123" s="3" t="s">
        <v>72</v>
      </c>
      <c r="J123" s="1">
        <v>13</v>
      </c>
      <c r="K123" s="1">
        <v>12</v>
      </c>
      <c r="L123" s="1">
        <v>11</v>
      </c>
      <c r="M123" s="3" t="s">
        <v>23</v>
      </c>
    </row>
    <row r="124" spans="1:13" x14ac:dyDescent="0.3">
      <c r="A124" s="1">
        <v>6</v>
      </c>
      <c r="B124" s="2">
        <v>46159</v>
      </c>
      <c r="C124" s="3" t="s">
        <v>22</v>
      </c>
      <c r="D124" s="3"/>
      <c r="E124" s="3" t="s">
        <v>105</v>
      </c>
      <c r="F124" s="1">
        <v>43</v>
      </c>
      <c r="G124" s="3" t="s">
        <v>103</v>
      </c>
      <c r="H124" s="3" t="s">
        <v>99</v>
      </c>
      <c r="I124" s="3" t="s">
        <v>106</v>
      </c>
      <c r="J124" s="1">
        <v>14</v>
      </c>
      <c r="K124" s="1">
        <v>12</v>
      </c>
      <c r="L124" s="1">
        <v>11</v>
      </c>
      <c r="M124" s="3" t="s">
        <v>23</v>
      </c>
    </row>
    <row r="125" spans="1:13" x14ac:dyDescent="0.3">
      <c r="A125" s="1">
        <v>6</v>
      </c>
      <c r="B125" s="2">
        <v>46159</v>
      </c>
      <c r="C125" s="3" t="s">
        <v>22</v>
      </c>
      <c r="D125" s="3"/>
      <c r="E125" s="3" t="s">
        <v>102</v>
      </c>
      <c r="F125" s="1">
        <v>7</v>
      </c>
      <c r="G125" s="3" t="s">
        <v>103</v>
      </c>
      <c r="H125" s="3" t="s">
        <v>99</v>
      </c>
      <c r="I125" s="3" t="s">
        <v>104</v>
      </c>
      <c r="J125" s="1">
        <v>15</v>
      </c>
      <c r="K125" s="1">
        <v>12</v>
      </c>
      <c r="L125" s="1">
        <v>11</v>
      </c>
      <c r="M125" s="3" t="s">
        <v>23</v>
      </c>
    </row>
    <row r="126" spans="1:13" x14ac:dyDescent="0.3">
      <c r="A126" s="1">
        <v>6</v>
      </c>
      <c r="B126" s="2">
        <v>46159</v>
      </c>
      <c r="C126" s="3" t="s">
        <v>22</v>
      </c>
      <c r="D126" s="3"/>
      <c r="E126" s="3" t="s">
        <v>73</v>
      </c>
      <c r="F126" s="1">
        <v>25</v>
      </c>
      <c r="G126" s="3" t="s">
        <v>74</v>
      </c>
      <c r="H126" s="3" t="s">
        <v>67</v>
      </c>
      <c r="I126" s="3" t="s">
        <v>72</v>
      </c>
      <c r="J126" s="1">
        <v>16</v>
      </c>
      <c r="K126" s="1">
        <v>12</v>
      </c>
      <c r="L126" s="1">
        <v>11</v>
      </c>
      <c r="M126" s="3" t="s">
        <v>23</v>
      </c>
    </row>
    <row r="127" spans="1:13" x14ac:dyDescent="0.3">
      <c r="A127" s="1">
        <v>6</v>
      </c>
      <c r="B127" s="2">
        <v>46159</v>
      </c>
      <c r="C127" s="3" t="s">
        <v>22</v>
      </c>
      <c r="D127" s="3"/>
      <c r="E127" s="3" t="s">
        <v>113</v>
      </c>
      <c r="F127" s="1">
        <v>47</v>
      </c>
      <c r="G127" s="3" t="s">
        <v>114</v>
      </c>
      <c r="H127" s="3" t="s">
        <v>99</v>
      </c>
      <c r="I127" s="3" t="s">
        <v>72</v>
      </c>
      <c r="J127" s="1">
        <v>17</v>
      </c>
      <c r="K127" s="1">
        <v>12</v>
      </c>
      <c r="L127" s="1">
        <v>11</v>
      </c>
      <c r="M127" s="3" t="s">
        <v>23</v>
      </c>
    </row>
    <row r="128" spans="1:13" x14ac:dyDescent="0.3">
      <c r="A128" s="1">
        <v>6</v>
      </c>
      <c r="B128" s="2">
        <v>46159</v>
      </c>
      <c r="C128" s="3" t="s">
        <v>22</v>
      </c>
      <c r="D128" s="3"/>
      <c r="E128" s="3" t="s">
        <v>75</v>
      </c>
      <c r="F128" s="1">
        <v>89</v>
      </c>
      <c r="G128" s="3" t="s">
        <v>66</v>
      </c>
      <c r="H128" s="3" t="s">
        <v>67</v>
      </c>
      <c r="I128" s="3" t="s">
        <v>72</v>
      </c>
      <c r="J128" s="1">
        <v>18</v>
      </c>
      <c r="K128" s="1">
        <v>12</v>
      </c>
      <c r="L128" s="1">
        <v>9</v>
      </c>
      <c r="M128" s="3" t="s">
        <v>23</v>
      </c>
    </row>
    <row r="129" spans="1:13" x14ac:dyDescent="0.3">
      <c r="A129" s="1">
        <v>6</v>
      </c>
      <c r="B129" s="2">
        <v>46159</v>
      </c>
      <c r="C129" s="3" t="s">
        <v>22</v>
      </c>
      <c r="D129" s="3"/>
      <c r="E129" s="3" t="s">
        <v>69</v>
      </c>
      <c r="F129" s="1">
        <v>37</v>
      </c>
      <c r="G129" s="3" t="s">
        <v>70</v>
      </c>
      <c r="H129" s="3" t="s">
        <v>71</v>
      </c>
      <c r="I129" s="3" t="s">
        <v>72</v>
      </c>
      <c r="J129" s="1">
        <v>19</v>
      </c>
      <c r="K129" s="1">
        <v>11</v>
      </c>
      <c r="L129" s="1">
        <v>10</v>
      </c>
      <c r="M129" s="3" t="s">
        <v>23</v>
      </c>
    </row>
    <row r="130" spans="1:13" x14ac:dyDescent="0.3">
      <c r="A130" s="1">
        <v>7</v>
      </c>
      <c r="B130" s="2">
        <v>46173</v>
      </c>
      <c r="C130" s="3" t="s">
        <v>24</v>
      </c>
      <c r="D130" s="3" t="s">
        <v>25</v>
      </c>
      <c r="E130" s="3" t="s">
        <v>65</v>
      </c>
      <c r="F130" s="1">
        <v>72</v>
      </c>
      <c r="G130" s="3" t="s">
        <v>66</v>
      </c>
      <c r="H130" s="3" t="s">
        <v>67</v>
      </c>
      <c r="I130" s="3" t="s">
        <v>68</v>
      </c>
      <c r="J130" s="1">
        <v>1</v>
      </c>
      <c r="K130" s="1">
        <v>23</v>
      </c>
      <c r="L130" s="1">
        <v>22</v>
      </c>
      <c r="M130" s="3" t="s">
        <v>26</v>
      </c>
    </row>
    <row r="131" spans="1:13" x14ac:dyDescent="0.3">
      <c r="A131" s="1">
        <v>7</v>
      </c>
      <c r="B131" s="2">
        <v>46173</v>
      </c>
      <c r="C131" s="3" t="s">
        <v>24</v>
      </c>
      <c r="D131" s="3" t="s">
        <v>25</v>
      </c>
      <c r="E131" s="3" t="s">
        <v>75</v>
      </c>
      <c r="F131" s="1">
        <v>89</v>
      </c>
      <c r="G131" s="3" t="s">
        <v>66</v>
      </c>
      <c r="H131" s="3" t="s">
        <v>67</v>
      </c>
      <c r="I131" s="3" t="s">
        <v>72</v>
      </c>
      <c r="J131" s="1">
        <v>2</v>
      </c>
      <c r="K131" s="1">
        <v>23</v>
      </c>
      <c r="L131" s="1">
        <v>22</v>
      </c>
      <c r="M131" s="3" t="s">
        <v>26</v>
      </c>
    </row>
    <row r="132" spans="1:13" x14ac:dyDescent="0.3">
      <c r="A132" s="1">
        <v>7</v>
      </c>
      <c r="B132" s="2">
        <v>46173</v>
      </c>
      <c r="C132" s="3" t="s">
        <v>24</v>
      </c>
      <c r="D132" s="3" t="s">
        <v>25</v>
      </c>
      <c r="E132" s="3" t="s">
        <v>84</v>
      </c>
      <c r="F132" s="1">
        <v>63</v>
      </c>
      <c r="G132" s="3" t="s">
        <v>85</v>
      </c>
      <c r="H132" s="3" t="s">
        <v>80</v>
      </c>
      <c r="I132" s="3" t="s">
        <v>68</v>
      </c>
      <c r="J132" s="1">
        <v>3</v>
      </c>
      <c r="K132" s="1">
        <v>23</v>
      </c>
      <c r="L132" s="1">
        <v>22</v>
      </c>
      <c r="M132" s="3" t="s">
        <v>26</v>
      </c>
    </row>
    <row r="133" spans="1:13" x14ac:dyDescent="0.3">
      <c r="A133" s="1">
        <v>7</v>
      </c>
      <c r="B133" s="2">
        <v>46173</v>
      </c>
      <c r="C133" s="3" t="s">
        <v>24</v>
      </c>
      <c r="D133" s="3" t="s">
        <v>25</v>
      </c>
      <c r="E133" s="3" t="s">
        <v>76</v>
      </c>
      <c r="F133" s="1">
        <v>79</v>
      </c>
      <c r="G133" s="3" t="s">
        <v>74</v>
      </c>
      <c r="H133" s="3" t="s">
        <v>67</v>
      </c>
      <c r="I133" s="3" t="s">
        <v>77</v>
      </c>
      <c r="J133" s="1">
        <v>4</v>
      </c>
      <c r="K133" s="1">
        <v>23</v>
      </c>
      <c r="L133" s="1">
        <v>22</v>
      </c>
      <c r="M133" s="3" t="s">
        <v>26</v>
      </c>
    </row>
    <row r="134" spans="1:13" x14ac:dyDescent="0.3">
      <c r="A134" s="1">
        <v>7</v>
      </c>
      <c r="B134" s="2">
        <v>46173</v>
      </c>
      <c r="C134" s="3" t="s">
        <v>24</v>
      </c>
      <c r="D134" s="3" t="s">
        <v>25</v>
      </c>
      <c r="E134" s="3" t="s">
        <v>78</v>
      </c>
      <c r="F134" s="1">
        <v>49</v>
      </c>
      <c r="G134" s="3" t="s">
        <v>79</v>
      </c>
      <c r="H134" s="3" t="s">
        <v>80</v>
      </c>
      <c r="I134" s="3" t="s">
        <v>68</v>
      </c>
      <c r="J134" s="1">
        <v>5</v>
      </c>
      <c r="K134" s="1">
        <v>23</v>
      </c>
      <c r="L134" s="1">
        <v>22</v>
      </c>
      <c r="M134" s="3" t="s">
        <v>26</v>
      </c>
    </row>
    <row r="135" spans="1:13" x14ac:dyDescent="0.3">
      <c r="A135" s="1">
        <v>7</v>
      </c>
      <c r="B135" s="2">
        <v>46173</v>
      </c>
      <c r="C135" s="3" t="s">
        <v>24</v>
      </c>
      <c r="D135" s="3" t="s">
        <v>25</v>
      </c>
      <c r="E135" s="3" t="s">
        <v>69</v>
      </c>
      <c r="F135" s="1">
        <v>37</v>
      </c>
      <c r="G135" s="3" t="s">
        <v>70</v>
      </c>
      <c r="H135" s="3" t="s">
        <v>71</v>
      </c>
      <c r="I135" s="3" t="s">
        <v>72</v>
      </c>
      <c r="J135" s="1">
        <v>6</v>
      </c>
      <c r="K135" s="1">
        <v>23</v>
      </c>
      <c r="L135" s="1">
        <v>22</v>
      </c>
      <c r="M135" s="3" t="s">
        <v>26</v>
      </c>
    </row>
    <row r="136" spans="1:13" x14ac:dyDescent="0.3">
      <c r="A136" s="1">
        <v>7</v>
      </c>
      <c r="B136" s="2">
        <v>46173</v>
      </c>
      <c r="C136" s="3" t="s">
        <v>24</v>
      </c>
      <c r="D136" s="3" t="s">
        <v>25</v>
      </c>
      <c r="E136" s="3" t="s">
        <v>111</v>
      </c>
      <c r="F136" s="1">
        <v>93</v>
      </c>
      <c r="G136" s="3" t="s">
        <v>85</v>
      </c>
      <c r="H136" s="3" t="s">
        <v>80</v>
      </c>
      <c r="I136" s="3" t="s">
        <v>72</v>
      </c>
      <c r="J136" s="1">
        <v>7</v>
      </c>
      <c r="K136" s="1">
        <v>23</v>
      </c>
      <c r="L136" s="1">
        <v>21</v>
      </c>
      <c r="M136" s="3" t="s">
        <v>26</v>
      </c>
    </row>
    <row r="137" spans="1:13" x14ac:dyDescent="0.3">
      <c r="A137" s="1">
        <v>7</v>
      </c>
      <c r="B137" s="2">
        <v>46173</v>
      </c>
      <c r="C137" s="3" t="s">
        <v>24</v>
      </c>
      <c r="D137" s="3" t="s">
        <v>25</v>
      </c>
      <c r="E137" s="3" t="s">
        <v>73</v>
      </c>
      <c r="F137" s="1">
        <v>25</v>
      </c>
      <c r="G137" s="3" t="s">
        <v>74</v>
      </c>
      <c r="H137" s="3" t="s">
        <v>67</v>
      </c>
      <c r="I137" s="3" t="s">
        <v>72</v>
      </c>
      <c r="J137" s="1">
        <v>8</v>
      </c>
      <c r="K137" s="1">
        <v>23</v>
      </c>
      <c r="L137" s="1">
        <v>22</v>
      </c>
      <c r="M137" s="3" t="s">
        <v>26</v>
      </c>
    </row>
    <row r="138" spans="1:13" x14ac:dyDescent="0.3">
      <c r="A138" s="1">
        <v>7</v>
      </c>
      <c r="B138" s="2">
        <v>46173</v>
      </c>
      <c r="C138" s="3" t="s">
        <v>24</v>
      </c>
      <c r="D138" s="3" t="s">
        <v>25</v>
      </c>
      <c r="E138" s="3" t="s">
        <v>112</v>
      </c>
      <c r="F138" s="1">
        <v>54</v>
      </c>
      <c r="G138" s="3" t="s">
        <v>108</v>
      </c>
      <c r="H138" s="3" t="s">
        <v>80</v>
      </c>
      <c r="I138" s="3" t="s">
        <v>72</v>
      </c>
      <c r="J138" s="1">
        <v>9</v>
      </c>
      <c r="K138" s="1">
        <v>23</v>
      </c>
      <c r="L138" s="1">
        <v>21</v>
      </c>
      <c r="M138" s="3" t="s">
        <v>26</v>
      </c>
    </row>
    <row r="139" spans="1:13" x14ac:dyDescent="0.3">
      <c r="A139" s="1">
        <v>7</v>
      </c>
      <c r="B139" s="2">
        <v>46173</v>
      </c>
      <c r="C139" s="3" t="s">
        <v>24</v>
      </c>
      <c r="D139" s="3" t="s">
        <v>25</v>
      </c>
      <c r="E139" s="3" t="s">
        <v>94</v>
      </c>
      <c r="F139" s="1">
        <v>11</v>
      </c>
      <c r="G139" s="3" t="s">
        <v>95</v>
      </c>
      <c r="H139" s="3" t="s">
        <v>88</v>
      </c>
      <c r="I139" s="3" t="s">
        <v>96</v>
      </c>
      <c r="J139" s="1">
        <v>10</v>
      </c>
      <c r="K139" s="1">
        <v>23</v>
      </c>
      <c r="L139" s="1">
        <v>22</v>
      </c>
      <c r="M139" s="3" t="s">
        <v>26</v>
      </c>
    </row>
    <row r="140" spans="1:13" x14ac:dyDescent="0.3">
      <c r="A140" s="1">
        <v>7</v>
      </c>
      <c r="B140" s="2">
        <v>46173</v>
      </c>
      <c r="C140" s="3" t="s">
        <v>24</v>
      </c>
      <c r="D140" s="3" t="s">
        <v>25</v>
      </c>
      <c r="E140" s="3" t="s">
        <v>81</v>
      </c>
      <c r="F140" s="1">
        <v>33</v>
      </c>
      <c r="G140" s="3" t="s">
        <v>70</v>
      </c>
      <c r="H140" s="3" t="s">
        <v>71</v>
      </c>
      <c r="I140" s="3" t="s">
        <v>82</v>
      </c>
      <c r="J140" s="1">
        <v>11</v>
      </c>
      <c r="K140" s="1">
        <v>23</v>
      </c>
      <c r="L140" s="1">
        <v>21</v>
      </c>
      <c r="M140" s="3" t="s">
        <v>26</v>
      </c>
    </row>
    <row r="141" spans="1:13" x14ac:dyDescent="0.3">
      <c r="A141" s="1">
        <v>7</v>
      </c>
      <c r="B141" s="2">
        <v>46173</v>
      </c>
      <c r="C141" s="3" t="s">
        <v>24</v>
      </c>
      <c r="D141" s="3" t="s">
        <v>25</v>
      </c>
      <c r="E141" s="3" t="s">
        <v>109</v>
      </c>
      <c r="F141" s="1">
        <v>36</v>
      </c>
      <c r="G141" s="3" t="s">
        <v>87</v>
      </c>
      <c r="H141" s="3" t="s">
        <v>88</v>
      </c>
      <c r="I141" s="3" t="s">
        <v>72</v>
      </c>
      <c r="J141" s="1">
        <v>12</v>
      </c>
      <c r="K141" s="1">
        <v>23</v>
      </c>
      <c r="L141" s="1">
        <v>22</v>
      </c>
      <c r="M141" s="3" t="s">
        <v>26</v>
      </c>
    </row>
    <row r="142" spans="1:13" x14ac:dyDescent="0.3">
      <c r="A142" s="1">
        <v>7</v>
      </c>
      <c r="B142" s="2">
        <v>46173</v>
      </c>
      <c r="C142" s="3" t="s">
        <v>24</v>
      </c>
      <c r="D142" s="3" t="s">
        <v>25</v>
      </c>
      <c r="E142" s="3" t="s">
        <v>86</v>
      </c>
      <c r="F142" s="1">
        <v>10</v>
      </c>
      <c r="G142" s="3" t="s">
        <v>87</v>
      </c>
      <c r="H142" s="3" t="s">
        <v>88</v>
      </c>
      <c r="I142" s="3" t="s">
        <v>68</v>
      </c>
      <c r="J142" s="1">
        <v>13</v>
      </c>
      <c r="K142" s="1">
        <v>23</v>
      </c>
      <c r="L142" s="1">
        <v>22</v>
      </c>
      <c r="M142" s="3" t="s">
        <v>26</v>
      </c>
    </row>
    <row r="143" spans="1:13" x14ac:dyDescent="0.3">
      <c r="A143" s="1">
        <v>7</v>
      </c>
      <c r="B143" s="2">
        <v>46173</v>
      </c>
      <c r="C143" s="3" t="s">
        <v>24</v>
      </c>
      <c r="D143" s="3" t="s">
        <v>25</v>
      </c>
      <c r="E143" s="3" t="s">
        <v>83</v>
      </c>
      <c r="F143" s="1">
        <v>21</v>
      </c>
      <c r="G143" s="3" t="s">
        <v>79</v>
      </c>
      <c r="H143" s="3" t="s">
        <v>80</v>
      </c>
      <c r="I143" s="3" t="s">
        <v>68</v>
      </c>
      <c r="J143" s="1">
        <v>14</v>
      </c>
      <c r="K143" s="1">
        <v>23</v>
      </c>
      <c r="L143" s="1">
        <v>22</v>
      </c>
      <c r="M143" s="3" t="s">
        <v>26</v>
      </c>
    </row>
    <row r="144" spans="1:13" x14ac:dyDescent="0.3">
      <c r="A144" s="1">
        <v>7</v>
      </c>
      <c r="B144" s="2">
        <v>46173</v>
      </c>
      <c r="C144" s="3" t="s">
        <v>24</v>
      </c>
      <c r="D144" s="3" t="s">
        <v>25</v>
      </c>
      <c r="E144" s="3" t="s">
        <v>105</v>
      </c>
      <c r="F144" s="1">
        <v>43</v>
      </c>
      <c r="G144" s="3" t="s">
        <v>103</v>
      </c>
      <c r="H144" s="3" t="s">
        <v>99</v>
      </c>
      <c r="I144" s="3" t="s">
        <v>106</v>
      </c>
      <c r="J144" s="1">
        <v>15</v>
      </c>
      <c r="K144" s="1">
        <v>23</v>
      </c>
      <c r="L144" s="1">
        <v>22</v>
      </c>
      <c r="M144" s="3" t="s">
        <v>26</v>
      </c>
    </row>
    <row r="145" spans="1:13" x14ac:dyDescent="0.3">
      <c r="A145" s="1">
        <v>7</v>
      </c>
      <c r="B145" s="2">
        <v>46173</v>
      </c>
      <c r="C145" s="3" t="s">
        <v>24</v>
      </c>
      <c r="D145" s="3" t="s">
        <v>25</v>
      </c>
      <c r="E145" s="3" t="s">
        <v>102</v>
      </c>
      <c r="F145" s="1">
        <v>7</v>
      </c>
      <c r="G145" s="3" t="s">
        <v>103</v>
      </c>
      <c r="H145" s="3" t="s">
        <v>99</v>
      </c>
      <c r="I145" s="3" t="s">
        <v>104</v>
      </c>
      <c r="J145" s="1">
        <v>16</v>
      </c>
      <c r="K145" s="1">
        <v>23</v>
      </c>
      <c r="L145" s="1">
        <v>20</v>
      </c>
      <c r="M145" s="3" t="s">
        <v>26</v>
      </c>
    </row>
    <row r="146" spans="1:13" x14ac:dyDescent="0.3">
      <c r="A146" s="1">
        <v>7</v>
      </c>
      <c r="B146" s="2">
        <v>46173</v>
      </c>
      <c r="C146" s="3" t="s">
        <v>24</v>
      </c>
      <c r="D146" s="3" t="s">
        <v>25</v>
      </c>
      <c r="E146" s="3" t="s">
        <v>101</v>
      </c>
      <c r="F146" s="1">
        <v>12</v>
      </c>
      <c r="G146" s="3" t="s">
        <v>93</v>
      </c>
      <c r="H146" s="3" t="s">
        <v>71</v>
      </c>
      <c r="I146" s="3" t="s">
        <v>72</v>
      </c>
      <c r="J146" s="1">
        <v>17</v>
      </c>
      <c r="K146" s="1">
        <v>23</v>
      </c>
      <c r="L146" s="1">
        <v>22</v>
      </c>
      <c r="M146" s="3" t="s">
        <v>26</v>
      </c>
    </row>
    <row r="147" spans="1:13" x14ac:dyDescent="0.3">
      <c r="A147" s="1">
        <v>7</v>
      </c>
      <c r="B147" s="2">
        <v>46173</v>
      </c>
      <c r="C147" s="3" t="s">
        <v>24</v>
      </c>
      <c r="D147" s="3" t="s">
        <v>25</v>
      </c>
      <c r="E147" s="3" t="s">
        <v>97</v>
      </c>
      <c r="F147" s="1">
        <v>20</v>
      </c>
      <c r="G147" s="3" t="s">
        <v>98</v>
      </c>
      <c r="H147" s="3" t="s">
        <v>99</v>
      </c>
      <c r="I147" s="3" t="s">
        <v>91</v>
      </c>
      <c r="J147" s="1">
        <v>18</v>
      </c>
      <c r="K147" s="1">
        <v>23</v>
      </c>
      <c r="L147" s="1">
        <v>22</v>
      </c>
      <c r="M147" s="3" t="s">
        <v>26</v>
      </c>
    </row>
    <row r="148" spans="1:13" x14ac:dyDescent="0.3">
      <c r="A148" s="1">
        <v>7</v>
      </c>
      <c r="B148" s="2">
        <v>46173</v>
      </c>
      <c r="C148" s="3" t="s">
        <v>24</v>
      </c>
      <c r="D148" s="3" t="s">
        <v>25</v>
      </c>
      <c r="E148" s="3" t="s">
        <v>107</v>
      </c>
      <c r="F148" s="1">
        <v>51</v>
      </c>
      <c r="G148" s="3" t="s">
        <v>108</v>
      </c>
      <c r="H148" s="3" t="s">
        <v>80</v>
      </c>
      <c r="I148" s="3" t="s">
        <v>68</v>
      </c>
      <c r="J148" s="1">
        <v>19</v>
      </c>
      <c r="K148" s="1">
        <v>23</v>
      </c>
      <c r="L148" s="1">
        <v>22</v>
      </c>
      <c r="M148" s="3" t="s">
        <v>26</v>
      </c>
    </row>
    <row r="149" spans="1:13" x14ac:dyDescent="0.3">
      <c r="A149" s="1">
        <v>7</v>
      </c>
      <c r="B149" s="2">
        <v>46173</v>
      </c>
      <c r="C149" s="3" t="s">
        <v>24</v>
      </c>
      <c r="D149" s="3" t="s">
        <v>25</v>
      </c>
      <c r="E149" s="3" t="s">
        <v>92</v>
      </c>
      <c r="F149" s="1">
        <v>23</v>
      </c>
      <c r="G149" s="3" t="s">
        <v>93</v>
      </c>
      <c r="H149" s="3" t="s">
        <v>71</v>
      </c>
      <c r="I149" s="3" t="s">
        <v>68</v>
      </c>
      <c r="J149" s="1">
        <v>20</v>
      </c>
      <c r="K149" s="1">
        <v>11</v>
      </c>
      <c r="L149" s="1">
        <v>10</v>
      </c>
      <c r="M149" s="3" t="s">
        <v>26</v>
      </c>
    </row>
    <row r="150" spans="1:13" x14ac:dyDescent="0.3">
      <c r="A150" s="1">
        <v>7</v>
      </c>
      <c r="B150" s="2">
        <v>46173</v>
      </c>
      <c r="C150" s="3" t="s">
        <v>24</v>
      </c>
      <c r="D150" s="3" t="s">
        <v>25</v>
      </c>
      <c r="E150" s="3" t="s">
        <v>100</v>
      </c>
      <c r="F150" s="1">
        <v>42</v>
      </c>
      <c r="G150" s="3" t="s">
        <v>98</v>
      </c>
      <c r="H150" s="3" t="s">
        <v>99</v>
      </c>
      <c r="I150" s="3" t="s">
        <v>72</v>
      </c>
      <c r="J150" s="1">
        <v>21</v>
      </c>
      <c r="K150" s="1">
        <v>10</v>
      </c>
      <c r="L150" s="1">
        <v>9</v>
      </c>
      <c r="M150" s="3" t="s">
        <v>26</v>
      </c>
    </row>
    <row r="151" spans="1:13" x14ac:dyDescent="0.3">
      <c r="A151" s="1">
        <v>7</v>
      </c>
      <c r="B151" s="2">
        <v>46173</v>
      </c>
      <c r="C151" s="3" t="s">
        <v>24</v>
      </c>
      <c r="D151" s="3" t="s">
        <v>25</v>
      </c>
      <c r="E151" s="3" t="s">
        <v>118</v>
      </c>
      <c r="F151" s="1">
        <v>35</v>
      </c>
      <c r="G151" s="3" t="s">
        <v>90</v>
      </c>
      <c r="H151" s="3" t="s">
        <v>88</v>
      </c>
      <c r="I151" s="3" t="s">
        <v>119</v>
      </c>
      <c r="J151" s="1">
        <v>22</v>
      </c>
      <c r="K151" s="1">
        <v>10</v>
      </c>
      <c r="L151" s="1">
        <v>9</v>
      </c>
      <c r="M151" s="3" t="s">
        <v>26</v>
      </c>
    </row>
    <row r="152" spans="1:13" x14ac:dyDescent="0.3">
      <c r="A152" s="1">
        <v>8</v>
      </c>
      <c r="B152" s="2">
        <v>46180</v>
      </c>
      <c r="C152" s="3" t="s">
        <v>27</v>
      </c>
      <c r="D152" s="3" t="s">
        <v>28</v>
      </c>
      <c r="E152" s="3" t="s">
        <v>111</v>
      </c>
      <c r="F152" s="1">
        <v>93</v>
      </c>
      <c r="G152" s="3" t="s">
        <v>85</v>
      </c>
      <c r="H152" s="3" t="s">
        <v>80</v>
      </c>
      <c r="I152" s="3" t="s">
        <v>72</v>
      </c>
      <c r="J152" s="1">
        <v>1</v>
      </c>
      <c r="K152" s="1">
        <v>26</v>
      </c>
      <c r="L152" s="1">
        <v>24</v>
      </c>
      <c r="M152" s="3" t="s">
        <v>29</v>
      </c>
    </row>
    <row r="153" spans="1:13" x14ac:dyDescent="0.3">
      <c r="A153" s="1">
        <v>8</v>
      </c>
      <c r="B153" s="2">
        <v>46180</v>
      </c>
      <c r="C153" s="3" t="s">
        <v>27</v>
      </c>
      <c r="D153" s="3" t="s">
        <v>28</v>
      </c>
      <c r="E153" s="3" t="s">
        <v>69</v>
      </c>
      <c r="F153" s="1">
        <v>37</v>
      </c>
      <c r="G153" s="3" t="s">
        <v>70</v>
      </c>
      <c r="H153" s="3" t="s">
        <v>71</v>
      </c>
      <c r="I153" s="3" t="s">
        <v>72</v>
      </c>
      <c r="J153" s="1">
        <v>2</v>
      </c>
      <c r="K153" s="1">
        <v>26</v>
      </c>
      <c r="L153" s="1">
        <v>25</v>
      </c>
      <c r="M153" s="3" t="s">
        <v>29</v>
      </c>
    </row>
    <row r="154" spans="1:13" x14ac:dyDescent="0.3">
      <c r="A154" s="1">
        <v>8</v>
      </c>
      <c r="B154" s="2">
        <v>46180</v>
      </c>
      <c r="C154" s="3" t="s">
        <v>27</v>
      </c>
      <c r="D154" s="3" t="s">
        <v>28</v>
      </c>
      <c r="E154" s="3" t="s">
        <v>84</v>
      </c>
      <c r="F154" s="1">
        <v>63</v>
      </c>
      <c r="G154" s="3" t="s">
        <v>85</v>
      </c>
      <c r="H154" s="3" t="s">
        <v>80</v>
      </c>
      <c r="I154" s="3" t="s">
        <v>68</v>
      </c>
      <c r="J154" s="1">
        <v>3</v>
      </c>
      <c r="K154" s="1">
        <v>26</v>
      </c>
      <c r="L154" s="1">
        <v>25</v>
      </c>
      <c r="M154" s="3" t="s">
        <v>29</v>
      </c>
    </row>
    <row r="155" spans="1:13" x14ac:dyDescent="0.3">
      <c r="A155" s="1">
        <v>8</v>
      </c>
      <c r="B155" s="2">
        <v>46180</v>
      </c>
      <c r="C155" s="3" t="s">
        <v>27</v>
      </c>
      <c r="D155" s="3" t="s">
        <v>28</v>
      </c>
      <c r="E155" s="3" t="s">
        <v>76</v>
      </c>
      <c r="F155" s="1">
        <v>79</v>
      </c>
      <c r="G155" s="3" t="s">
        <v>120</v>
      </c>
      <c r="H155" s="3" t="s">
        <v>67</v>
      </c>
      <c r="I155" s="3" t="s">
        <v>77</v>
      </c>
      <c r="J155" s="1">
        <v>4</v>
      </c>
      <c r="K155" s="1">
        <v>26</v>
      </c>
      <c r="L155" s="1">
        <v>25</v>
      </c>
      <c r="M155" s="3" t="s">
        <v>29</v>
      </c>
    </row>
    <row r="156" spans="1:13" x14ac:dyDescent="0.3">
      <c r="A156" s="1">
        <v>8</v>
      </c>
      <c r="B156" s="2">
        <v>46180</v>
      </c>
      <c r="C156" s="3" t="s">
        <v>27</v>
      </c>
      <c r="D156" s="3" t="s">
        <v>28</v>
      </c>
      <c r="E156" s="3" t="s">
        <v>86</v>
      </c>
      <c r="F156" s="1">
        <v>10</v>
      </c>
      <c r="G156" s="3" t="s">
        <v>87</v>
      </c>
      <c r="H156" s="3" t="s">
        <v>88</v>
      </c>
      <c r="I156" s="3" t="s">
        <v>68</v>
      </c>
      <c r="J156" s="1">
        <v>5</v>
      </c>
      <c r="K156" s="1">
        <v>26</v>
      </c>
      <c r="L156" s="1">
        <v>25</v>
      </c>
      <c r="M156" s="3" t="s">
        <v>29</v>
      </c>
    </row>
    <row r="157" spans="1:13" x14ac:dyDescent="0.3">
      <c r="A157" s="1">
        <v>8</v>
      </c>
      <c r="B157" s="2">
        <v>46180</v>
      </c>
      <c r="C157" s="3" t="s">
        <v>27</v>
      </c>
      <c r="D157" s="3" t="s">
        <v>28</v>
      </c>
      <c r="E157" s="3" t="s">
        <v>94</v>
      </c>
      <c r="F157" s="1">
        <v>11</v>
      </c>
      <c r="G157" s="3" t="s">
        <v>95</v>
      </c>
      <c r="H157" s="3" t="s">
        <v>88</v>
      </c>
      <c r="I157" s="3" t="s">
        <v>96</v>
      </c>
      <c r="J157" s="1">
        <v>6</v>
      </c>
      <c r="K157" s="1">
        <v>26</v>
      </c>
      <c r="L157" s="1">
        <v>25</v>
      </c>
      <c r="M157" s="3" t="s">
        <v>29</v>
      </c>
    </row>
    <row r="158" spans="1:13" x14ac:dyDescent="0.3">
      <c r="A158" s="1">
        <v>8</v>
      </c>
      <c r="B158" s="2">
        <v>46180</v>
      </c>
      <c r="C158" s="3" t="s">
        <v>27</v>
      </c>
      <c r="D158" s="3" t="s">
        <v>28</v>
      </c>
      <c r="E158" s="3" t="s">
        <v>121</v>
      </c>
      <c r="F158" s="1">
        <v>27</v>
      </c>
      <c r="G158" s="3" t="s">
        <v>108</v>
      </c>
      <c r="H158" s="3" t="s">
        <v>80</v>
      </c>
      <c r="I158" s="3" t="s">
        <v>72</v>
      </c>
      <c r="J158" s="1">
        <v>7</v>
      </c>
      <c r="K158" s="1">
        <v>26</v>
      </c>
      <c r="L158" s="1">
        <v>25</v>
      </c>
      <c r="M158" s="3" t="s">
        <v>29</v>
      </c>
    </row>
    <row r="159" spans="1:13" x14ac:dyDescent="0.3">
      <c r="A159" s="1">
        <v>8</v>
      </c>
      <c r="B159" s="2">
        <v>46180</v>
      </c>
      <c r="C159" s="3" t="s">
        <v>27</v>
      </c>
      <c r="D159" s="3" t="s">
        <v>28</v>
      </c>
      <c r="E159" s="3" t="s">
        <v>105</v>
      </c>
      <c r="F159" s="1">
        <v>43</v>
      </c>
      <c r="G159" s="3" t="s">
        <v>103</v>
      </c>
      <c r="H159" s="3" t="s">
        <v>99</v>
      </c>
      <c r="I159" s="3" t="s">
        <v>106</v>
      </c>
      <c r="J159" s="1">
        <v>8</v>
      </c>
      <c r="K159" s="1">
        <v>26</v>
      </c>
      <c r="L159" s="1">
        <v>25</v>
      </c>
      <c r="M159" s="3" t="s">
        <v>29</v>
      </c>
    </row>
    <row r="160" spans="1:13" x14ac:dyDescent="0.3">
      <c r="A160" s="1">
        <v>8</v>
      </c>
      <c r="B160" s="2">
        <v>46180</v>
      </c>
      <c r="C160" s="3" t="s">
        <v>27</v>
      </c>
      <c r="D160" s="3" t="s">
        <v>28</v>
      </c>
      <c r="E160" s="3" t="s">
        <v>92</v>
      </c>
      <c r="F160" s="1">
        <v>23</v>
      </c>
      <c r="G160" s="3" t="s">
        <v>93</v>
      </c>
      <c r="H160" s="3" t="s">
        <v>71</v>
      </c>
      <c r="I160" s="3" t="s">
        <v>68</v>
      </c>
      <c r="J160" s="1">
        <v>9</v>
      </c>
      <c r="K160" s="1">
        <v>26</v>
      </c>
      <c r="L160" s="1">
        <v>24</v>
      </c>
      <c r="M160" s="3" t="s">
        <v>29</v>
      </c>
    </row>
    <row r="161" spans="1:13" x14ac:dyDescent="0.3">
      <c r="A161" s="1">
        <v>8</v>
      </c>
      <c r="B161" s="2">
        <v>46180</v>
      </c>
      <c r="C161" s="3" t="s">
        <v>27</v>
      </c>
      <c r="D161" s="3" t="s">
        <v>28</v>
      </c>
      <c r="E161" s="3" t="s">
        <v>81</v>
      </c>
      <c r="F161" s="1">
        <v>33</v>
      </c>
      <c r="G161" s="3" t="s">
        <v>70</v>
      </c>
      <c r="H161" s="3" t="s">
        <v>71</v>
      </c>
      <c r="I161" s="3" t="s">
        <v>82</v>
      </c>
      <c r="J161" s="1">
        <v>10</v>
      </c>
      <c r="K161" s="1">
        <v>26</v>
      </c>
      <c r="L161" s="1">
        <v>25</v>
      </c>
      <c r="M161" s="3" t="s">
        <v>29</v>
      </c>
    </row>
    <row r="162" spans="1:13" x14ac:dyDescent="0.3">
      <c r="A162" s="1">
        <v>8</v>
      </c>
      <c r="B162" s="2">
        <v>46180</v>
      </c>
      <c r="C162" s="3" t="s">
        <v>27</v>
      </c>
      <c r="D162" s="3" t="s">
        <v>28</v>
      </c>
      <c r="E162" s="3" t="s">
        <v>102</v>
      </c>
      <c r="F162" s="1">
        <v>7</v>
      </c>
      <c r="G162" s="3" t="s">
        <v>103</v>
      </c>
      <c r="H162" s="3" t="s">
        <v>99</v>
      </c>
      <c r="I162" s="3" t="s">
        <v>104</v>
      </c>
      <c r="J162" s="1">
        <v>11</v>
      </c>
      <c r="K162" s="1">
        <v>26</v>
      </c>
      <c r="L162" s="1">
        <v>20</v>
      </c>
      <c r="M162" s="3" t="s">
        <v>29</v>
      </c>
    </row>
    <row r="163" spans="1:13" x14ac:dyDescent="0.3">
      <c r="A163" s="1">
        <v>8</v>
      </c>
      <c r="B163" s="2">
        <v>46180</v>
      </c>
      <c r="C163" s="3" t="s">
        <v>27</v>
      </c>
      <c r="D163" s="3" t="s">
        <v>28</v>
      </c>
      <c r="E163" s="3" t="s">
        <v>78</v>
      </c>
      <c r="F163" s="1">
        <v>49</v>
      </c>
      <c r="G163" s="3" t="s">
        <v>79</v>
      </c>
      <c r="H163" s="3" t="s">
        <v>80</v>
      </c>
      <c r="I163" s="3" t="s">
        <v>68</v>
      </c>
      <c r="J163" s="1">
        <v>12</v>
      </c>
      <c r="K163" s="1">
        <v>26</v>
      </c>
      <c r="L163" s="1">
        <v>24</v>
      </c>
      <c r="M163" s="3" t="s">
        <v>29</v>
      </c>
    </row>
    <row r="164" spans="1:13" x14ac:dyDescent="0.3">
      <c r="A164" s="1">
        <v>8</v>
      </c>
      <c r="B164" s="2">
        <v>46180</v>
      </c>
      <c r="C164" s="3" t="s">
        <v>27</v>
      </c>
      <c r="D164" s="3" t="s">
        <v>28</v>
      </c>
      <c r="E164" s="3" t="s">
        <v>100</v>
      </c>
      <c r="F164" s="1">
        <v>42</v>
      </c>
      <c r="G164" s="3" t="s">
        <v>98</v>
      </c>
      <c r="H164" s="3" t="s">
        <v>99</v>
      </c>
      <c r="I164" s="3" t="s">
        <v>72</v>
      </c>
      <c r="J164" s="1">
        <v>13</v>
      </c>
      <c r="K164" s="1">
        <v>26</v>
      </c>
      <c r="L164" s="1">
        <v>25</v>
      </c>
      <c r="M164" s="3" t="s">
        <v>29</v>
      </c>
    </row>
    <row r="165" spans="1:13" x14ac:dyDescent="0.3">
      <c r="A165" s="1">
        <v>8</v>
      </c>
      <c r="B165" s="2">
        <v>46180</v>
      </c>
      <c r="C165" s="3" t="s">
        <v>27</v>
      </c>
      <c r="D165" s="3" t="s">
        <v>28</v>
      </c>
      <c r="E165" s="3" t="s">
        <v>83</v>
      </c>
      <c r="F165" s="1">
        <v>21</v>
      </c>
      <c r="G165" s="3" t="s">
        <v>79</v>
      </c>
      <c r="H165" s="3" t="s">
        <v>80</v>
      </c>
      <c r="I165" s="3" t="s">
        <v>68</v>
      </c>
      <c r="J165" s="1">
        <v>14</v>
      </c>
      <c r="K165" s="1">
        <v>26</v>
      </c>
      <c r="L165" s="1">
        <v>25</v>
      </c>
      <c r="M165" s="3" t="s">
        <v>29</v>
      </c>
    </row>
    <row r="166" spans="1:13" x14ac:dyDescent="0.3">
      <c r="A166" s="1">
        <v>8</v>
      </c>
      <c r="B166" s="2">
        <v>46180</v>
      </c>
      <c r="C166" s="3" t="s">
        <v>27</v>
      </c>
      <c r="D166" s="3" t="s">
        <v>28</v>
      </c>
      <c r="E166" s="3" t="s">
        <v>101</v>
      </c>
      <c r="F166" s="1">
        <v>12</v>
      </c>
      <c r="G166" s="3" t="s">
        <v>93</v>
      </c>
      <c r="H166" s="3" t="s">
        <v>71</v>
      </c>
      <c r="I166" s="3" t="s">
        <v>72</v>
      </c>
      <c r="J166" s="1">
        <v>15</v>
      </c>
      <c r="K166" s="1">
        <v>26</v>
      </c>
      <c r="L166" s="1">
        <v>20</v>
      </c>
      <c r="M166" s="3" t="s">
        <v>29</v>
      </c>
    </row>
    <row r="167" spans="1:13" x14ac:dyDescent="0.3">
      <c r="A167" s="1">
        <v>8</v>
      </c>
      <c r="B167" s="2">
        <v>46180</v>
      </c>
      <c r="C167" s="3" t="s">
        <v>27</v>
      </c>
      <c r="D167" s="3" t="s">
        <v>28</v>
      </c>
      <c r="E167" s="3" t="s">
        <v>118</v>
      </c>
      <c r="F167" s="1">
        <v>35</v>
      </c>
      <c r="G167" s="3" t="s">
        <v>90</v>
      </c>
      <c r="H167" s="3" t="s">
        <v>88</v>
      </c>
      <c r="I167" s="3" t="s">
        <v>119</v>
      </c>
      <c r="J167" s="1">
        <v>16</v>
      </c>
      <c r="K167" s="1">
        <v>26</v>
      </c>
      <c r="L167" s="1">
        <v>24</v>
      </c>
      <c r="M167" s="3" t="s">
        <v>29</v>
      </c>
    </row>
    <row r="168" spans="1:13" x14ac:dyDescent="0.3">
      <c r="A168" s="1">
        <v>8</v>
      </c>
      <c r="B168" s="2">
        <v>46180</v>
      </c>
      <c r="C168" s="3" t="s">
        <v>27</v>
      </c>
      <c r="D168" s="3" t="s">
        <v>28</v>
      </c>
      <c r="E168" s="3" t="s">
        <v>97</v>
      </c>
      <c r="F168" s="1">
        <v>20</v>
      </c>
      <c r="G168" s="3" t="s">
        <v>98</v>
      </c>
      <c r="H168" s="3" t="s">
        <v>99</v>
      </c>
      <c r="I168" s="3" t="s">
        <v>91</v>
      </c>
      <c r="J168" s="1">
        <v>17</v>
      </c>
      <c r="K168" s="1">
        <v>22</v>
      </c>
      <c r="L168" s="1">
        <v>14</v>
      </c>
      <c r="M168" s="3" t="s">
        <v>29</v>
      </c>
    </row>
    <row r="169" spans="1:13" x14ac:dyDescent="0.3">
      <c r="A169" s="1">
        <v>8</v>
      </c>
      <c r="B169" s="2">
        <v>46180</v>
      </c>
      <c r="C169" s="3" t="s">
        <v>27</v>
      </c>
      <c r="D169" s="3" t="s">
        <v>28</v>
      </c>
      <c r="E169" s="3" t="s">
        <v>109</v>
      </c>
      <c r="F169" s="1">
        <v>36</v>
      </c>
      <c r="G169" s="3" t="s">
        <v>87</v>
      </c>
      <c r="H169" s="3" t="s">
        <v>88</v>
      </c>
      <c r="I169" s="3" t="s">
        <v>72</v>
      </c>
      <c r="J169" s="1">
        <v>18</v>
      </c>
      <c r="K169" s="1">
        <v>14</v>
      </c>
      <c r="L169" s="1">
        <v>13</v>
      </c>
      <c r="M169" s="3" t="s">
        <v>29</v>
      </c>
    </row>
    <row r="170" spans="1:13" x14ac:dyDescent="0.3">
      <c r="A170" s="1">
        <v>9</v>
      </c>
      <c r="B170" s="2">
        <v>46194</v>
      </c>
      <c r="C170" s="3" t="s">
        <v>30</v>
      </c>
      <c r="D170" s="3" t="s">
        <v>31</v>
      </c>
      <c r="E170" s="3" t="s">
        <v>111</v>
      </c>
      <c r="F170" s="1">
        <v>93</v>
      </c>
      <c r="G170" s="3" t="s">
        <v>85</v>
      </c>
      <c r="H170" s="3" t="s">
        <v>80</v>
      </c>
      <c r="I170" s="3" t="s">
        <v>72</v>
      </c>
      <c r="J170" s="1">
        <v>1</v>
      </c>
      <c r="K170" s="1">
        <v>21</v>
      </c>
      <c r="L170" s="1">
        <v>20</v>
      </c>
      <c r="M170" s="3" t="s">
        <v>32</v>
      </c>
    </row>
    <row r="171" spans="1:13" x14ac:dyDescent="0.3">
      <c r="A171" s="1">
        <v>9</v>
      </c>
      <c r="B171" s="2">
        <v>46194</v>
      </c>
      <c r="C171" s="3" t="s">
        <v>30</v>
      </c>
      <c r="D171" s="3" t="s">
        <v>31</v>
      </c>
      <c r="E171" s="3" t="s">
        <v>76</v>
      </c>
      <c r="F171" s="1">
        <v>79</v>
      </c>
      <c r="G171" s="3" t="s">
        <v>120</v>
      </c>
      <c r="H171" s="3" t="s">
        <v>67</v>
      </c>
      <c r="I171" s="3" t="s">
        <v>77</v>
      </c>
      <c r="J171" s="1">
        <v>2</v>
      </c>
      <c r="K171" s="1">
        <v>21</v>
      </c>
      <c r="L171" s="1">
        <v>20</v>
      </c>
      <c r="M171" s="3" t="s">
        <v>32</v>
      </c>
    </row>
    <row r="172" spans="1:13" x14ac:dyDescent="0.3">
      <c r="A172" s="1">
        <v>9</v>
      </c>
      <c r="B172" s="2">
        <v>46194</v>
      </c>
      <c r="C172" s="3" t="s">
        <v>30</v>
      </c>
      <c r="D172" s="3" t="s">
        <v>31</v>
      </c>
      <c r="E172" s="3" t="s">
        <v>84</v>
      </c>
      <c r="F172" s="1">
        <v>63</v>
      </c>
      <c r="G172" s="3" t="s">
        <v>85</v>
      </c>
      <c r="H172" s="3" t="s">
        <v>80</v>
      </c>
      <c r="I172" s="3" t="s">
        <v>68</v>
      </c>
      <c r="J172" s="1">
        <v>3</v>
      </c>
      <c r="K172" s="1">
        <v>21</v>
      </c>
      <c r="L172" s="1">
        <v>20</v>
      </c>
      <c r="M172" s="3" t="s">
        <v>32</v>
      </c>
    </row>
    <row r="173" spans="1:13" x14ac:dyDescent="0.3">
      <c r="A173" s="1">
        <v>9</v>
      </c>
      <c r="B173" s="2">
        <v>46194</v>
      </c>
      <c r="C173" s="3" t="s">
        <v>30</v>
      </c>
      <c r="D173" s="3" t="s">
        <v>31</v>
      </c>
      <c r="E173" s="3" t="s">
        <v>78</v>
      </c>
      <c r="F173" s="1">
        <v>49</v>
      </c>
      <c r="G173" s="3" t="s">
        <v>79</v>
      </c>
      <c r="H173" s="3" t="s">
        <v>80</v>
      </c>
      <c r="I173" s="3" t="s">
        <v>68</v>
      </c>
      <c r="J173" s="1">
        <v>4</v>
      </c>
      <c r="K173" s="1">
        <v>21</v>
      </c>
      <c r="L173" s="1">
        <v>19</v>
      </c>
      <c r="M173" s="3" t="s">
        <v>32</v>
      </c>
    </row>
    <row r="174" spans="1:13" x14ac:dyDescent="0.3">
      <c r="A174" s="1">
        <v>9</v>
      </c>
      <c r="B174" s="2">
        <v>46194</v>
      </c>
      <c r="C174" s="3" t="s">
        <v>30</v>
      </c>
      <c r="D174" s="3" t="s">
        <v>31</v>
      </c>
      <c r="E174" s="3" t="s">
        <v>109</v>
      </c>
      <c r="F174" s="1">
        <v>36</v>
      </c>
      <c r="G174" s="3" t="s">
        <v>87</v>
      </c>
      <c r="H174" s="3" t="s">
        <v>88</v>
      </c>
      <c r="I174" s="3" t="s">
        <v>72</v>
      </c>
      <c r="J174" s="1">
        <v>5</v>
      </c>
      <c r="K174" s="1">
        <v>21</v>
      </c>
      <c r="L174" s="1">
        <v>19</v>
      </c>
      <c r="M174" s="3" t="s">
        <v>32</v>
      </c>
    </row>
    <row r="175" spans="1:13" x14ac:dyDescent="0.3">
      <c r="A175" s="1">
        <v>9</v>
      </c>
      <c r="B175" s="2">
        <v>46194</v>
      </c>
      <c r="C175" s="3" t="s">
        <v>30</v>
      </c>
      <c r="D175" s="3" t="s">
        <v>31</v>
      </c>
      <c r="E175" s="3" t="s">
        <v>112</v>
      </c>
      <c r="F175" s="1">
        <v>54</v>
      </c>
      <c r="G175" s="3" t="s">
        <v>108</v>
      </c>
      <c r="H175" s="3" t="s">
        <v>80</v>
      </c>
      <c r="I175" s="3" t="s">
        <v>72</v>
      </c>
      <c r="J175" s="1">
        <v>6</v>
      </c>
      <c r="K175" s="1">
        <v>21</v>
      </c>
      <c r="L175" s="1">
        <v>17</v>
      </c>
      <c r="M175" s="3" t="s">
        <v>32</v>
      </c>
    </row>
    <row r="176" spans="1:13" x14ac:dyDescent="0.3">
      <c r="A176" s="1">
        <v>9</v>
      </c>
      <c r="B176" s="2">
        <v>46194</v>
      </c>
      <c r="C176" s="3" t="s">
        <v>30</v>
      </c>
      <c r="D176" s="3" t="s">
        <v>31</v>
      </c>
      <c r="E176" s="3" t="s">
        <v>73</v>
      </c>
      <c r="F176" s="1">
        <v>25</v>
      </c>
      <c r="G176" s="3" t="s">
        <v>120</v>
      </c>
      <c r="H176" s="3" t="s">
        <v>67</v>
      </c>
      <c r="I176" s="3" t="s">
        <v>72</v>
      </c>
      <c r="J176" s="1">
        <v>7</v>
      </c>
      <c r="K176" s="1">
        <v>21</v>
      </c>
      <c r="L176" s="1">
        <v>19</v>
      </c>
      <c r="M176" s="3" t="s">
        <v>32</v>
      </c>
    </row>
    <row r="177" spans="1:13" x14ac:dyDescent="0.3">
      <c r="A177" s="1">
        <v>9</v>
      </c>
      <c r="B177" s="2">
        <v>46194</v>
      </c>
      <c r="C177" s="3" t="s">
        <v>30</v>
      </c>
      <c r="D177" s="3" t="s">
        <v>31</v>
      </c>
      <c r="E177" s="3" t="s">
        <v>86</v>
      </c>
      <c r="F177" s="1">
        <v>10</v>
      </c>
      <c r="G177" s="3" t="s">
        <v>87</v>
      </c>
      <c r="H177" s="3" t="s">
        <v>88</v>
      </c>
      <c r="I177" s="3" t="s">
        <v>68</v>
      </c>
      <c r="J177" s="1">
        <v>8</v>
      </c>
      <c r="K177" s="1">
        <v>21</v>
      </c>
      <c r="L177" s="1">
        <v>19</v>
      </c>
      <c r="M177" s="3" t="s">
        <v>32</v>
      </c>
    </row>
    <row r="178" spans="1:13" x14ac:dyDescent="0.3">
      <c r="A178" s="1">
        <v>9</v>
      </c>
      <c r="B178" s="2">
        <v>46194</v>
      </c>
      <c r="C178" s="3" t="s">
        <v>30</v>
      </c>
      <c r="D178" s="3" t="s">
        <v>31</v>
      </c>
      <c r="E178" s="3" t="s">
        <v>75</v>
      </c>
      <c r="F178" s="1">
        <v>89</v>
      </c>
      <c r="G178" s="3" t="s">
        <v>66</v>
      </c>
      <c r="H178" s="3" t="s">
        <v>67</v>
      </c>
      <c r="I178" s="3" t="s">
        <v>72</v>
      </c>
      <c r="J178" s="1">
        <v>9</v>
      </c>
      <c r="K178" s="1">
        <v>21</v>
      </c>
      <c r="L178" s="1">
        <v>17</v>
      </c>
      <c r="M178" s="3" t="s">
        <v>32</v>
      </c>
    </row>
    <row r="179" spans="1:13" x14ac:dyDescent="0.3">
      <c r="A179" s="1">
        <v>9</v>
      </c>
      <c r="B179" s="2">
        <v>46194</v>
      </c>
      <c r="C179" s="3" t="s">
        <v>30</v>
      </c>
      <c r="D179" s="3" t="s">
        <v>31</v>
      </c>
      <c r="E179" s="3" t="s">
        <v>92</v>
      </c>
      <c r="F179" s="1">
        <v>23</v>
      </c>
      <c r="G179" s="3" t="s">
        <v>93</v>
      </c>
      <c r="H179" s="3" t="s">
        <v>71</v>
      </c>
      <c r="I179" s="3" t="s">
        <v>68</v>
      </c>
      <c r="J179" s="1">
        <v>10</v>
      </c>
      <c r="K179" s="1">
        <v>21</v>
      </c>
      <c r="L179" s="1">
        <v>20</v>
      </c>
      <c r="M179" s="3" t="s">
        <v>32</v>
      </c>
    </row>
    <row r="180" spans="1:13" x14ac:dyDescent="0.3">
      <c r="A180" s="1">
        <v>9</v>
      </c>
      <c r="B180" s="2">
        <v>46194</v>
      </c>
      <c r="C180" s="3" t="s">
        <v>30</v>
      </c>
      <c r="D180" s="3" t="s">
        <v>31</v>
      </c>
      <c r="E180" s="3" t="s">
        <v>94</v>
      </c>
      <c r="F180" s="1">
        <v>11</v>
      </c>
      <c r="G180" s="3" t="s">
        <v>95</v>
      </c>
      <c r="H180" s="3" t="s">
        <v>88</v>
      </c>
      <c r="I180" s="3" t="s">
        <v>96</v>
      </c>
      <c r="J180" s="1">
        <v>11</v>
      </c>
      <c r="K180" s="1">
        <v>21</v>
      </c>
      <c r="L180" s="1">
        <v>18</v>
      </c>
      <c r="M180" s="3" t="s">
        <v>32</v>
      </c>
    </row>
    <row r="181" spans="1:13" x14ac:dyDescent="0.3">
      <c r="A181" s="1">
        <v>9</v>
      </c>
      <c r="B181" s="2">
        <v>46194</v>
      </c>
      <c r="C181" s="3" t="s">
        <v>30</v>
      </c>
      <c r="D181" s="3" t="s">
        <v>31</v>
      </c>
      <c r="E181" s="3" t="s">
        <v>81</v>
      </c>
      <c r="F181" s="1">
        <v>33</v>
      </c>
      <c r="G181" s="3" t="s">
        <v>70</v>
      </c>
      <c r="H181" s="3" t="s">
        <v>71</v>
      </c>
      <c r="I181" s="3" t="s">
        <v>82</v>
      </c>
      <c r="J181" s="1">
        <v>12</v>
      </c>
      <c r="K181" s="1">
        <v>21</v>
      </c>
      <c r="L181" s="1">
        <v>20</v>
      </c>
      <c r="M181" s="3" t="s">
        <v>32</v>
      </c>
    </row>
    <row r="182" spans="1:13" x14ac:dyDescent="0.3">
      <c r="A182" s="1">
        <v>9</v>
      </c>
      <c r="B182" s="2">
        <v>46194</v>
      </c>
      <c r="C182" s="3" t="s">
        <v>30</v>
      </c>
      <c r="D182" s="3" t="s">
        <v>31</v>
      </c>
      <c r="E182" s="3" t="s">
        <v>83</v>
      </c>
      <c r="F182" s="1">
        <v>21</v>
      </c>
      <c r="G182" s="3" t="s">
        <v>79</v>
      </c>
      <c r="H182" s="3" t="s">
        <v>80</v>
      </c>
      <c r="I182" s="3" t="s">
        <v>68</v>
      </c>
      <c r="J182" s="1">
        <v>13</v>
      </c>
      <c r="K182" s="1">
        <v>21</v>
      </c>
      <c r="L182" s="1">
        <v>20</v>
      </c>
      <c r="M182" s="3" t="s">
        <v>32</v>
      </c>
    </row>
    <row r="183" spans="1:13" x14ac:dyDescent="0.3">
      <c r="A183" s="1">
        <v>9</v>
      </c>
      <c r="B183" s="2">
        <v>46194</v>
      </c>
      <c r="C183" s="3" t="s">
        <v>30</v>
      </c>
      <c r="D183" s="3" t="s">
        <v>31</v>
      </c>
      <c r="E183" s="3" t="s">
        <v>102</v>
      </c>
      <c r="F183" s="1">
        <v>7</v>
      </c>
      <c r="G183" s="3" t="s">
        <v>103</v>
      </c>
      <c r="H183" s="3" t="s">
        <v>99</v>
      </c>
      <c r="I183" s="3" t="s">
        <v>104</v>
      </c>
      <c r="J183" s="1">
        <v>14</v>
      </c>
      <c r="K183" s="1">
        <v>21</v>
      </c>
      <c r="L183" s="1">
        <v>16</v>
      </c>
      <c r="M183" s="3" t="s">
        <v>32</v>
      </c>
    </row>
    <row r="184" spans="1:13" x14ac:dyDescent="0.3">
      <c r="A184" s="1">
        <v>9</v>
      </c>
      <c r="B184" s="2">
        <v>46194</v>
      </c>
      <c r="C184" s="3" t="s">
        <v>30</v>
      </c>
      <c r="D184" s="3" t="s">
        <v>31</v>
      </c>
      <c r="E184" s="3" t="s">
        <v>101</v>
      </c>
      <c r="F184" s="1">
        <v>12</v>
      </c>
      <c r="G184" s="3" t="s">
        <v>93</v>
      </c>
      <c r="H184" s="3" t="s">
        <v>71</v>
      </c>
      <c r="I184" s="3" t="s">
        <v>72</v>
      </c>
      <c r="J184" s="1">
        <v>15</v>
      </c>
      <c r="K184" s="1">
        <v>21</v>
      </c>
      <c r="L184" s="1">
        <v>19</v>
      </c>
      <c r="M184" s="3" t="s">
        <v>32</v>
      </c>
    </row>
    <row r="185" spans="1:13" x14ac:dyDescent="0.3">
      <c r="A185" s="1">
        <v>9</v>
      </c>
      <c r="B185" s="2">
        <v>46194</v>
      </c>
      <c r="C185" s="3" t="s">
        <v>30</v>
      </c>
      <c r="D185" s="3" t="s">
        <v>31</v>
      </c>
      <c r="E185" s="3" t="s">
        <v>105</v>
      </c>
      <c r="F185" s="1">
        <v>43</v>
      </c>
      <c r="G185" s="3" t="s">
        <v>103</v>
      </c>
      <c r="H185" s="3" t="s">
        <v>99</v>
      </c>
      <c r="I185" s="3" t="s">
        <v>106</v>
      </c>
      <c r="J185" s="1">
        <v>16</v>
      </c>
      <c r="K185" s="1">
        <v>21</v>
      </c>
      <c r="L185" s="1">
        <v>20</v>
      </c>
      <c r="M185" s="3" t="s">
        <v>32</v>
      </c>
    </row>
    <row r="186" spans="1:13" x14ac:dyDescent="0.3">
      <c r="A186" s="1">
        <v>9</v>
      </c>
      <c r="B186" s="2">
        <v>46194</v>
      </c>
      <c r="C186" s="3" t="s">
        <v>30</v>
      </c>
      <c r="D186" s="3" t="s">
        <v>31</v>
      </c>
      <c r="E186" s="3" t="s">
        <v>118</v>
      </c>
      <c r="F186" s="1">
        <v>35</v>
      </c>
      <c r="G186" s="3" t="s">
        <v>90</v>
      </c>
      <c r="H186" s="3" t="s">
        <v>88</v>
      </c>
      <c r="I186" s="3" t="s">
        <v>119</v>
      </c>
      <c r="J186" s="1">
        <v>17</v>
      </c>
      <c r="K186" s="1">
        <v>21</v>
      </c>
      <c r="L186" s="1">
        <v>18</v>
      </c>
      <c r="M186" s="3" t="s">
        <v>32</v>
      </c>
    </row>
    <row r="187" spans="1:13" x14ac:dyDescent="0.3">
      <c r="A187" s="1">
        <v>9</v>
      </c>
      <c r="B187" s="2">
        <v>46194</v>
      </c>
      <c r="C187" s="3" t="s">
        <v>30</v>
      </c>
      <c r="D187" s="3" t="s">
        <v>31</v>
      </c>
      <c r="E187" s="3" t="s">
        <v>69</v>
      </c>
      <c r="F187" s="1">
        <v>37</v>
      </c>
      <c r="G187" s="3" t="s">
        <v>70</v>
      </c>
      <c r="H187" s="3" t="s">
        <v>71</v>
      </c>
      <c r="I187" s="3" t="s">
        <v>72</v>
      </c>
      <c r="J187" s="1">
        <v>18</v>
      </c>
      <c r="K187" s="1">
        <v>20</v>
      </c>
      <c r="L187" s="1">
        <v>16</v>
      </c>
      <c r="M187" s="3" t="s">
        <v>32</v>
      </c>
    </row>
    <row r="188" spans="1:13" x14ac:dyDescent="0.3">
      <c r="A188" s="1">
        <v>9</v>
      </c>
      <c r="B188" s="2">
        <v>46194</v>
      </c>
      <c r="C188" s="3" t="s">
        <v>30</v>
      </c>
      <c r="D188" s="3" t="s">
        <v>31</v>
      </c>
      <c r="E188" s="3" t="s">
        <v>100</v>
      </c>
      <c r="F188" s="1">
        <v>42</v>
      </c>
      <c r="G188" s="3" t="s">
        <v>98</v>
      </c>
      <c r="H188" s="3" t="s">
        <v>99</v>
      </c>
      <c r="I188" s="3" t="s">
        <v>72</v>
      </c>
      <c r="J188" s="1">
        <v>19</v>
      </c>
      <c r="K188" s="1">
        <v>17</v>
      </c>
      <c r="L188" s="1">
        <v>15</v>
      </c>
      <c r="M188" s="3" t="s">
        <v>32</v>
      </c>
    </row>
    <row r="189" spans="1:13" x14ac:dyDescent="0.3">
      <c r="A189" s="1">
        <v>9</v>
      </c>
      <c r="B189" s="2">
        <v>46194</v>
      </c>
      <c r="C189" s="3" t="s">
        <v>30</v>
      </c>
      <c r="D189" s="3" t="s">
        <v>31</v>
      </c>
      <c r="E189" s="3" t="s">
        <v>97</v>
      </c>
      <c r="F189" s="1">
        <v>20</v>
      </c>
      <c r="G189" s="3" t="s">
        <v>98</v>
      </c>
      <c r="H189" s="3" t="s">
        <v>99</v>
      </c>
      <c r="I189" s="3" t="s">
        <v>91</v>
      </c>
      <c r="J189" s="1">
        <v>20</v>
      </c>
      <c r="K189" s="1">
        <v>1</v>
      </c>
      <c r="L189" s="1">
        <v>0</v>
      </c>
      <c r="M189" s="3" t="s">
        <v>32</v>
      </c>
    </row>
    <row r="190" spans="1:13" x14ac:dyDescent="0.3">
      <c r="A190" s="1">
        <v>10</v>
      </c>
      <c r="B190" s="2">
        <v>46201</v>
      </c>
      <c r="C190" s="3" t="s">
        <v>33</v>
      </c>
      <c r="D190" s="3" t="s">
        <v>34</v>
      </c>
      <c r="E190" s="3" t="s">
        <v>76</v>
      </c>
      <c r="F190" s="1">
        <v>79</v>
      </c>
      <c r="G190" s="3" t="s">
        <v>120</v>
      </c>
      <c r="H190" s="3" t="s">
        <v>67</v>
      </c>
      <c r="I190" s="3" t="s">
        <v>77</v>
      </c>
      <c r="J190" s="1">
        <v>1</v>
      </c>
      <c r="K190" s="1">
        <v>26</v>
      </c>
      <c r="L190" s="1">
        <v>25</v>
      </c>
      <c r="M190" s="3" t="s">
        <v>35</v>
      </c>
    </row>
    <row r="191" spans="1:13" x14ac:dyDescent="0.3">
      <c r="A191" s="1">
        <v>10</v>
      </c>
      <c r="B191" s="2">
        <v>46201</v>
      </c>
      <c r="C191" s="3" t="s">
        <v>33</v>
      </c>
      <c r="D191" s="3" t="s">
        <v>34</v>
      </c>
      <c r="E191" s="3" t="s">
        <v>73</v>
      </c>
      <c r="F191" s="1">
        <v>25</v>
      </c>
      <c r="G191" s="3" t="s">
        <v>120</v>
      </c>
      <c r="H191" s="3" t="s">
        <v>67</v>
      </c>
      <c r="I191" s="3" t="s">
        <v>72</v>
      </c>
      <c r="J191" s="1">
        <v>2</v>
      </c>
      <c r="K191" s="1">
        <v>26</v>
      </c>
      <c r="L191" s="1">
        <v>24</v>
      </c>
      <c r="M191" s="3" t="s">
        <v>35</v>
      </c>
    </row>
    <row r="192" spans="1:13" x14ac:dyDescent="0.3">
      <c r="A192" s="1">
        <v>10</v>
      </c>
      <c r="B192" s="2">
        <v>46201</v>
      </c>
      <c r="C192" s="3" t="s">
        <v>33</v>
      </c>
      <c r="D192" s="3" t="s">
        <v>34</v>
      </c>
      <c r="E192" s="3" t="s">
        <v>75</v>
      </c>
      <c r="F192" s="1">
        <v>89</v>
      </c>
      <c r="G192" s="3" t="s">
        <v>66</v>
      </c>
      <c r="H192" s="3" t="s">
        <v>67</v>
      </c>
      <c r="I192" s="3" t="s">
        <v>72</v>
      </c>
      <c r="J192" s="1">
        <v>3</v>
      </c>
      <c r="K192" s="1">
        <v>26</v>
      </c>
      <c r="L192" s="1">
        <v>24</v>
      </c>
      <c r="M192" s="3" t="s">
        <v>35</v>
      </c>
    </row>
    <row r="193" spans="1:13" x14ac:dyDescent="0.3">
      <c r="A193" s="1">
        <v>10</v>
      </c>
      <c r="B193" s="2">
        <v>46201</v>
      </c>
      <c r="C193" s="3" t="s">
        <v>33</v>
      </c>
      <c r="D193" s="3" t="s">
        <v>34</v>
      </c>
      <c r="E193" s="3" t="s">
        <v>78</v>
      </c>
      <c r="F193" s="1">
        <v>49</v>
      </c>
      <c r="G193" s="3" t="s">
        <v>79</v>
      </c>
      <c r="H193" s="3" t="s">
        <v>80</v>
      </c>
      <c r="I193" s="3" t="s">
        <v>68</v>
      </c>
      <c r="J193" s="1">
        <v>4</v>
      </c>
      <c r="K193" s="1">
        <v>26</v>
      </c>
      <c r="L193" s="1">
        <v>23</v>
      </c>
      <c r="M193" s="3" t="s">
        <v>35</v>
      </c>
    </row>
    <row r="194" spans="1:13" x14ac:dyDescent="0.3">
      <c r="A194" s="1">
        <v>10</v>
      </c>
      <c r="B194" s="2">
        <v>46201</v>
      </c>
      <c r="C194" s="3" t="s">
        <v>33</v>
      </c>
      <c r="D194" s="3" t="s">
        <v>34</v>
      </c>
      <c r="E194" s="3" t="s">
        <v>110</v>
      </c>
      <c r="F194" s="1">
        <v>73</v>
      </c>
      <c r="G194" s="3" t="s">
        <v>108</v>
      </c>
      <c r="H194" s="3" t="s">
        <v>80</v>
      </c>
      <c r="I194" s="3" t="s">
        <v>72</v>
      </c>
      <c r="J194" s="1">
        <v>5</v>
      </c>
      <c r="K194" s="1">
        <v>26</v>
      </c>
      <c r="L194" s="1">
        <v>23</v>
      </c>
      <c r="M194" s="3" t="s">
        <v>35</v>
      </c>
    </row>
    <row r="195" spans="1:13" x14ac:dyDescent="0.3">
      <c r="A195" s="1">
        <v>10</v>
      </c>
      <c r="B195" s="2">
        <v>46201</v>
      </c>
      <c r="C195" s="3" t="s">
        <v>33</v>
      </c>
      <c r="D195" s="3" t="s">
        <v>34</v>
      </c>
      <c r="E195" s="3" t="s">
        <v>92</v>
      </c>
      <c r="F195" s="1">
        <v>23</v>
      </c>
      <c r="G195" s="3" t="s">
        <v>93</v>
      </c>
      <c r="H195" s="3" t="s">
        <v>71</v>
      </c>
      <c r="I195" s="3" t="s">
        <v>68</v>
      </c>
      <c r="J195" s="1">
        <v>6</v>
      </c>
      <c r="K195" s="1">
        <v>26</v>
      </c>
      <c r="L195" s="1">
        <v>25</v>
      </c>
      <c r="M195" s="3" t="s">
        <v>35</v>
      </c>
    </row>
    <row r="196" spans="1:13" x14ac:dyDescent="0.3">
      <c r="A196" s="1">
        <v>10</v>
      </c>
      <c r="B196" s="2">
        <v>46201</v>
      </c>
      <c r="C196" s="3" t="s">
        <v>33</v>
      </c>
      <c r="D196" s="3" t="s">
        <v>34</v>
      </c>
      <c r="E196" s="3" t="s">
        <v>111</v>
      </c>
      <c r="F196" s="1">
        <v>93</v>
      </c>
      <c r="G196" s="3" t="s">
        <v>85</v>
      </c>
      <c r="H196" s="3" t="s">
        <v>80</v>
      </c>
      <c r="I196" s="3" t="s">
        <v>72</v>
      </c>
      <c r="J196" s="1">
        <v>7</v>
      </c>
      <c r="K196" s="1">
        <v>26</v>
      </c>
      <c r="L196" s="1">
        <v>23</v>
      </c>
      <c r="M196" s="3" t="s">
        <v>35</v>
      </c>
    </row>
    <row r="197" spans="1:13" x14ac:dyDescent="0.3">
      <c r="A197" s="1">
        <v>10</v>
      </c>
      <c r="B197" s="2">
        <v>46201</v>
      </c>
      <c r="C197" s="3" t="s">
        <v>33</v>
      </c>
      <c r="D197" s="3" t="s">
        <v>34</v>
      </c>
      <c r="E197" s="3" t="s">
        <v>97</v>
      </c>
      <c r="F197" s="1">
        <v>20</v>
      </c>
      <c r="G197" s="3" t="s">
        <v>98</v>
      </c>
      <c r="H197" s="3" t="s">
        <v>99</v>
      </c>
      <c r="I197" s="3" t="s">
        <v>91</v>
      </c>
      <c r="J197" s="1">
        <v>8</v>
      </c>
      <c r="K197" s="1">
        <v>26</v>
      </c>
      <c r="L197" s="1">
        <v>23</v>
      </c>
      <c r="M197" s="3" t="s">
        <v>35</v>
      </c>
    </row>
    <row r="198" spans="1:13" x14ac:dyDescent="0.3">
      <c r="A198" s="1">
        <v>10</v>
      </c>
      <c r="B198" s="2">
        <v>46201</v>
      </c>
      <c r="C198" s="3" t="s">
        <v>33</v>
      </c>
      <c r="D198" s="3" t="s">
        <v>34</v>
      </c>
      <c r="E198" s="3" t="s">
        <v>81</v>
      </c>
      <c r="F198" s="1">
        <v>33</v>
      </c>
      <c r="G198" s="3" t="s">
        <v>70</v>
      </c>
      <c r="H198" s="3" t="s">
        <v>71</v>
      </c>
      <c r="I198" s="3" t="s">
        <v>82</v>
      </c>
      <c r="J198" s="1">
        <v>9</v>
      </c>
      <c r="K198" s="1">
        <v>26</v>
      </c>
      <c r="L198" s="1">
        <v>22</v>
      </c>
      <c r="M198" s="3" t="s">
        <v>35</v>
      </c>
    </row>
    <row r="199" spans="1:13" x14ac:dyDescent="0.3">
      <c r="A199" s="1">
        <v>10</v>
      </c>
      <c r="B199" s="2">
        <v>46201</v>
      </c>
      <c r="C199" s="3" t="s">
        <v>33</v>
      </c>
      <c r="D199" s="3" t="s">
        <v>34</v>
      </c>
      <c r="E199" s="3" t="s">
        <v>100</v>
      </c>
      <c r="F199" s="1">
        <v>42</v>
      </c>
      <c r="G199" s="3" t="s">
        <v>98</v>
      </c>
      <c r="H199" s="3" t="s">
        <v>99</v>
      </c>
      <c r="I199" s="3" t="s">
        <v>72</v>
      </c>
      <c r="J199" s="1">
        <v>10</v>
      </c>
      <c r="K199" s="1">
        <v>26</v>
      </c>
      <c r="L199" s="1">
        <v>24</v>
      </c>
      <c r="M199" s="3" t="s">
        <v>35</v>
      </c>
    </row>
    <row r="200" spans="1:13" x14ac:dyDescent="0.3">
      <c r="A200" s="1">
        <v>10</v>
      </c>
      <c r="B200" s="2">
        <v>46201</v>
      </c>
      <c r="C200" s="3" t="s">
        <v>33</v>
      </c>
      <c r="D200" s="3" t="s">
        <v>34</v>
      </c>
      <c r="E200" s="3" t="s">
        <v>86</v>
      </c>
      <c r="F200" s="1">
        <v>10</v>
      </c>
      <c r="G200" s="3" t="s">
        <v>87</v>
      </c>
      <c r="H200" s="3" t="s">
        <v>88</v>
      </c>
      <c r="I200" s="3" t="s">
        <v>68</v>
      </c>
      <c r="J200" s="1">
        <v>11</v>
      </c>
      <c r="K200" s="1">
        <v>26</v>
      </c>
      <c r="L200" s="1">
        <v>22</v>
      </c>
      <c r="M200" s="3" t="s">
        <v>35</v>
      </c>
    </row>
    <row r="201" spans="1:13" x14ac:dyDescent="0.3">
      <c r="A201" s="1">
        <v>10</v>
      </c>
      <c r="B201" s="2">
        <v>46201</v>
      </c>
      <c r="C201" s="3" t="s">
        <v>33</v>
      </c>
      <c r="D201" s="3" t="s">
        <v>34</v>
      </c>
      <c r="E201" s="3" t="s">
        <v>105</v>
      </c>
      <c r="F201" s="1">
        <v>43</v>
      </c>
      <c r="G201" s="3" t="s">
        <v>103</v>
      </c>
      <c r="H201" s="3" t="s">
        <v>99</v>
      </c>
      <c r="I201" s="3" t="s">
        <v>106</v>
      </c>
      <c r="J201" s="1">
        <v>12</v>
      </c>
      <c r="K201" s="1">
        <v>26</v>
      </c>
      <c r="L201" s="1">
        <v>25</v>
      </c>
      <c r="M201" s="3" t="s">
        <v>35</v>
      </c>
    </row>
    <row r="202" spans="1:13" x14ac:dyDescent="0.3">
      <c r="A202" s="1">
        <v>10</v>
      </c>
      <c r="B202" s="2">
        <v>46201</v>
      </c>
      <c r="C202" s="3" t="s">
        <v>33</v>
      </c>
      <c r="D202" s="3" t="s">
        <v>34</v>
      </c>
      <c r="E202" s="3" t="s">
        <v>101</v>
      </c>
      <c r="F202" s="1">
        <v>12</v>
      </c>
      <c r="G202" s="3" t="s">
        <v>93</v>
      </c>
      <c r="H202" s="3" t="s">
        <v>71</v>
      </c>
      <c r="I202" s="3" t="s">
        <v>72</v>
      </c>
      <c r="J202" s="1">
        <v>13</v>
      </c>
      <c r="K202" s="1">
        <v>26</v>
      </c>
      <c r="L202" s="1">
        <v>22</v>
      </c>
      <c r="M202" s="3" t="s">
        <v>35</v>
      </c>
    </row>
    <row r="203" spans="1:13" x14ac:dyDescent="0.3">
      <c r="A203" s="1">
        <v>10</v>
      </c>
      <c r="B203" s="2">
        <v>46201</v>
      </c>
      <c r="C203" s="3" t="s">
        <v>33</v>
      </c>
      <c r="D203" s="3" t="s">
        <v>34</v>
      </c>
      <c r="E203" s="3" t="s">
        <v>94</v>
      </c>
      <c r="F203" s="1">
        <v>11</v>
      </c>
      <c r="G203" s="3" t="s">
        <v>95</v>
      </c>
      <c r="H203" s="3" t="s">
        <v>88</v>
      </c>
      <c r="I203" s="3" t="s">
        <v>96</v>
      </c>
      <c r="J203" s="1">
        <v>14</v>
      </c>
      <c r="K203" s="1">
        <v>26</v>
      </c>
      <c r="L203" s="1">
        <v>25</v>
      </c>
      <c r="M203" s="3" t="s">
        <v>35</v>
      </c>
    </row>
    <row r="204" spans="1:13" x14ac:dyDescent="0.3">
      <c r="A204" s="1">
        <v>10</v>
      </c>
      <c r="B204" s="2">
        <v>46201</v>
      </c>
      <c r="C204" s="3" t="s">
        <v>33</v>
      </c>
      <c r="D204" s="3" t="s">
        <v>34</v>
      </c>
      <c r="E204" s="3" t="s">
        <v>113</v>
      </c>
      <c r="F204" s="1">
        <v>47</v>
      </c>
      <c r="G204" s="3" t="s">
        <v>114</v>
      </c>
      <c r="H204" s="3" t="s">
        <v>99</v>
      </c>
      <c r="I204" s="3" t="s">
        <v>72</v>
      </c>
      <c r="J204" s="1">
        <v>15</v>
      </c>
      <c r="K204" s="1">
        <v>26</v>
      </c>
      <c r="L204" s="1">
        <v>25</v>
      </c>
      <c r="M204" s="3" t="s">
        <v>35</v>
      </c>
    </row>
    <row r="205" spans="1:13" x14ac:dyDescent="0.3">
      <c r="A205" s="1">
        <v>10</v>
      </c>
      <c r="B205" s="2">
        <v>46201</v>
      </c>
      <c r="C205" s="3" t="s">
        <v>33</v>
      </c>
      <c r="D205" s="3" t="s">
        <v>34</v>
      </c>
      <c r="E205" s="3" t="s">
        <v>118</v>
      </c>
      <c r="F205" s="1">
        <v>35</v>
      </c>
      <c r="G205" s="3" t="s">
        <v>90</v>
      </c>
      <c r="H205" s="3" t="s">
        <v>88</v>
      </c>
      <c r="I205" s="3" t="s">
        <v>119</v>
      </c>
      <c r="J205" s="1">
        <v>16</v>
      </c>
      <c r="K205" s="1">
        <v>25</v>
      </c>
      <c r="L205" s="1">
        <v>18</v>
      </c>
      <c r="M205" s="3" t="s">
        <v>35</v>
      </c>
    </row>
    <row r="206" spans="1:13" x14ac:dyDescent="0.3">
      <c r="A206" s="1">
        <v>10</v>
      </c>
      <c r="B206" s="2">
        <v>46201</v>
      </c>
      <c r="C206" s="3" t="s">
        <v>33</v>
      </c>
      <c r="D206" s="3" t="s">
        <v>34</v>
      </c>
      <c r="E206" s="3" t="s">
        <v>84</v>
      </c>
      <c r="F206" s="1">
        <v>63</v>
      </c>
      <c r="G206" s="3" t="s">
        <v>85</v>
      </c>
      <c r="H206" s="3" t="s">
        <v>80</v>
      </c>
      <c r="I206" s="3" t="s">
        <v>68</v>
      </c>
      <c r="J206" s="1">
        <v>17</v>
      </c>
      <c r="K206" s="1">
        <v>15</v>
      </c>
      <c r="L206" s="1">
        <v>13</v>
      </c>
      <c r="M206" s="3" t="s">
        <v>35</v>
      </c>
    </row>
    <row r="207" spans="1:13" x14ac:dyDescent="0.3">
      <c r="A207" s="1">
        <v>10</v>
      </c>
      <c r="B207" s="2">
        <v>46201</v>
      </c>
      <c r="C207" s="3" t="s">
        <v>33</v>
      </c>
      <c r="D207" s="3" t="s">
        <v>34</v>
      </c>
      <c r="E207" s="3" t="s">
        <v>102</v>
      </c>
      <c r="F207" s="1">
        <v>7</v>
      </c>
      <c r="G207" s="3" t="s">
        <v>103</v>
      </c>
      <c r="H207" s="3" t="s">
        <v>99</v>
      </c>
      <c r="I207" s="3" t="s">
        <v>104</v>
      </c>
      <c r="J207" s="1">
        <v>18</v>
      </c>
      <c r="K207" s="1">
        <v>13</v>
      </c>
      <c r="L207" s="1">
        <v>11</v>
      </c>
      <c r="M207" s="3" t="s">
        <v>35</v>
      </c>
    </row>
    <row r="208" spans="1:13" x14ac:dyDescent="0.3">
      <c r="A208" s="1">
        <v>10</v>
      </c>
      <c r="B208" s="2">
        <v>46201</v>
      </c>
      <c r="C208" s="3" t="s">
        <v>33</v>
      </c>
      <c r="D208" s="3" t="s">
        <v>34</v>
      </c>
      <c r="E208" s="3" t="s">
        <v>69</v>
      </c>
      <c r="F208" s="1">
        <v>37</v>
      </c>
      <c r="G208" s="3" t="s">
        <v>70</v>
      </c>
      <c r="H208" s="3" t="s">
        <v>71</v>
      </c>
      <c r="I208" s="3" t="s">
        <v>72</v>
      </c>
      <c r="J208" s="1">
        <v>19</v>
      </c>
      <c r="K208" s="1">
        <v>13</v>
      </c>
      <c r="L208" s="1">
        <v>10</v>
      </c>
      <c r="M208" s="3" t="s">
        <v>35</v>
      </c>
    </row>
    <row r="209" spans="1:13" x14ac:dyDescent="0.3">
      <c r="A209" s="1">
        <v>10</v>
      </c>
      <c r="B209" s="2">
        <v>46201</v>
      </c>
      <c r="C209" s="3" t="s">
        <v>33</v>
      </c>
      <c r="D209" s="3" t="s">
        <v>34</v>
      </c>
      <c r="E209" s="3" t="s">
        <v>83</v>
      </c>
      <c r="F209" s="1">
        <v>21</v>
      </c>
      <c r="G209" s="3" t="s">
        <v>79</v>
      </c>
      <c r="H209" s="3" t="s">
        <v>80</v>
      </c>
      <c r="I209" s="3" t="s">
        <v>68</v>
      </c>
      <c r="J209" s="1">
        <v>20</v>
      </c>
      <c r="K209" s="1">
        <v>9</v>
      </c>
      <c r="L209" s="1">
        <v>7</v>
      </c>
      <c r="M209" s="3" t="s">
        <v>35</v>
      </c>
    </row>
    <row r="210" spans="1:13" x14ac:dyDescent="0.3">
      <c r="A210" s="1">
        <v>10</v>
      </c>
      <c r="B210" s="2">
        <v>46201</v>
      </c>
      <c r="C210" s="3" t="s">
        <v>33</v>
      </c>
      <c r="D210" s="3" t="s">
        <v>34</v>
      </c>
      <c r="E210" s="3" t="s">
        <v>65</v>
      </c>
      <c r="F210" s="1">
        <v>72</v>
      </c>
      <c r="G210" s="3" t="s">
        <v>66</v>
      </c>
      <c r="H210" s="3" t="s">
        <v>67</v>
      </c>
      <c r="I210" s="3" t="s">
        <v>68</v>
      </c>
      <c r="J210" s="1">
        <v>21</v>
      </c>
      <c r="K210" s="1">
        <v>1</v>
      </c>
      <c r="L210" s="1">
        <v>0</v>
      </c>
      <c r="M210" s="3" t="s">
        <v>35</v>
      </c>
    </row>
    <row r="211" spans="1:13" x14ac:dyDescent="0.3">
      <c r="A211" s="1">
        <v>10</v>
      </c>
      <c r="B211" s="2">
        <v>46201</v>
      </c>
      <c r="C211" s="3" t="s">
        <v>33</v>
      </c>
      <c r="D211" s="3" t="s">
        <v>34</v>
      </c>
      <c r="E211" s="3" t="s">
        <v>109</v>
      </c>
      <c r="F211" s="1">
        <v>36</v>
      </c>
      <c r="G211" s="3" t="s">
        <v>87</v>
      </c>
      <c r="H211" s="3" t="s">
        <v>88</v>
      </c>
      <c r="I211" s="3" t="s">
        <v>72</v>
      </c>
      <c r="J211" s="1">
        <v>22</v>
      </c>
      <c r="K211" s="1">
        <v>0</v>
      </c>
      <c r="L211" s="1">
        <v>0</v>
      </c>
      <c r="M211" s="3" t="s">
        <v>35</v>
      </c>
    </row>
    <row r="212" spans="1:13" x14ac:dyDescent="0.3">
      <c r="A212" s="1">
        <v>11</v>
      </c>
      <c r="B212" s="2">
        <v>46215</v>
      </c>
      <c r="C212" s="3" t="s">
        <v>36</v>
      </c>
      <c r="D212" s="3" t="s">
        <v>37</v>
      </c>
      <c r="E212" s="3" t="s">
        <v>111</v>
      </c>
      <c r="F212" s="1">
        <v>93</v>
      </c>
      <c r="G212" s="3" t="s">
        <v>85</v>
      </c>
      <c r="H212" s="3" t="s">
        <v>80</v>
      </c>
      <c r="I212" s="3" t="s">
        <v>72</v>
      </c>
      <c r="J212" s="1">
        <v>1</v>
      </c>
      <c r="K212" s="1">
        <v>30</v>
      </c>
      <c r="L212" s="1">
        <v>29</v>
      </c>
      <c r="M212" s="3" t="s">
        <v>38</v>
      </c>
    </row>
    <row r="213" spans="1:13" x14ac:dyDescent="0.3">
      <c r="A213" s="1">
        <v>11</v>
      </c>
      <c r="B213" s="2">
        <v>46215</v>
      </c>
      <c r="C213" s="3" t="s">
        <v>36</v>
      </c>
      <c r="D213" s="3" t="s">
        <v>37</v>
      </c>
      <c r="E213" s="3" t="s">
        <v>76</v>
      </c>
      <c r="F213" s="1">
        <v>79</v>
      </c>
      <c r="G213" s="3" t="s">
        <v>120</v>
      </c>
      <c r="H213" s="3" t="s">
        <v>67</v>
      </c>
      <c r="I213" s="3" t="s">
        <v>77</v>
      </c>
      <c r="J213" s="1">
        <v>2</v>
      </c>
      <c r="K213" s="1">
        <v>30</v>
      </c>
      <c r="L213" s="1">
        <v>29</v>
      </c>
      <c r="M213" s="3" t="s">
        <v>38</v>
      </c>
    </row>
    <row r="214" spans="1:13" x14ac:dyDescent="0.3">
      <c r="A214" s="1">
        <v>11</v>
      </c>
      <c r="B214" s="2">
        <v>46215</v>
      </c>
      <c r="C214" s="3" t="s">
        <v>36</v>
      </c>
      <c r="D214" s="3" t="s">
        <v>37</v>
      </c>
      <c r="E214" s="3" t="s">
        <v>73</v>
      </c>
      <c r="F214" s="1">
        <v>25</v>
      </c>
      <c r="G214" s="3" t="s">
        <v>120</v>
      </c>
      <c r="H214" s="3" t="s">
        <v>67</v>
      </c>
      <c r="I214" s="3" t="s">
        <v>72</v>
      </c>
      <c r="J214" s="1">
        <v>3</v>
      </c>
      <c r="K214" s="1">
        <v>30</v>
      </c>
      <c r="L214" s="1">
        <v>29</v>
      </c>
      <c r="M214" s="3" t="s">
        <v>38</v>
      </c>
    </row>
    <row r="215" spans="1:13" x14ac:dyDescent="0.3">
      <c r="A215" s="1">
        <v>11</v>
      </c>
      <c r="B215" s="2">
        <v>46215</v>
      </c>
      <c r="C215" s="3" t="s">
        <v>36</v>
      </c>
      <c r="D215" s="3" t="s">
        <v>37</v>
      </c>
      <c r="E215" s="3" t="s">
        <v>69</v>
      </c>
      <c r="F215" s="1">
        <v>37</v>
      </c>
      <c r="G215" s="3" t="s">
        <v>70</v>
      </c>
      <c r="H215" s="3" t="s">
        <v>71</v>
      </c>
      <c r="I215" s="3" t="s">
        <v>72</v>
      </c>
      <c r="J215" s="1">
        <v>4</v>
      </c>
      <c r="K215" s="1">
        <v>30</v>
      </c>
      <c r="L215" s="1">
        <v>29</v>
      </c>
      <c r="M215" s="3" t="s">
        <v>38</v>
      </c>
    </row>
    <row r="216" spans="1:13" x14ac:dyDescent="0.3">
      <c r="A216" s="1">
        <v>11</v>
      </c>
      <c r="B216" s="2">
        <v>46215</v>
      </c>
      <c r="C216" s="3" t="s">
        <v>36</v>
      </c>
      <c r="D216" s="3" t="s">
        <v>37</v>
      </c>
      <c r="E216" s="3" t="s">
        <v>75</v>
      </c>
      <c r="F216" s="1">
        <v>89</v>
      </c>
      <c r="G216" s="3" t="s">
        <v>66</v>
      </c>
      <c r="H216" s="3" t="s">
        <v>67</v>
      </c>
      <c r="I216" s="3" t="s">
        <v>72</v>
      </c>
      <c r="J216" s="1">
        <v>5</v>
      </c>
      <c r="K216" s="1">
        <v>30</v>
      </c>
      <c r="L216" s="1">
        <v>29</v>
      </c>
      <c r="M216" s="3" t="s">
        <v>38</v>
      </c>
    </row>
    <row r="217" spans="1:13" x14ac:dyDescent="0.3">
      <c r="A217" s="1">
        <v>11</v>
      </c>
      <c r="B217" s="2">
        <v>46215</v>
      </c>
      <c r="C217" s="3" t="s">
        <v>36</v>
      </c>
      <c r="D217" s="3" t="s">
        <v>37</v>
      </c>
      <c r="E217" s="3" t="s">
        <v>84</v>
      </c>
      <c r="F217" s="1">
        <v>63</v>
      </c>
      <c r="G217" s="3" t="s">
        <v>85</v>
      </c>
      <c r="H217" s="3" t="s">
        <v>80</v>
      </c>
      <c r="I217" s="3" t="s">
        <v>68</v>
      </c>
      <c r="J217" s="1">
        <v>6</v>
      </c>
      <c r="K217" s="1">
        <v>30</v>
      </c>
      <c r="L217" s="1">
        <v>29</v>
      </c>
      <c r="M217" s="3" t="s">
        <v>38</v>
      </c>
    </row>
    <row r="218" spans="1:13" x14ac:dyDescent="0.3">
      <c r="A218" s="1">
        <v>11</v>
      </c>
      <c r="B218" s="2">
        <v>46215</v>
      </c>
      <c r="C218" s="3" t="s">
        <v>36</v>
      </c>
      <c r="D218" s="3" t="s">
        <v>37</v>
      </c>
      <c r="E218" s="3" t="s">
        <v>97</v>
      </c>
      <c r="F218" s="1">
        <v>20</v>
      </c>
      <c r="G218" s="3" t="s">
        <v>98</v>
      </c>
      <c r="H218" s="3" t="s">
        <v>99</v>
      </c>
      <c r="I218" s="3" t="s">
        <v>91</v>
      </c>
      <c r="J218" s="1">
        <v>7</v>
      </c>
      <c r="K218" s="1">
        <v>30</v>
      </c>
      <c r="L218" s="1">
        <v>29</v>
      </c>
      <c r="M218" s="3" t="s">
        <v>38</v>
      </c>
    </row>
    <row r="219" spans="1:13" x14ac:dyDescent="0.3">
      <c r="A219" s="1">
        <v>11</v>
      </c>
      <c r="B219" s="2">
        <v>46215</v>
      </c>
      <c r="C219" s="3" t="s">
        <v>36</v>
      </c>
      <c r="D219" s="3" t="s">
        <v>37</v>
      </c>
      <c r="E219" s="3" t="s">
        <v>86</v>
      </c>
      <c r="F219" s="1">
        <v>10</v>
      </c>
      <c r="G219" s="3" t="s">
        <v>87</v>
      </c>
      <c r="H219" s="3" t="s">
        <v>88</v>
      </c>
      <c r="I219" s="3" t="s">
        <v>68</v>
      </c>
      <c r="J219" s="1">
        <v>8</v>
      </c>
      <c r="K219" s="1">
        <v>30</v>
      </c>
      <c r="L219" s="1">
        <v>29</v>
      </c>
      <c r="M219" s="3" t="s">
        <v>38</v>
      </c>
    </row>
    <row r="220" spans="1:13" x14ac:dyDescent="0.3">
      <c r="A220" s="1">
        <v>11</v>
      </c>
      <c r="B220" s="2">
        <v>46215</v>
      </c>
      <c r="C220" s="3" t="s">
        <v>36</v>
      </c>
      <c r="D220" s="3" t="s">
        <v>37</v>
      </c>
      <c r="E220" s="3" t="s">
        <v>92</v>
      </c>
      <c r="F220" s="1">
        <v>23</v>
      </c>
      <c r="G220" s="3" t="s">
        <v>93</v>
      </c>
      <c r="H220" s="3" t="s">
        <v>71</v>
      </c>
      <c r="I220" s="3" t="s">
        <v>68</v>
      </c>
      <c r="J220" s="1">
        <v>9</v>
      </c>
      <c r="K220" s="1">
        <v>30</v>
      </c>
      <c r="L220" s="1">
        <v>29</v>
      </c>
      <c r="M220" s="3" t="s">
        <v>38</v>
      </c>
    </row>
    <row r="221" spans="1:13" x14ac:dyDescent="0.3">
      <c r="A221" s="1">
        <v>11</v>
      </c>
      <c r="B221" s="2">
        <v>46215</v>
      </c>
      <c r="C221" s="3" t="s">
        <v>36</v>
      </c>
      <c r="D221" s="3" t="s">
        <v>37</v>
      </c>
      <c r="E221" s="3" t="s">
        <v>81</v>
      </c>
      <c r="F221" s="1">
        <v>33</v>
      </c>
      <c r="G221" s="3" t="s">
        <v>70</v>
      </c>
      <c r="H221" s="3" t="s">
        <v>71</v>
      </c>
      <c r="I221" s="3" t="s">
        <v>82</v>
      </c>
      <c r="J221" s="1">
        <v>10</v>
      </c>
      <c r="K221" s="1">
        <v>30</v>
      </c>
      <c r="L221" s="1">
        <v>29</v>
      </c>
      <c r="M221" s="3" t="s">
        <v>38</v>
      </c>
    </row>
    <row r="222" spans="1:13" x14ac:dyDescent="0.3">
      <c r="A222" s="1">
        <v>11</v>
      </c>
      <c r="B222" s="2">
        <v>46215</v>
      </c>
      <c r="C222" s="3" t="s">
        <v>36</v>
      </c>
      <c r="D222" s="3" t="s">
        <v>37</v>
      </c>
      <c r="E222" s="3" t="s">
        <v>94</v>
      </c>
      <c r="F222" s="1">
        <v>11</v>
      </c>
      <c r="G222" s="3" t="s">
        <v>95</v>
      </c>
      <c r="H222" s="3" t="s">
        <v>88</v>
      </c>
      <c r="I222" s="3" t="s">
        <v>96</v>
      </c>
      <c r="J222" s="1">
        <v>11</v>
      </c>
      <c r="K222" s="1">
        <v>30</v>
      </c>
      <c r="L222" s="1">
        <v>29</v>
      </c>
      <c r="M222" s="3" t="s">
        <v>38</v>
      </c>
    </row>
    <row r="223" spans="1:13" x14ac:dyDescent="0.3">
      <c r="A223" s="1">
        <v>11</v>
      </c>
      <c r="B223" s="2">
        <v>46215</v>
      </c>
      <c r="C223" s="3" t="s">
        <v>36</v>
      </c>
      <c r="D223" s="3" t="s">
        <v>37</v>
      </c>
      <c r="E223" s="3" t="s">
        <v>105</v>
      </c>
      <c r="F223" s="1">
        <v>43</v>
      </c>
      <c r="G223" s="3" t="s">
        <v>103</v>
      </c>
      <c r="H223" s="3" t="s">
        <v>99</v>
      </c>
      <c r="I223" s="3" t="s">
        <v>106</v>
      </c>
      <c r="J223" s="1">
        <v>12</v>
      </c>
      <c r="K223" s="1">
        <v>30</v>
      </c>
      <c r="L223" s="1">
        <v>29</v>
      </c>
      <c r="M223" s="3" t="s">
        <v>38</v>
      </c>
    </row>
    <row r="224" spans="1:13" x14ac:dyDescent="0.3">
      <c r="A224" s="1">
        <v>11</v>
      </c>
      <c r="B224" s="2">
        <v>46215</v>
      </c>
      <c r="C224" s="3" t="s">
        <v>36</v>
      </c>
      <c r="D224" s="3" t="s">
        <v>37</v>
      </c>
      <c r="E224" s="3" t="s">
        <v>83</v>
      </c>
      <c r="F224" s="1">
        <v>21</v>
      </c>
      <c r="G224" s="3" t="s">
        <v>79</v>
      </c>
      <c r="H224" s="3" t="s">
        <v>80</v>
      </c>
      <c r="I224" s="3" t="s">
        <v>68</v>
      </c>
      <c r="J224" s="1">
        <v>13</v>
      </c>
      <c r="K224" s="1">
        <v>30</v>
      </c>
      <c r="L224" s="1">
        <v>29</v>
      </c>
      <c r="M224" s="3" t="s">
        <v>38</v>
      </c>
    </row>
    <row r="225" spans="1:13" x14ac:dyDescent="0.3">
      <c r="A225" s="1">
        <v>11</v>
      </c>
      <c r="B225" s="2">
        <v>46215</v>
      </c>
      <c r="C225" s="3" t="s">
        <v>36</v>
      </c>
      <c r="D225" s="3" t="s">
        <v>37</v>
      </c>
      <c r="E225" s="3" t="s">
        <v>100</v>
      </c>
      <c r="F225" s="1">
        <v>42</v>
      </c>
      <c r="G225" s="3" t="s">
        <v>98</v>
      </c>
      <c r="H225" s="3" t="s">
        <v>99</v>
      </c>
      <c r="I225" s="3" t="s">
        <v>72</v>
      </c>
      <c r="J225" s="1">
        <v>14</v>
      </c>
      <c r="K225" s="1">
        <v>30</v>
      </c>
      <c r="L225" s="1">
        <v>29</v>
      </c>
      <c r="M225" s="3" t="s">
        <v>38</v>
      </c>
    </row>
    <row r="226" spans="1:13" x14ac:dyDescent="0.3">
      <c r="A226" s="1">
        <v>11</v>
      </c>
      <c r="B226" s="2">
        <v>46215</v>
      </c>
      <c r="C226" s="3" t="s">
        <v>36</v>
      </c>
      <c r="D226" s="3" t="s">
        <v>37</v>
      </c>
      <c r="E226" s="3" t="s">
        <v>102</v>
      </c>
      <c r="F226" s="1">
        <v>7</v>
      </c>
      <c r="G226" s="3" t="s">
        <v>103</v>
      </c>
      <c r="H226" s="3" t="s">
        <v>99</v>
      </c>
      <c r="I226" s="3" t="s">
        <v>104</v>
      </c>
      <c r="J226" s="1">
        <v>15</v>
      </c>
      <c r="K226" s="1">
        <v>30</v>
      </c>
      <c r="L226" s="1">
        <v>29</v>
      </c>
      <c r="M226" s="3" t="s">
        <v>38</v>
      </c>
    </row>
    <row r="227" spans="1:13" x14ac:dyDescent="0.3">
      <c r="A227" s="1">
        <v>11</v>
      </c>
      <c r="B227" s="2">
        <v>46215</v>
      </c>
      <c r="C227" s="3" t="s">
        <v>36</v>
      </c>
      <c r="D227" s="3" t="s">
        <v>37</v>
      </c>
      <c r="E227" s="3" t="s">
        <v>101</v>
      </c>
      <c r="F227" s="1">
        <v>12</v>
      </c>
      <c r="G227" s="3" t="s">
        <v>93</v>
      </c>
      <c r="H227" s="3" t="s">
        <v>71</v>
      </c>
      <c r="I227" s="3" t="s">
        <v>72</v>
      </c>
      <c r="J227" s="1">
        <v>16</v>
      </c>
      <c r="K227" s="1">
        <v>26</v>
      </c>
      <c r="L227" s="1">
        <v>23</v>
      </c>
      <c r="M227" s="3" t="s">
        <v>38</v>
      </c>
    </row>
    <row r="228" spans="1:13" x14ac:dyDescent="0.3">
      <c r="A228" s="1">
        <v>11</v>
      </c>
      <c r="B228" s="2">
        <v>46215</v>
      </c>
      <c r="C228" s="3" t="s">
        <v>36</v>
      </c>
      <c r="D228" s="3" t="s">
        <v>37</v>
      </c>
      <c r="E228" s="3" t="s">
        <v>118</v>
      </c>
      <c r="F228" s="1">
        <v>35</v>
      </c>
      <c r="G228" s="3" t="s">
        <v>90</v>
      </c>
      <c r="H228" s="3" t="s">
        <v>88</v>
      </c>
      <c r="I228" s="3" t="s">
        <v>119</v>
      </c>
      <c r="J228" s="1">
        <v>17</v>
      </c>
      <c r="K228" s="1">
        <v>21</v>
      </c>
      <c r="L228" s="1">
        <v>20</v>
      </c>
      <c r="M228" s="3" t="s">
        <v>38</v>
      </c>
    </row>
    <row r="229" spans="1:13" x14ac:dyDescent="0.3">
      <c r="A229" s="1">
        <v>11</v>
      </c>
      <c r="B229" s="2">
        <v>46215</v>
      </c>
      <c r="C229" s="3" t="s">
        <v>36</v>
      </c>
      <c r="D229" s="3" t="s">
        <v>37</v>
      </c>
      <c r="E229" s="3" t="s">
        <v>110</v>
      </c>
      <c r="F229" s="1">
        <v>73</v>
      </c>
      <c r="G229" s="3" t="s">
        <v>108</v>
      </c>
      <c r="H229" s="3" t="s">
        <v>80</v>
      </c>
      <c r="I229" s="3" t="s">
        <v>72</v>
      </c>
      <c r="J229" s="1">
        <v>18</v>
      </c>
      <c r="K229" s="1">
        <v>8</v>
      </c>
      <c r="L229" s="1">
        <v>7</v>
      </c>
      <c r="M229" s="3" t="s">
        <v>38</v>
      </c>
    </row>
    <row r="230" spans="1:13" x14ac:dyDescent="0.3">
      <c r="A230" s="1">
        <v>11</v>
      </c>
      <c r="B230" s="2">
        <v>46215</v>
      </c>
      <c r="C230" s="3" t="s">
        <v>36</v>
      </c>
      <c r="D230" s="3" t="s">
        <v>37</v>
      </c>
      <c r="E230" s="3" t="s">
        <v>109</v>
      </c>
      <c r="F230" s="1">
        <v>36</v>
      </c>
      <c r="G230" s="3" t="s">
        <v>87</v>
      </c>
      <c r="H230" s="3" t="s">
        <v>88</v>
      </c>
      <c r="I230" s="3" t="s">
        <v>72</v>
      </c>
      <c r="J230" s="1">
        <v>19</v>
      </c>
      <c r="K230" s="1">
        <v>6</v>
      </c>
      <c r="L230" s="1">
        <v>5</v>
      </c>
      <c r="M230" s="3" t="s">
        <v>38</v>
      </c>
    </row>
    <row r="231" spans="1:13" x14ac:dyDescent="0.3">
      <c r="A231" s="1">
        <v>11</v>
      </c>
      <c r="B231" s="2">
        <v>46215</v>
      </c>
      <c r="C231" s="3" t="s">
        <v>36</v>
      </c>
      <c r="D231" s="3" t="s">
        <v>37</v>
      </c>
      <c r="E231" s="3" t="s">
        <v>78</v>
      </c>
      <c r="F231" s="1">
        <v>49</v>
      </c>
      <c r="G231" s="3" t="s">
        <v>79</v>
      </c>
      <c r="H231" s="3" t="s">
        <v>80</v>
      </c>
      <c r="I231" s="3" t="s">
        <v>68</v>
      </c>
      <c r="J231" s="1">
        <v>20</v>
      </c>
      <c r="K231" s="1">
        <v>3</v>
      </c>
      <c r="L231" s="1">
        <v>2</v>
      </c>
      <c r="M231" s="3" t="s">
        <v>38</v>
      </c>
    </row>
    <row r="232" spans="1:13" x14ac:dyDescent="0.3">
      <c r="A232" s="1">
        <v>12</v>
      </c>
      <c r="B232" s="2">
        <v>46243</v>
      </c>
      <c r="C232" s="3" t="s">
        <v>39</v>
      </c>
      <c r="D232" s="3" t="s">
        <v>40</v>
      </c>
      <c r="E232" s="3" t="s">
        <v>73</v>
      </c>
      <c r="F232" s="1">
        <v>25</v>
      </c>
      <c r="G232" s="3" t="s">
        <v>120</v>
      </c>
      <c r="H232" s="3" t="s">
        <v>67</v>
      </c>
      <c r="I232" s="3" t="s">
        <v>72</v>
      </c>
      <c r="J232" s="1">
        <v>1</v>
      </c>
      <c r="K232" s="1">
        <v>20</v>
      </c>
      <c r="L232" s="1">
        <v>19</v>
      </c>
      <c r="M232" s="3" t="s">
        <v>41</v>
      </c>
    </row>
    <row r="233" spans="1:13" x14ac:dyDescent="0.3">
      <c r="A233" s="1">
        <v>12</v>
      </c>
      <c r="B233" s="2">
        <v>46243</v>
      </c>
      <c r="C233" s="3" t="s">
        <v>39</v>
      </c>
      <c r="D233" s="3" t="s">
        <v>40</v>
      </c>
      <c r="E233" s="3" t="s">
        <v>75</v>
      </c>
      <c r="F233" s="1">
        <v>89</v>
      </c>
      <c r="G233" s="3" t="s">
        <v>66</v>
      </c>
      <c r="H233" s="3" t="s">
        <v>67</v>
      </c>
      <c r="I233" s="3" t="s">
        <v>72</v>
      </c>
      <c r="J233" s="1">
        <v>2</v>
      </c>
      <c r="K233" s="1">
        <v>20</v>
      </c>
      <c r="L233" s="1">
        <v>18</v>
      </c>
      <c r="M233" s="3" t="s">
        <v>41</v>
      </c>
    </row>
    <row r="234" spans="1:13" x14ac:dyDescent="0.3">
      <c r="A234" s="1">
        <v>12</v>
      </c>
      <c r="B234" s="2">
        <v>46243</v>
      </c>
      <c r="C234" s="3" t="s">
        <v>39</v>
      </c>
      <c r="D234" s="3" t="s">
        <v>40</v>
      </c>
      <c r="E234" s="3" t="s">
        <v>65</v>
      </c>
      <c r="F234" s="1">
        <v>72</v>
      </c>
      <c r="G234" s="3" t="s">
        <v>66</v>
      </c>
      <c r="H234" s="3" t="s">
        <v>67</v>
      </c>
      <c r="I234" s="3" t="s">
        <v>68</v>
      </c>
      <c r="J234" s="1">
        <v>3</v>
      </c>
      <c r="K234" s="1">
        <v>20</v>
      </c>
      <c r="L234" s="1">
        <v>19</v>
      </c>
      <c r="M234" s="3" t="s">
        <v>41</v>
      </c>
    </row>
    <row r="235" spans="1:13" x14ac:dyDescent="0.3">
      <c r="A235" s="1">
        <v>12</v>
      </c>
      <c r="B235" s="2">
        <v>46243</v>
      </c>
      <c r="C235" s="3" t="s">
        <v>39</v>
      </c>
      <c r="D235" s="3" t="s">
        <v>40</v>
      </c>
      <c r="E235" s="3" t="s">
        <v>110</v>
      </c>
      <c r="F235" s="1">
        <v>73</v>
      </c>
      <c r="G235" s="3" t="s">
        <v>108</v>
      </c>
      <c r="H235" s="3" t="s">
        <v>80</v>
      </c>
      <c r="I235" s="3" t="s">
        <v>72</v>
      </c>
      <c r="J235" s="1">
        <v>4</v>
      </c>
      <c r="K235" s="1">
        <v>20</v>
      </c>
      <c r="L235" s="1">
        <v>17</v>
      </c>
      <c r="M235" s="3" t="s">
        <v>41</v>
      </c>
    </row>
    <row r="236" spans="1:13" x14ac:dyDescent="0.3">
      <c r="A236" s="1">
        <v>12</v>
      </c>
      <c r="B236" s="2">
        <v>46243</v>
      </c>
      <c r="C236" s="3" t="s">
        <v>39</v>
      </c>
      <c r="D236" s="3" t="s">
        <v>40</v>
      </c>
      <c r="E236" s="3" t="s">
        <v>69</v>
      </c>
      <c r="F236" s="1">
        <v>37</v>
      </c>
      <c r="G236" s="3" t="s">
        <v>70</v>
      </c>
      <c r="H236" s="3" t="s">
        <v>71</v>
      </c>
      <c r="I236" s="3" t="s">
        <v>72</v>
      </c>
      <c r="J236" s="1">
        <v>5</v>
      </c>
      <c r="K236" s="1">
        <v>20</v>
      </c>
      <c r="L236" s="1">
        <v>19</v>
      </c>
      <c r="M236" s="3" t="s">
        <v>41</v>
      </c>
    </row>
    <row r="237" spans="1:13" x14ac:dyDescent="0.3">
      <c r="A237" s="1">
        <v>12</v>
      </c>
      <c r="B237" s="2">
        <v>46243</v>
      </c>
      <c r="C237" s="3" t="s">
        <v>39</v>
      </c>
      <c r="D237" s="3" t="s">
        <v>40</v>
      </c>
      <c r="E237" s="3" t="s">
        <v>78</v>
      </c>
      <c r="F237" s="1">
        <v>49</v>
      </c>
      <c r="G237" s="3" t="s">
        <v>79</v>
      </c>
      <c r="H237" s="3" t="s">
        <v>80</v>
      </c>
      <c r="I237" s="3" t="s">
        <v>68</v>
      </c>
      <c r="J237" s="1">
        <v>6</v>
      </c>
      <c r="K237" s="1">
        <v>20</v>
      </c>
      <c r="L237" s="1">
        <v>19</v>
      </c>
      <c r="M237" s="3" t="s">
        <v>41</v>
      </c>
    </row>
    <row r="238" spans="1:13" x14ac:dyDescent="0.3">
      <c r="A238" s="1">
        <v>12</v>
      </c>
      <c r="B238" s="2">
        <v>46243</v>
      </c>
      <c r="C238" s="3" t="s">
        <v>39</v>
      </c>
      <c r="D238" s="3" t="s">
        <v>40</v>
      </c>
      <c r="E238" s="3" t="s">
        <v>111</v>
      </c>
      <c r="F238" s="1">
        <v>93</v>
      </c>
      <c r="G238" s="3" t="s">
        <v>85</v>
      </c>
      <c r="H238" s="3" t="s">
        <v>80</v>
      </c>
      <c r="I238" s="3" t="s">
        <v>72</v>
      </c>
      <c r="J238" s="1">
        <v>7</v>
      </c>
      <c r="K238" s="1">
        <v>20</v>
      </c>
      <c r="L238" s="1">
        <v>19</v>
      </c>
      <c r="M238" s="3" t="s">
        <v>41</v>
      </c>
    </row>
    <row r="239" spans="1:13" x14ac:dyDescent="0.3">
      <c r="A239" s="1">
        <v>12</v>
      </c>
      <c r="B239" s="2">
        <v>46243</v>
      </c>
      <c r="C239" s="3" t="s">
        <v>39</v>
      </c>
      <c r="D239" s="3" t="s">
        <v>40</v>
      </c>
      <c r="E239" s="3" t="s">
        <v>81</v>
      </c>
      <c r="F239" s="1">
        <v>33</v>
      </c>
      <c r="G239" s="3" t="s">
        <v>70</v>
      </c>
      <c r="H239" s="3" t="s">
        <v>71</v>
      </c>
      <c r="I239" s="3" t="s">
        <v>82</v>
      </c>
      <c r="J239" s="1">
        <v>8</v>
      </c>
      <c r="K239" s="1">
        <v>20</v>
      </c>
      <c r="L239" s="1">
        <v>19</v>
      </c>
      <c r="M239" s="3" t="s">
        <v>41</v>
      </c>
    </row>
    <row r="240" spans="1:13" x14ac:dyDescent="0.3">
      <c r="A240" s="1">
        <v>12</v>
      </c>
      <c r="B240" s="2">
        <v>46243</v>
      </c>
      <c r="C240" s="3" t="s">
        <v>39</v>
      </c>
      <c r="D240" s="3" t="s">
        <v>40</v>
      </c>
      <c r="E240" s="3" t="s">
        <v>86</v>
      </c>
      <c r="F240" s="1">
        <v>10</v>
      </c>
      <c r="G240" s="3" t="s">
        <v>87</v>
      </c>
      <c r="H240" s="3" t="s">
        <v>88</v>
      </c>
      <c r="I240" s="3" t="s">
        <v>68</v>
      </c>
      <c r="J240" s="1">
        <v>9</v>
      </c>
      <c r="K240" s="1">
        <v>20</v>
      </c>
      <c r="L240" s="1">
        <v>18</v>
      </c>
      <c r="M240" s="3" t="s">
        <v>41</v>
      </c>
    </row>
    <row r="241" spans="1:13" x14ac:dyDescent="0.3">
      <c r="A241" s="1">
        <v>12</v>
      </c>
      <c r="B241" s="2">
        <v>46243</v>
      </c>
      <c r="C241" s="3" t="s">
        <v>39</v>
      </c>
      <c r="D241" s="3" t="s">
        <v>40</v>
      </c>
      <c r="E241" s="3" t="s">
        <v>94</v>
      </c>
      <c r="F241" s="1">
        <v>11</v>
      </c>
      <c r="G241" s="3" t="s">
        <v>95</v>
      </c>
      <c r="H241" s="3" t="s">
        <v>88</v>
      </c>
      <c r="I241" s="3" t="s">
        <v>96</v>
      </c>
      <c r="J241" s="1">
        <v>10</v>
      </c>
      <c r="K241" s="1">
        <v>20</v>
      </c>
      <c r="L241" s="1">
        <v>19</v>
      </c>
      <c r="M241" s="3" t="s">
        <v>41</v>
      </c>
    </row>
    <row r="242" spans="1:13" x14ac:dyDescent="0.3">
      <c r="A242" s="1">
        <v>12</v>
      </c>
      <c r="B242" s="2">
        <v>46243</v>
      </c>
      <c r="C242" s="3" t="s">
        <v>39</v>
      </c>
      <c r="D242" s="3" t="s">
        <v>40</v>
      </c>
      <c r="E242" s="3" t="s">
        <v>83</v>
      </c>
      <c r="F242" s="1">
        <v>21</v>
      </c>
      <c r="G242" s="3" t="s">
        <v>79</v>
      </c>
      <c r="H242" s="3" t="s">
        <v>80</v>
      </c>
      <c r="I242" s="3" t="s">
        <v>68</v>
      </c>
      <c r="J242" s="1">
        <v>11</v>
      </c>
      <c r="K242" s="1">
        <v>20</v>
      </c>
      <c r="L242" s="1">
        <v>18</v>
      </c>
      <c r="M242" s="3" t="s">
        <v>41</v>
      </c>
    </row>
    <row r="243" spans="1:13" x14ac:dyDescent="0.3">
      <c r="A243" s="1">
        <v>12</v>
      </c>
      <c r="B243" s="2">
        <v>46243</v>
      </c>
      <c r="C243" s="3" t="s">
        <v>39</v>
      </c>
      <c r="D243" s="3" t="s">
        <v>40</v>
      </c>
      <c r="E243" s="3" t="s">
        <v>97</v>
      </c>
      <c r="F243" s="1">
        <v>20</v>
      </c>
      <c r="G243" s="3" t="s">
        <v>98</v>
      </c>
      <c r="H243" s="3" t="s">
        <v>99</v>
      </c>
      <c r="I243" s="3" t="s">
        <v>91</v>
      </c>
      <c r="J243" s="1">
        <v>12</v>
      </c>
      <c r="K243" s="1">
        <v>20</v>
      </c>
      <c r="L243" s="1">
        <v>19</v>
      </c>
      <c r="M243" s="3" t="s">
        <v>41</v>
      </c>
    </row>
    <row r="244" spans="1:13" x14ac:dyDescent="0.3">
      <c r="A244" s="1">
        <v>12</v>
      </c>
      <c r="B244" s="2">
        <v>46243</v>
      </c>
      <c r="C244" s="3" t="s">
        <v>39</v>
      </c>
      <c r="D244" s="3" t="s">
        <v>40</v>
      </c>
      <c r="E244" s="3" t="s">
        <v>105</v>
      </c>
      <c r="F244" s="1">
        <v>43</v>
      </c>
      <c r="G244" s="3" t="s">
        <v>103</v>
      </c>
      <c r="H244" s="3" t="s">
        <v>99</v>
      </c>
      <c r="I244" s="3" t="s">
        <v>106</v>
      </c>
      <c r="J244" s="1">
        <v>13</v>
      </c>
      <c r="K244" s="1">
        <v>20</v>
      </c>
      <c r="L244" s="1">
        <v>19</v>
      </c>
      <c r="M244" s="3" t="s">
        <v>41</v>
      </c>
    </row>
    <row r="245" spans="1:13" x14ac:dyDescent="0.3">
      <c r="A245" s="1">
        <v>12</v>
      </c>
      <c r="B245" s="2">
        <v>46243</v>
      </c>
      <c r="C245" s="3" t="s">
        <v>39</v>
      </c>
      <c r="D245" s="3" t="s">
        <v>40</v>
      </c>
      <c r="E245" s="3" t="s">
        <v>122</v>
      </c>
      <c r="F245" s="1">
        <v>44</v>
      </c>
      <c r="G245" s="3" t="s">
        <v>93</v>
      </c>
      <c r="H245" s="3" t="s">
        <v>71</v>
      </c>
      <c r="I245" s="3" t="s">
        <v>72</v>
      </c>
      <c r="J245" s="1">
        <v>14</v>
      </c>
      <c r="K245" s="1">
        <v>20</v>
      </c>
      <c r="L245" s="1">
        <v>19</v>
      </c>
      <c r="M245" s="3" t="s">
        <v>41</v>
      </c>
    </row>
    <row r="246" spans="1:13" x14ac:dyDescent="0.3">
      <c r="A246" s="1">
        <v>12</v>
      </c>
      <c r="B246" s="2">
        <v>46243</v>
      </c>
      <c r="C246" s="3" t="s">
        <v>39</v>
      </c>
      <c r="D246" s="3" t="s">
        <v>40</v>
      </c>
      <c r="E246" s="3" t="s">
        <v>102</v>
      </c>
      <c r="F246" s="1">
        <v>7</v>
      </c>
      <c r="G246" s="3" t="s">
        <v>103</v>
      </c>
      <c r="H246" s="3" t="s">
        <v>99</v>
      </c>
      <c r="I246" s="3" t="s">
        <v>104</v>
      </c>
      <c r="J246" s="1">
        <v>15</v>
      </c>
      <c r="K246" s="1">
        <v>20</v>
      </c>
      <c r="L246" s="1">
        <v>15</v>
      </c>
      <c r="M246" s="3" t="s">
        <v>41</v>
      </c>
    </row>
    <row r="247" spans="1:13" x14ac:dyDescent="0.3">
      <c r="A247" s="1">
        <v>12</v>
      </c>
      <c r="B247" s="2">
        <v>46243</v>
      </c>
      <c r="C247" s="3" t="s">
        <v>39</v>
      </c>
      <c r="D247" s="3" t="s">
        <v>40</v>
      </c>
      <c r="E247" s="3" t="s">
        <v>113</v>
      </c>
      <c r="F247" s="1">
        <v>47</v>
      </c>
      <c r="G247" s="3" t="s">
        <v>114</v>
      </c>
      <c r="H247" s="3" t="s">
        <v>99</v>
      </c>
      <c r="I247" s="3" t="s">
        <v>72</v>
      </c>
      <c r="J247" s="1">
        <v>16</v>
      </c>
      <c r="K247" s="1">
        <v>20</v>
      </c>
      <c r="L247" s="1">
        <v>18</v>
      </c>
      <c r="M247" s="3" t="s">
        <v>41</v>
      </c>
    </row>
    <row r="248" spans="1:13" x14ac:dyDescent="0.3">
      <c r="A248" s="1">
        <v>12</v>
      </c>
      <c r="B248" s="2">
        <v>46243</v>
      </c>
      <c r="C248" s="3" t="s">
        <v>39</v>
      </c>
      <c r="D248" s="3" t="s">
        <v>40</v>
      </c>
      <c r="E248" s="3" t="s">
        <v>76</v>
      </c>
      <c r="F248" s="1">
        <v>79</v>
      </c>
      <c r="G248" s="3" t="s">
        <v>120</v>
      </c>
      <c r="H248" s="3" t="s">
        <v>67</v>
      </c>
      <c r="I248" s="3" t="s">
        <v>77</v>
      </c>
      <c r="J248" s="1">
        <v>17</v>
      </c>
      <c r="K248" s="1">
        <v>8</v>
      </c>
      <c r="L248" s="1">
        <v>7</v>
      </c>
      <c r="M248" s="3" t="s">
        <v>41</v>
      </c>
    </row>
    <row r="249" spans="1:13" x14ac:dyDescent="0.3">
      <c r="A249" s="1">
        <v>12</v>
      </c>
      <c r="B249" s="2">
        <v>46243</v>
      </c>
      <c r="C249" s="3" t="s">
        <v>39</v>
      </c>
      <c r="D249" s="3" t="s">
        <v>40</v>
      </c>
      <c r="E249" s="3" t="s">
        <v>84</v>
      </c>
      <c r="F249" s="1">
        <v>63</v>
      </c>
      <c r="G249" s="3" t="s">
        <v>85</v>
      </c>
      <c r="H249" s="3" t="s">
        <v>80</v>
      </c>
      <c r="I249" s="3" t="s">
        <v>68</v>
      </c>
      <c r="J249" s="1">
        <v>18</v>
      </c>
      <c r="K249" s="1">
        <v>7</v>
      </c>
      <c r="L249" s="1">
        <v>6</v>
      </c>
      <c r="M249" s="3" t="s">
        <v>41</v>
      </c>
    </row>
    <row r="250" spans="1:13" x14ac:dyDescent="0.3">
      <c r="A250" s="1">
        <v>12</v>
      </c>
      <c r="B250" s="2">
        <v>46243</v>
      </c>
      <c r="C250" s="3" t="s">
        <v>39</v>
      </c>
      <c r="D250" s="3" t="s">
        <v>40</v>
      </c>
      <c r="E250" s="3" t="s">
        <v>118</v>
      </c>
      <c r="F250" s="1">
        <v>35</v>
      </c>
      <c r="G250" s="3" t="s">
        <v>90</v>
      </c>
      <c r="H250" s="3" t="s">
        <v>88</v>
      </c>
      <c r="I250" s="3" t="s">
        <v>119</v>
      </c>
      <c r="J250" s="1">
        <v>19</v>
      </c>
      <c r="K250" s="1">
        <v>6</v>
      </c>
      <c r="L250" s="1">
        <v>5</v>
      </c>
      <c r="M250" s="3" t="s">
        <v>41</v>
      </c>
    </row>
    <row r="251" spans="1:13" x14ac:dyDescent="0.3">
      <c r="A251" s="1">
        <v>12</v>
      </c>
      <c r="B251" s="2">
        <v>46243</v>
      </c>
      <c r="C251" s="3" t="s">
        <v>39</v>
      </c>
      <c r="D251" s="3" t="s">
        <v>40</v>
      </c>
      <c r="E251" s="3" t="s">
        <v>121</v>
      </c>
      <c r="F251" s="1">
        <v>27</v>
      </c>
      <c r="G251" s="3" t="s">
        <v>108</v>
      </c>
      <c r="H251" s="3" t="s">
        <v>80</v>
      </c>
      <c r="I251" s="3" t="s">
        <v>72</v>
      </c>
      <c r="J251" s="1">
        <v>20</v>
      </c>
      <c r="K251" s="1">
        <v>5</v>
      </c>
      <c r="L251" s="1">
        <v>3</v>
      </c>
      <c r="M251" s="3" t="s">
        <v>41</v>
      </c>
    </row>
    <row r="252" spans="1:13" x14ac:dyDescent="0.3">
      <c r="A252" s="1">
        <v>12</v>
      </c>
      <c r="B252" s="2">
        <v>46243</v>
      </c>
      <c r="C252" s="3" t="s">
        <v>39</v>
      </c>
      <c r="D252" s="3" t="s">
        <v>40</v>
      </c>
      <c r="E252" s="3" t="s">
        <v>92</v>
      </c>
      <c r="F252" s="1">
        <v>23</v>
      </c>
      <c r="G252" s="3" t="s">
        <v>93</v>
      </c>
      <c r="H252" s="3" t="s">
        <v>71</v>
      </c>
      <c r="I252" s="3" t="s">
        <v>68</v>
      </c>
      <c r="J252" s="1">
        <v>21</v>
      </c>
      <c r="K252" s="1">
        <v>4</v>
      </c>
      <c r="L252" s="1">
        <v>3</v>
      </c>
      <c r="M252" s="3" t="s">
        <v>41</v>
      </c>
    </row>
    <row r="253" spans="1:13" x14ac:dyDescent="0.3">
      <c r="A253" s="1">
        <v>12</v>
      </c>
      <c r="B253" s="2">
        <v>46243</v>
      </c>
      <c r="C253" s="3" t="s">
        <v>39</v>
      </c>
      <c r="D253" s="3" t="s">
        <v>40</v>
      </c>
      <c r="E253" s="3" t="s">
        <v>100</v>
      </c>
      <c r="F253" s="1">
        <v>42</v>
      </c>
      <c r="G253" s="3" t="s">
        <v>98</v>
      </c>
      <c r="H253" s="3" t="s">
        <v>99</v>
      </c>
      <c r="I253" s="3" t="s">
        <v>72</v>
      </c>
      <c r="J253" s="1">
        <v>22</v>
      </c>
      <c r="K253" s="1">
        <v>1</v>
      </c>
      <c r="L253" s="1">
        <v>0</v>
      </c>
      <c r="M253" s="3" t="s">
        <v>41</v>
      </c>
    </row>
    <row r="254" spans="1:13" x14ac:dyDescent="0.3">
      <c r="A254" s="1">
        <v>12</v>
      </c>
      <c r="B254" s="2">
        <v>46243</v>
      </c>
      <c r="C254" s="3" t="s">
        <v>39</v>
      </c>
      <c r="D254" s="3" t="s">
        <v>40</v>
      </c>
      <c r="E254" s="3" t="s">
        <v>109</v>
      </c>
      <c r="F254" s="1">
        <v>36</v>
      </c>
      <c r="G254" s="3" t="s">
        <v>87</v>
      </c>
      <c r="H254" s="3" t="s">
        <v>88</v>
      </c>
      <c r="I254" s="3" t="s">
        <v>72</v>
      </c>
      <c r="J254" s="1">
        <v>23</v>
      </c>
      <c r="K254" s="1">
        <v>0</v>
      </c>
      <c r="L254" s="1">
        <v>0</v>
      </c>
      <c r="M254" s="3" t="s">
        <v>41</v>
      </c>
    </row>
    <row r="255" spans="1:13" x14ac:dyDescent="0.3">
      <c r="A255" s="1">
        <v>13</v>
      </c>
      <c r="B255" s="2">
        <v>46264</v>
      </c>
      <c r="C255" s="3" t="s">
        <v>42</v>
      </c>
      <c r="D255" s="3" t="s">
        <v>43</v>
      </c>
      <c r="E255" s="3" t="s">
        <v>111</v>
      </c>
      <c r="F255" s="1">
        <v>93</v>
      </c>
      <c r="G255" s="3" t="s">
        <v>85</v>
      </c>
      <c r="H255" s="3" t="s">
        <v>80</v>
      </c>
      <c r="I255" s="3" t="s">
        <v>72</v>
      </c>
      <c r="J255" s="1">
        <v>1</v>
      </c>
      <c r="K255" s="1">
        <v>23</v>
      </c>
      <c r="L255" s="1">
        <v>22</v>
      </c>
      <c r="M255" s="3" t="s">
        <v>44</v>
      </c>
    </row>
    <row r="256" spans="1:13" x14ac:dyDescent="0.3">
      <c r="A256" s="1">
        <v>13</v>
      </c>
      <c r="B256" s="2">
        <v>46264</v>
      </c>
      <c r="C256" s="3" t="s">
        <v>42</v>
      </c>
      <c r="D256" s="3" t="s">
        <v>43</v>
      </c>
      <c r="E256" s="3" t="s">
        <v>69</v>
      </c>
      <c r="F256" s="1">
        <v>37</v>
      </c>
      <c r="G256" s="3" t="s">
        <v>70</v>
      </c>
      <c r="H256" s="3" t="s">
        <v>71</v>
      </c>
      <c r="I256" s="3" t="s">
        <v>72</v>
      </c>
      <c r="J256" s="1">
        <v>2</v>
      </c>
      <c r="K256" s="1">
        <v>23</v>
      </c>
      <c r="L256" s="1">
        <v>21</v>
      </c>
      <c r="M256" s="3" t="s">
        <v>44</v>
      </c>
    </row>
    <row r="257" spans="1:13" x14ac:dyDescent="0.3">
      <c r="A257" s="1">
        <v>13</v>
      </c>
      <c r="B257" s="2">
        <v>46264</v>
      </c>
      <c r="C257" s="3" t="s">
        <v>42</v>
      </c>
      <c r="D257" s="3" t="s">
        <v>43</v>
      </c>
      <c r="E257" s="3" t="s">
        <v>65</v>
      </c>
      <c r="F257" s="1">
        <v>72</v>
      </c>
      <c r="G257" s="3" t="s">
        <v>66</v>
      </c>
      <c r="H257" s="3" t="s">
        <v>67</v>
      </c>
      <c r="I257" s="3" t="s">
        <v>68</v>
      </c>
      <c r="J257" s="1">
        <v>3</v>
      </c>
      <c r="K257" s="1">
        <v>23</v>
      </c>
      <c r="L257" s="1">
        <v>22</v>
      </c>
      <c r="M257" s="3" t="s">
        <v>44</v>
      </c>
    </row>
    <row r="258" spans="1:13" x14ac:dyDescent="0.3">
      <c r="A258" s="1">
        <v>13</v>
      </c>
      <c r="B258" s="2">
        <v>46264</v>
      </c>
      <c r="C258" s="3" t="s">
        <v>42</v>
      </c>
      <c r="D258" s="3" t="s">
        <v>43</v>
      </c>
      <c r="E258" s="3" t="s">
        <v>110</v>
      </c>
      <c r="F258" s="1">
        <v>73</v>
      </c>
      <c r="G258" s="3" t="s">
        <v>108</v>
      </c>
      <c r="H258" s="3" t="s">
        <v>80</v>
      </c>
      <c r="I258" s="3" t="s">
        <v>72</v>
      </c>
      <c r="J258" s="1">
        <v>4</v>
      </c>
      <c r="K258" s="1">
        <v>23</v>
      </c>
      <c r="L258" s="1">
        <v>22</v>
      </c>
      <c r="M258" s="3" t="s">
        <v>44</v>
      </c>
    </row>
    <row r="259" spans="1:13" x14ac:dyDescent="0.3">
      <c r="A259" s="1">
        <v>13</v>
      </c>
      <c r="B259" s="2">
        <v>46264</v>
      </c>
      <c r="C259" s="3" t="s">
        <v>42</v>
      </c>
      <c r="D259" s="3" t="s">
        <v>43</v>
      </c>
      <c r="E259" s="3" t="s">
        <v>75</v>
      </c>
      <c r="F259" s="1">
        <v>89</v>
      </c>
      <c r="G259" s="3" t="s">
        <v>66</v>
      </c>
      <c r="H259" s="3" t="s">
        <v>67</v>
      </c>
      <c r="I259" s="3" t="s">
        <v>72</v>
      </c>
      <c r="J259" s="1">
        <v>5</v>
      </c>
      <c r="K259" s="1">
        <v>23</v>
      </c>
      <c r="L259" s="1">
        <v>22</v>
      </c>
      <c r="M259" s="3" t="s">
        <v>44</v>
      </c>
    </row>
    <row r="260" spans="1:13" x14ac:dyDescent="0.3">
      <c r="A260" s="1">
        <v>13</v>
      </c>
      <c r="B260" s="2">
        <v>46264</v>
      </c>
      <c r="C260" s="3" t="s">
        <v>42</v>
      </c>
      <c r="D260" s="3" t="s">
        <v>43</v>
      </c>
      <c r="E260" s="3" t="s">
        <v>112</v>
      </c>
      <c r="F260" s="1">
        <v>54</v>
      </c>
      <c r="G260" s="3" t="s">
        <v>108</v>
      </c>
      <c r="H260" s="3" t="s">
        <v>80</v>
      </c>
      <c r="I260" s="3" t="s">
        <v>72</v>
      </c>
      <c r="J260" s="1">
        <v>6</v>
      </c>
      <c r="K260" s="1">
        <v>23</v>
      </c>
      <c r="L260" s="1">
        <v>22</v>
      </c>
      <c r="M260" s="3" t="s">
        <v>44</v>
      </c>
    </row>
    <row r="261" spans="1:13" x14ac:dyDescent="0.3">
      <c r="A261" s="1">
        <v>13</v>
      </c>
      <c r="B261" s="2">
        <v>46264</v>
      </c>
      <c r="C261" s="3" t="s">
        <v>42</v>
      </c>
      <c r="D261" s="3" t="s">
        <v>43</v>
      </c>
      <c r="E261" s="3" t="s">
        <v>78</v>
      </c>
      <c r="F261" s="1">
        <v>49</v>
      </c>
      <c r="G261" s="3" t="s">
        <v>79</v>
      </c>
      <c r="H261" s="3" t="s">
        <v>80</v>
      </c>
      <c r="I261" s="3" t="s">
        <v>68</v>
      </c>
      <c r="J261" s="1">
        <v>7</v>
      </c>
      <c r="K261" s="1">
        <v>23</v>
      </c>
      <c r="L261" s="1">
        <v>22</v>
      </c>
      <c r="M261" s="3" t="s">
        <v>44</v>
      </c>
    </row>
    <row r="262" spans="1:13" x14ac:dyDescent="0.3">
      <c r="A262" s="1">
        <v>13</v>
      </c>
      <c r="B262" s="2">
        <v>46264</v>
      </c>
      <c r="C262" s="3" t="s">
        <v>42</v>
      </c>
      <c r="D262" s="3" t="s">
        <v>43</v>
      </c>
      <c r="E262" s="3" t="s">
        <v>92</v>
      </c>
      <c r="F262" s="1">
        <v>23</v>
      </c>
      <c r="G262" s="3" t="s">
        <v>93</v>
      </c>
      <c r="H262" s="3" t="s">
        <v>71</v>
      </c>
      <c r="I262" s="3" t="s">
        <v>68</v>
      </c>
      <c r="J262" s="1">
        <v>8</v>
      </c>
      <c r="K262" s="1">
        <v>23</v>
      </c>
      <c r="L262" s="1">
        <v>22</v>
      </c>
      <c r="M262" s="3" t="s">
        <v>44</v>
      </c>
    </row>
    <row r="263" spans="1:13" x14ac:dyDescent="0.3">
      <c r="A263" s="1">
        <v>13</v>
      </c>
      <c r="B263" s="2">
        <v>46264</v>
      </c>
      <c r="C263" s="3" t="s">
        <v>42</v>
      </c>
      <c r="D263" s="3" t="s">
        <v>43</v>
      </c>
      <c r="E263" s="3" t="s">
        <v>94</v>
      </c>
      <c r="F263" s="1">
        <v>11</v>
      </c>
      <c r="G263" s="3" t="s">
        <v>95</v>
      </c>
      <c r="H263" s="3" t="s">
        <v>88</v>
      </c>
      <c r="I263" s="3" t="s">
        <v>96</v>
      </c>
      <c r="J263" s="1">
        <v>9</v>
      </c>
      <c r="K263" s="1">
        <v>23</v>
      </c>
      <c r="L263" s="1">
        <v>22</v>
      </c>
      <c r="M263" s="3" t="s">
        <v>44</v>
      </c>
    </row>
    <row r="264" spans="1:13" x14ac:dyDescent="0.3">
      <c r="A264" s="1">
        <v>13</v>
      </c>
      <c r="B264" s="2">
        <v>46264</v>
      </c>
      <c r="C264" s="3" t="s">
        <v>42</v>
      </c>
      <c r="D264" s="3" t="s">
        <v>43</v>
      </c>
      <c r="E264" s="3" t="s">
        <v>81</v>
      </c>
      <c r="F264" s="1">
        <v>33</v>
      </c>
      <c r="G264" s="3" t="s">
        <v>70</v>
      </c>
      <c r="H264" s="3" t="s">
        <v>71</v>
      </c>
      <c r="I264" s="3" t="s">
        <v>82</v>
      </c>
      <c r="J264" s="1">
        <v>10</v>
      </c>
      <c r="K264" s="1">
        <v>23</v>
      </c>
      <c r="L264" s="1">
        <v>22</v>
      </c>
      <c r="M264" s="3" t="s">
        <v>44</v>
      </c>
    </row>
    <row r="265" spans="1:13" x14ac:dyDescent="0.3">
      <c r="A265" s="1">
        <v>13</v>
      </c>
      <c r="B265" s="2">
        <v>46264</v>
      </c>
      <c r="C265" s="3" t="s">
        <v>42</v>
      </c>
      <c r="D265" s="3" t="s">
        <v>43</v>
      </c>
      <c r="E265" s="3" t="s">
        <v>105</v>
      </c>
      <c r="F265" s="1">
        <v>43</v>
      </c>
      <c r="G265" s="3" t="s">
        <v>103</v>
      </c>
      <c r="H265" s="3" t="s">
        <v>99</v>
      </c>
      <c r="I265" s="3" t="s">
        <v>106</v>
      </c>
      <c r="J265" s="1">
        <v>11</v>
      </c>
      <c r="K265" s="1">
        <v>23</v>
      </c>
      <c r="L265" s="1">
        <v>22</v>
      </c>
      <c r="M265" s="3" t="s">
        <v>44</v>
      </c>
    </row>
    <row r="266" spans="1:13" x14ac:dyDescent="0.3">
      <c r="A266" s="1">
        <v>13</v>
      </c>
      <c r="B266" s="2">
        <v>46264</v>
      </c>
      <c r="C266" s="3" t="s">
        <v>42</v>
      </c>
      <c r="D266" s="3" t="s">
        <v>43</v>
      </c>
      <c r="E266" s="3" t="s">
        <v>109</v>
      </c>
      <c r="F266" s="1">
        <v>36</v>
      </c>
      <c r="G266" s="3" t="s">
        <v>87</v>
      </c>
      <c r="H266" s="3" t="s">
        <v>88</v>
      </c>
      <c r="I266" s="3" t="s">
        <v>72</v>
      </c>
      <c r="J266" s="1">
        <v>12</v>
      </c>
      <c r="K266" s="1">
        <v>23</v>
      </c>
      <c r="L266" s="1">
        <v>22</v>
      </c>
      <c r="M266" s="3" t="s">
        <v>44</v>
      </c>
    </row>
    <row r="267" spans="1:13" x14ac:dyDescent="0.3">
      <c r="A267" s="1">
        <v>13</v>
      </c>
      <c r="B267" s="2">
        <v>46264</v>
      </c>
      <c r="C267" s="3" t="s">
        <v>42</v>
      </c>
      <c r="D267" s="3" t="s">
        <v>43</v>
      </c>
      <c r="E267" s="3" t="s">
        <v>100</v>
      </c>
      <c r="F267" s="1">
        <v>42</v>
      </c>
      <c r="G267" s="3" t="s">
        <v>98</v>
      </c>
      <c r="H267" s="3" t="s">
        <v>99</v>
      </c>
      <c r="I267" s="3" t="s">
        <v>72</v>
      </c>
      <c r="J267" s="1">
        <v>13</v>
      </c>
      <c r="K267" s="1">
        <v>23</v>
      </c>
      <c r="L267" s="1">
        <v>22</v>
      </c>
      <c r="M267" s="3" t="s">
        <v>44</v>
      </c>
    </row>
    <row r="268" spans="1:13" x14ac:dyDescent="0.3">
      <c r="A268" s="1">
        <v>13</v>
      </c>
      <c r="B268" s="2">
        <v>46264</v>
      </c>
      <c r="C268" s="3" t="s">
        <v>42</v>
      </c>
      <c r="D268" s="3" t="s">
        <v>43</v>
      </c>
      <c r="E268" s="3" t="s">
        <v>86</v>
      </c>
      <c r="F268" s="1">
        <v>10</v>
      </c>
      <c r="G268" s="3" t="s">
        <v>87</v>
      </c>
      <c r="H268" s="3" t="s">
        <v>88</v>
      </c>
      <c r="I268" s="3" t="s">
        <v>68</v>
      </c>
      <c r="J268" s="1">
        <v>14</v>
      </c>
      <c r="K268" s="1">
        <v>23</v>
      </c>
      <c r="L268" s="1">
        <v>22</v>
      </c>
      <c r="M268" s="3" t="s">
        <v>44</v>
      </c>
    </row>
    <row r="269" spans="1:13" x14ac:dyDescent="0.3">
      <c r="A269" s="1">
        <v>13</v>
      </c>
      <c r="B269" s="2">
        <v>46264</v>
      </c>
      <c r="C269" s="3" t="s">
        <v>42</v>
      </c>
      <c r="D269" s="3" t="s">
        <v>43</v>
      </c>
      <c r="E269" s="3" t="s">
        <v>89</v>
      </c>
      <c r="F269" s="1">
        <v>5</v>
      </c>
      <c r="G269" s="3" t="s">
        <v>90</v>
      </c>
      <c r="H269" s="3" t="s">
        <v>88</v>
      </c>
      <c r="I269" s="3" t="s">
        <v>91</v>
      </c>
      <c r="J269" s="1">
        <v>15</v>
      </c>
      <c r="K269" s="1">
        <v>23</v>
      </c>
      <c r="L269" s="1">
        <v>22</v>
      </c>
      <c r="M269" s="3" t="s">
        <v>44</v>
      </c>
    </row>
    <row r="270" spans="1:13" x14ac:dyDescent="0.3">
      <c r="A270" s="1">
        <v>13</v>
      </c>
      <c r="B270" s="2">
        <v>46264</v>
      </c>
      <c r="C270" s="3" t="s">
        <v>42</v>
      </c>
      <c r="D270" s="3" t="s">
        <v>43</v>
      </c>
      <c r="E270" s="3" t="s">
        <v>122</v>
      </c>
      <c r="F270" s="1">
        <v>44</v>
      </c>
      <c r="G270" s="3" t="s">
        <v>93</v>
      </c>
      <c r="H270" s="3" t="s">
        <v>71</v>
      </c>
      <c r="I270" s="3" t="s">
        <v>72</v>
      </c>
      <c r="J270" s="1">
        <v>16</v>
      </c>
      <c r="K270" s="1">
        <v>23</v>
      </c>
      <c r="L270" s="1">
        <v>22</v>
      </c>
      <c r="M270" s="3" t="s">
        <v>44</v>
      </c>
    </row>
    <row r="271" spans="1:13" x14ac:dyDescent="0.3">
      <c r="A271" s="1">
        <v>13</v>
      </c>
      <c r="B271" s="2">
        <v>46264</v>
      </c>
      <c r="C271" s="3" t="s">
        <v>42</v>
      </c>
      <c r="D271" s="3" t="s">
        <v>43</v>
      </c>
      <c r="E271" s="3" t="s">
        <v>115</v>
      </c>
      <c r="F271" s="1">
        <v>32</v>
      </c>
      <c r="G271" s="3" t="s">
        <v>120</v>
      </c>
      <c r="H271" s="3" t="s">
        <v>67</v>
      </c>
      <c r="I271" s="3" t="s">
        <v>68</v>
      </c>
      <c r="J271" s="1">
        <v>17</v>
      </c>
      <c r="K271" s="1">
        <v>23</v>
      </c>
      <c r="L271" s="1">
        <v>22</v>
      </c>
      <c r="M271" s="3" t="s">
        <v>44</v>
      </c>
    </row>
    <row r="272" spans="1:13" x14ac:dyDescent="0.3">
      <c r="A272" s="1">
        <v>13</v>
      </c>
      <c r="B272" s="2">
        <v>46264</v>
      </c>
      <c r="C272" s="3" t="s">
        <v>42</v>
      </c>
      <c r="D272" s="3" t="s">
        <v>43</v>
      </c>
      <c r="E272" s="3" t="s">
        <v>97</v>
      </c>
      <c r="F272" s="1">
        <v>20</v>
      </c>
      <c r="G272" s="3" t="s">
        <v>98</v>
      </c>
      <c r="H272" s="3" t="s">
        <v>99</v>
      </c>
      <c r="I272" s="3" t="s">
        <v>91</v>
      </c>
      <c r="J272" s="1">
        <v>18</v>
      </c>
      <c r="K272" s="1">
        <v>23</v>
      </c>
      <c r="L272" s="1">
        <v>22</v>
      </c>
      <c r="M272" s="3" t="s">
        <v>44</v>
      </c>
    </row>
    <row r="273" spans="1:13" x14ac:dyDescent="0.3">
      <c r="A273" s="1">
        <v>13</v>
      </c>
      <c r="B273" s="2">
        <v>46264</v>
      </c>
      <c r="C273" s="3" t="s">
        <v>42</v>
      </c>
      <c r="D273" s="3" t="s">
        <v>43</v>
      </c>
      <c r="E273" s="3" t="s">
        <v>102</v>
      </c>
      <c r="F273" s="1">
        <v>7</v>
      </c>
      <c r="G273" s="3" t="s">
        <v>103</v>
      </c>
      <c r="H273" s="3" t="s">
        <v>99</v>
      </c>
      <c r="I273" s="3" t="s">
        <v>104</v>
      </c>
      <c r="J273" s="1">
        <v>19</v>
      </c>
      <c r="K273" s="1">
        <v>20</v>
      </c>
      <c r="L273" s="1">
        <v>19</v>
      </c>
      <c r="M273" s="3" t="s">
        <v>44</v>
      </c>
    </row>
    <row r="274" spans="1:13" x14ac:dyDescent="0.3">
      <c r="A274" s="1">
        <v>13</v>
      </c>
      <c r="B274" s="2">
        <v>46264</v>
      </c>
      <c r="C274" s="3" t="s">
        <v>42</v>
      </c>
      <c r="D274" s="3" t="s">
        <v>43</v>
      </c>
      <c r="E274" s="3" t="s">
        <v>73</v>
      </c>
      <c r="F274" s="1">
        <v>25</v>
      </c>
      <c r="G274" s="3" t="s">
        <v>120</v>
      </c>
      <c r="H274" s="3" t="s">
        <v>67</v>
      </c>
      <c r="I274" s="3" t="s">
        <v>72</v>
      </c>
      <c r="J274" s="1">
        <v>20</v>
      </c>
      <c r="K274" s="1">
        <v>6</v>
      </c>
      <c r="L274" s="1">
        <v>4</v>
      </c>
      <c r="M274" s="3" t="s">
        <v>44</v>
      </c>
    </row>
    <row r="275" spans="1:13" x14ac:dyDescent="0.3">
      <c r="A275" s="1">
        <v>13</v>
      </c>
      <c r="B275" s="2">
        <v>46264</v>
      </c>
      <c r="C275" s="3" t="s">
        <v>42</v>
      </c>
      <c r="D275" s="3" t="s">
        <v>43</v>
      </c>
      <c r="E275" s="3" t="s">
        <v>84</v>
      </c>
      <c r="F275" s="1">
        <v>63</v>
      </c>
      <c r="G275" s="3" t="s">
        <v>85</v>
      </c>
      <c r="H275" s="3" t="s">
        <v>80</v>
      </c>
      <c r="I275" s="3" t="s">
        <v>68</v>
      </c>
      <c r="J275" s="1">
        <v>21</v>
      </c>
      <c r="K275" s="1">
        <v>5</v>
      </c>
      <c r="L275" s="1">
        <v>4</v>
      </c>
      <c r="M275" s="3" t="s">
        <v>44</v>
      </c>
    </row>
    <row r="276" spans="1:13" x14ac:dyDescent="0.3">
      <c r="A276" s="1">
        <v>13</v>
      </c>
      <c r="B276" s="2">
        <v>46264</v>
      </c>
      <c r="C276" s="3" t="s">
        <v>42</v>
      </c>
      <c r="D276" s="3" t="s">
        <v>43</v>
      </c>
      <c r="E276" s="3" t="s">
        <v>83</v>
      </c>
      <c r="F276" s="1">
        <v>21</v>
      </c>
      <c r="G276" s="3" t="s">
        <v>79</v>
      </c>
      <c r="H276" s="3" t="s">
        <v>80</v>
      </c>
      <c r="I276" s="3" t="s">
        <v>68</v>
      </c>
      <c r="J276" s="1">
        <v>22</v>
      </c>
      <c r="K276" s="1">
        <v>5</v>
      </c>
      <c r="L276" s="1">
        <v>4</v>
      </c>
      <c r="M276" s="3" t="s">
        <v>44</v>
      </c>
    </row>
    <row r="277" spans="1:13" x14ac:dyDescent="0.3">
      <c r="A277" s="1">
        <v>14</v>
      </c>
      <c r="B277" s="2">
        <v>46278</v>
      </c>
      <c r="C277" s="3" t="s">
        <v>45</v>
      </c>
      <c r="D277" s="3" t="s">
        <v>46</v>
      </c>
      <c r="E277" s="3" t="s">
        <v>111</v>
      </c>
      <c r="F277" s="1">
        <v>93</v>
      </c>
      <c r="G277" s="3" t="s">
        <v>85</v>
      </c>
      <c r="H277" s="3" t="s">
        <v>80</v>
      </c>
      <c r="I277" s="3" t="s">
        <v>72</v>
      </c>
      <c r="J277" s="1">
        <v>1</v>
      </c>
      <c r="K277" s="1">
        <v>27</v>
      </c>
      <c r="L277" s="1">
        <v>24</v>
      </c>
      <c r="M277" s="3" t="s">
        <v>47</v>
      </c>
    </row>
    <row r="278" spans="1:13" x14ac:dyDescent="0.3">
      <c r="A278" s="1">
        <v>14</v>
      </c>
      <c r="B278" s="2">
        <v>46278</v>
      </c>
      <c r="C278" s="3" t="s">
        <v>45</v>
      </c>
      <c r="D278" s="3" t="s">
        <v>46</v>
      </c>
      <c r="E278" s="3" t="s">
        <v>110</v>
      </c>
      <c r="F278" s="1">
        <v>73</v>
      </c>
      <c r="G278" s="3" t="s">
        <v>108</v>
      </c>
      <c r="H278" s="3" t="s">
        <v>80</v>
      </c>
      <c r="I278" s="3" t="s">
        <v>72</v>
      </c>
      <c r="J278" s="1">
        <v>2</v>
      </c>
      <c r="K278" s="1">
        <v>27</v>
      </c>
      <c r="L278" s="1">
        <v>23</v>
      </c>
      <c r="M278" s="3" t="s">
        <v>47</v>
      </c>
    </row>
    <row r="279" spans="1:13" x14ac:dyDescent="0.3">
      <c r="A279" s="1">
        <v>14</v>
      </c>
      <c r="B279" s="2">
        <v>46278</v>
      </c>
      <c r="C279" s="3" t="s">
        <v>45</v>
      </c>
      <c r="D279" s="3" t="s">
        <v>46</v>
      </c>
      <c r="E279" s="3" t="s">
        <v>69</v>
      </c>
      <c r="F279" s="1">
        <v>37</v>
      </c>
      <c r="G279" s="3" t="s">
        <v>70</v>
      </c>
      <c r="H279" s="3" t="s">
        <v>71</v>
      </c>
      <c r="I279" s="3" t="s">
        <v>72</v>
      </c>
      <c r="J279" s="1">
        <v>3</v>
      </c>
      <c r="K279" s="1">
        <v>27</v>
      </c>
      <c r="L279" s="1">
        <v>25</v>
      </c>
      <c r="M279" s="3" t="s">
        <v>47</v>
      </c>
    </row>
    <row r="280" spans="1:13" x14ac:dyDescent="0.3">
      <c r="A280" s="1">
        <v>14</v>
      </c>
      <c r="B280" s="2">
        <v>46278</v>
      </c>
      <c r="C280" s="3" t="s">
        <v>45</v>
      </c>
      <c r="D280" s="3" t="s">
        <v>46</v>
      </c>
      <c r="E280" s="3" t="s">
        <v>112</v>
      </c>
      <c r="F280" s="1">
        <v>54</v>
      </c>
      <c r="G280" s="3" t="s">
        <v>108</v>
      </c>
      <c r="H280" s="3" t="s">
        <v>80</v>
      </c>
      <c r="I280" s="3" t="s">
        <v>72</v>
      </c>
      <c r="J280" s="1">
        <v>4</v>
      </c>
      <c r="K280" s="1">
        <v>27</v>
      </c>
      <c r="L280" s="1">
        <v>24</v>
      </c>
      <c r="M280" s="3" t="s">
        <v>47</v>
      </c>
    </row>
    <row r="281" spans="1:13" x14ac:dyDescent="0.3">
      <c r="A281" s="1">
        <v>14</v>
      </c>
      <c r="B281" s="2">
        <v>46278</v>
      </c>
      <c r="C281" s="3" t="s">
        <v>45</v>
      </c>
      <c r="D281" s="3" t="s">
        <v>46</v>
      </c>
      <c r="E281" s="3" t="s">
        <v>75</v>
      </c>
      <c r="F281" s="1">
        <v>89</v>
      </c>
      <c r="G281" s="3" t="s">
        <v>66</v>
      </c>
      <c r="H281" s="3" t="s">
        <v>67</v>
      </c>
      <c r="I281" s="3" t="s">
        <v>72</v>
      </c>
      <c r="J281" s="1">
        <v>5</v>
      </c>
      <c r="K281" s="1">
        <v>27</v>
      </c>
      <c r="L281" s="1">
        <v>25</v>
      </c>
      <c r="M281" s="3" t="s">
        <v>47</v>
      </c>
    </row>
    <row r="282" spans="1:13" x14ac:dyDescent="0.3">
      <c r="A282" s="1">
        <v>14</v>
      </c>
      <c r="B282" s="2">
        <v>46278</v>
      </c>
      <c r="C282" s="3" t="s">
        <v>45</v>
      </c>
      <c r="D282" s="3" t="s">
        <v>46</v>
      </c>
      <c r="E282" s="3" t="s">
        <v>73</v>
      </c>
      <c r="F282" s="1">
        <v>25</v>
      </c>
      <c r="G282" s="3" t="s">
        <v>120</v>
      </c>
      <c r="H282" s="3" t="s">
        <v>67</v>
      </c>
      <c r="I282" s="3" t="s">
        <v>72</v>
      </c>
      <c r="J282" s="1">
        <v>6</v>
      </c>
      <c r="K282" s="1">
        <v>27</v>
      </c>
      <c r="L282" s="1">
        <v>26</v>
      </c>
      <c r="M282" s="3" t="s">
        <v>47</v>
      </c>
    </row>
    <row r="283" spans="1:13" x14ac:dyDescent="0.3">
      <c r="A283" s="1">
        <v>14</v>
      </c>
      <c r="B283" s="2">
        <v>46278</v>
      </c>
      <c r="C283" s="3" t="s">
        <v>45</v>
      </c>
      <c r="D283" s="3" t="s">
        <v>46</v>
      </c>
      <c r="E283" s="3" t="s">
        <v>78</v>
      </c>
      <c r="F283" s="1">
        <v>49</v>
      </c>
      <c r="G283" s="3" t="s">
        <v>79</v>
      </c>
      <c r="H283" s="3" t="s">
        <v>80</v>
      </c>
      <c r="I283" s="3" t="s">
        <v>68</v>
      </c>
      <c r="J283" s="1">
        <v>7</v>
      </c>
      <c r="K283" s="1">
        <v>27</v>
      </c>
      <c r="L283" s="1">
        <v>24</v>
      </c>
      <c r="M283" s="3" t="s">
        <v>47</v>
      </c>
    </row>
    <row r="284" spans="1:13" x14ac:dyDescent="0.3">
      <c r="A284" s="1">
        <v>14</v>
      </c>
      <c r="B284" s="2">
        <v>46278</v>
      </c>
      <c r="C284" s="3" t="s">
        <v>45</v>
      </c>
      <c r="D284" s="3" t="s">
        <v>46</v>
      </c>
      <c r="E284" s="3" t="s">
        <v>92</v>
      </c>
      <c r="F284" s="1">
        <v>23</v>
      </c>
      <c r="G284" s="3" t="s">
        <v>93</v>
      </c>
      <c r="H284" s="3" t="s">
        <v>71</v>
      </c>
      <c r="I284" s="3" t="s">
        <v>68</v>
      </c>
      <c r="J284" s="1">
        <v>8</v>
      </c>
      <c r="K284" s="1">
        <v>27</v>
      </c>
      <c r="L284" s="1">
        <v>24</v>
      </c>
      <c r="M284" s="3" t="s">
        <v>47</v>
      </c>
    </row>
    <row r="285" spans="1:13" x14ac:dyDescent="0.3">
      <c r="A285" s="1">
        <v>14</v>
      </c>
      <c r="B285" s="2">
        <v>46278</v>
      </c>
      <c r="C285" s="3" t="s">
        <v>45</v>
      </c>
      <c r="D285" s="3" t="s">
        <v>46</v>
      </c>
      <c r="E285" s="3" t="s">
        <v>86</v>
      </c>
      <c r="F285" s="1">
        <v>10</v>
      </c>
      <c r="G285" s="3" t="s">
        <v>87</v>
      </c>
      <c r="H285" s="3" t="s">
        <v>88</v>
      </c>
      <c r="I285" s="3" t="s">
        <v>68</v>
      </c>
      <c r="J285" s="1">
        <v>9</v>
      </c>
      <c r="K285" s="1">
        <v>27</v>
      </c>
      <c r="L285" s="1">
        <v>25</v>
      </c>
      <c r="M285" s="3" t="s">
        <v>47</v>
      </c>
    </row>
    <row r="286" spans="1:13" x14ac:dyDescent="0.3">
      <c r="A286" s="1">
        <v>14</v>
      </c>
      <c r="B286" s="2">
        <v>46278</v>
      </c>
      <c r="C286" s="3" t="s">
        <v>45</v>
      </c>
      <c r="D286" s="3" t="s">
        <v>46</v>
      </c>
      <c r="E286" s="3" t="s">
        <v>97</v>
      </c>
      <c r="F286" s="1">
        <v>20</v>
      </c>
      <c r="G286" s="3" t="s">
        <v>98</v>
      </c>
      <c r="H286" s="3" t="s">
        <v>99</v>
      </c>
      <c r="I286" s="3" t="s">
        <v>91</v>
      </c>
      <c r="J286" s="1">
        <v>10</v>
      </c>
      <c r="K286" s="1">
        <v>27</v>
      </c>
      <c r="L286" s="1">
        <v>23</v>
      </c>
      <c r="M286" s="3" t="s">
        <v>47</v>
      </c>
    </row>
    <row r="287" spans="1:13" x14ac:dyDescent="0.3">
      <c r="A287" s="1">
        <v>14</v>
      </c>
      <c r="B287" s="2">
        <v>46278</v>
      </c>
      <c r="C287" s="3" t="s">
        <v>45</v>
      </c>
      <c r="D287" s="3" t="s">
        <v>46</v>
      </c>
      <c r="E287" s="3" t="s">
        <v>81</v>
      </c>
      <c r="F287" s="1">
        <v>33</v>
      </c>
      <c r="G287" s="3" t="s">
        <v>70</v>
      </c>
      <c r="H287" s="3" t="s">
        <v>71</v>
      </c>
      <c r="I287" s="3" t="s">
        <v>82</v>
      </c>
      <c r="J287" s="1">
        <v>11</v>
      </c>
      <c r="K287" s="1">
        <v>27</v>
      </c>
      <c r="L287" s="1">
        <v>24</v>
      </c>
      <c r="M287" s="3" t="s">
        <v>47</v>
      </c>
    </row>
    <row r="288" spans="1:13" x14ac:dyDescent="0.3">
      <c r="A288" s="1">
        <v>14</v>
      </c>
      <c r="B288" s="2">
        <v>46278</v>
      </c>
      <c r="C288" s="3" t="s">
        <v>45</v>
      </c>
      <c r="D288" s="3" t="s">
        <v>46</v>
      </c>
      <c r="E288" s="3" t="s">
        <v>102</v>
      </c>
      <c r="F288" s="1">
        <v>7</v>
      </c>
      <c r="G288" s="3" t="s">
        <v>103</v>
      </c>
      <c r="H288" s="3" t="s">
        <v>99</v>
      </c>
      <c r="I288" s="3" t="s">
        <v>104</v>
      </c>
      <c r="J288" s="1">
        <v>12</v>
      </c>
      <c r="K288" s="1">
        <v>27</v>
      </c>
      <c r="L288" s="1">
        <v>21</v>
      </c>
      <c r="M288" s="3" t="s">
        <v>47</v>
      </c>
    </row>
    <row r="289" spans="1:13" x14ac:dyDescent="0.3">
      <c r="A289" s="1">
        <v>14</v>
      </c>
      <c r="B289" s="2">
        <v>46278</v>
      </c>
      <c r="C289" s="3" t="s">
        <v>45</v>
      </c>
      <c r="D289" s="3" t="s">
        <v>46</v>
      </c>
      <c r="E289" s="3" t="s">
        <v>83</v>
      </c>
      <c r="F289" s="1">
        <v>21</v>
      </c>
      <c r="G289" s="3" t="s">
        <v>79</v>
      </c>
      <c r="H289" s="3" t="s">
        <v>80</v>
      </c>
      <c r="I289" s="3" t="s">
        <v>68</v>
      </c>
      <c r="J289" s="1">
        <v>13</v>
      </c>
      <c r="K289" s="1">
        <v>27</v>
      </c>
      <c r="L289" s="1">
        <v>23</v>
      </c>
      <c r="M289" s="3" t="s">
        <v>47</v>
      </c>
    </row>
    <row r="290" spans="1:13" x14ac:dyDescent="0.3">
      <c r="A290" s="1">
        <v>14</v>
      </c>
      <c r="B290" s="2">
        <v>46278</v>
      </c>
      <c r="C290" s="3" t="s">
        <v>45</v>
      </c>
      <c r="D290" s="3" t="s">
        <v>46</v>
      </c>
      <c r="E290" s="3" t="s">
        <v>122</v>
      </c>
      <c r="F290" s="1">
        <v>44</v>
      </c>
      <c r="G290" s="3" t="s">
        <v>93</v>
      </c>
      <c r="H290" s="3" t="s">
        <v>71</v>
      </c>
      <c r="I290" s="3" t="s">
        <v>72</v>
      </c>
      <c r="J290" s="1">
        <v>14</v>
      </c>
      <c r="K290" s="1">
        <v>27</v>
      </c>
      <c r="L290" s="1">
        <v>23</v>
      </c>
      <c r="M290" s="3" t="s">
        <v>47</v>
      </c>
    </row>
    <row r="291" spans="1:13" x14ac:dyDescent="0.3">
      <c r="A291" s="1">
        <v>14</v>
      </c>
      <c r="B291" s="2">
        <v>46278</v>
      </c>
      <c r="C291" s="3" t="s">
        <v>45</v>
      </c>
      <c r="D291" s="3" t="s">
        <v>46</v>
      </c>
      <c r="E291" s="3" t="s">
        <v>89</v>
      </c>
      <c r="F291" s="1">
        <v>5</v>
      </c>
      <c r="G291" s="3" t="s">
        <v>90</v>
      </c>
      <c r="H291" s="3" t="s">
        <v>88</v>
      </c>
      <c r="I291" s="3" t="s">
        <v>91</v>
      </c>
      <c r="J291" s="1">
        <v>15</v>
      </c>
      <c r="K291" s="1">
        <v>24</v>
      </c>
      <c r="L291" s="1">
        <v>20</v>
      </c>
      <c r="M291" s="3" t="s">
        <v>47</v>
      </c>
    </row>
    <row r="292" spans="1:13" x14ac:dyDescent="0.3">
      <c r="A292" s="1">
        <v>14</v>
      </c>
      <c r="B292" s="2">
        <v>46278</v>
      </c>
      <c r="C292" s="3" t="s">
        <v>45</v>
      </c>
      <c r="D292" s="3" t="s">
        <v>46</v>
      </c>
      <c r="E292" s="3" t="s">
        <v>100</v>
      </c>
      <c r="F292" s="1">
        <v>42</v>
      </c>
      <c r="G292" s="3" t="s">
        <v>98</v>
      </c>
      <c r="H292" s="3" t="s">
        <v>99</v>
      </c>
      <c r="I292" s="3" t="s">
        <v>72</v>
      </c>
      <c r="J292" s="1">
        <v>16</v>
      </c>
      <c r="K292" s="1">
        <v>16</v>
      </c>
      <c r="L292" s="1">
        <v>14</v>
      </c>
      <c r="M292" s="3" t="s">
        <v>47</v>
      </c>
    </row>
    <row r="293" spans="1:13" x14ac:dyDescent="0.3">
      <c r="A293" s="1">
        <v>14</v>
      </c>
      <c r="B293" s="2">
        <v>46278</v>
      </c>
      <c r="C293" s="3" t="s">
        <v>45</v>
      </c>
      <c r="D293" s="3" t="s">
        <v>46</v>
      </c>
      <c r="E293" s="3" t="s">
        <v>84</v>
      </c>
      <c r="F293" s="1">
        <v>63</v>
      </c>
      <c r="G293" s="3" t="s">
        <v>85</v>
      </c>
      <c r="H293" s="3" t="s">
        <v>80</v>
      </c>
      <c r="I293" s="3" t="s">
        <v>68</v>
      </c>
      <c r="J293" s="1">
        <v>17</v>
      </c>
      <c r="K293" s="1">
        <v>5</v>
      </c>
      <c r="L293" s="1">
        <v>3</v>
      </c>
      <c r="M293" s="3" t="s">
        <v>47</v>
      </c>
    </row>
    <row r="294" spans="1:13" x14ac:dyDescent="0.3">
      <c r="A294" s="1">
        <v>14</v>
      </c>
      <c r="B294" s="2">
        <v>46278</v>
      </c>
      <c r="C294" s="3" t="s">
        <v>45</v>
      </c>
      <c r="D294" s="3" t="s">
        <v>46</v>
      </c>
      <c r="E294" s="3" t="s">
        <v>109</v>
      </c>
      <c r="F294" s="1">
        <v>36</v>
      </c>
      <c r="G294" s="3" t="s">
        <v>87</v>
      </c>
      <c r="H294" s="3" t="s">
        <v>88</v>
      </c>
      <c r="I294" s="3" t="s">
        <v>72</v>
      </c>
      <c r="J294" s="1">
        <v>18</v>
      </c>
      <c r="K294" s="1">
        <v>5</v>
      </c>
      <c r="L294" s="1">
        <v>3</v>
      </c>
      <c r="M294" s="3" t="s">
        <v>47</v>
      </c>
    </row>
    <row r="295" spans="1:13" x14ac:dyDescent="0.3">
      <c r="A295" s="1">
        <v>14</v>
      </c>
      <c r="B295" s="2">
        <v>46278</v>
      </c>
      <c r="C295" s="3" t="s">
        <v>45</v>
      </c>
      <c r="D295" s="3" t="s">
        <v>46</v>
      </c>
      <c r="E295" s="3" t="s">
        <v>94</v>
      </c>
      <c r="F295" s="1">
        <v>11</v>
      </c>
      <c r="G295" s="3" t="s">
        <v>95</v>
      </c>
      <c r="H295" s="3" t="s">
        <v>88</v>
      </c>
      <c r="I295" s="3" t="s">
        <v>96</v>
      </c>
      <c r="J295" s="1">
        <v>19</v>
      </c>
      <c r="K295" s="1">
        <v>2</v>
      </c>
      <c r="L295" s="1">
        <v>0</v>
      </c>
      <c r="M295" s="3" t="s">
        <v>47</v>
      </c>
    </row>
    <row r="296" spans="1:13" x14ac:dyDescent="0.3">
      <c r="A296" s="1">
        <v>14</v>
      </c>
      <c r="B296" s="2">
        <v>46278</v>
      </c>
      <c r="C296" s="3" t="s">
        <v>45</v>
      </c>
      <c r="D296" s="3" t="s">
        <v>46</v>
      </c>
      <c r="E296" s="3" t="s">
        <v>105</v>
      </c>
      <c r="F296" s="1">
        <v>43</v>
      </c>
      <c r="G296" s="3" t="s">
        <v>103</v>
      </c>
      <c r="H296" s="3" t="s">
        <v>99</v>
      </c>
      <c r="I296" s="3" t="s">
        <v>106</v>
      </c>
      <c r="J296" s="1">
        <v>20</v>
      </c>
      <c r="K296" s="1">
        <v>1</v>
      </c>
      <c r="L296" s="1">
        <v>0</v>
      </c>
      <c r="M296" s="3" t="s">
        <v>47</v>
      </c>
    </row>
    <row r="297" spans="1:13" x14ac:dyDescent="0.3">
      <c r="A297" s="1">
        <v>14</v>
      </c>
      <c r="B297" s="2">
        <v>46278</v>
      </c>
      <c r="C297" s="3" t="s">
        <v>45</v>
      </c>
      <c r="D297" s="3" t="s">
        <v>46</v>
      </c>
      <c r="E297" s="3" t="s">
        <v>65</v>
      </c>
      <c r="F297" s="1">
        <v>72</v>
      </c>
      <c r="G297" s="3" t="s">
        <v>66</v>
      </c>
      <c r="H297" s="3" t="s">
        <v>67</v>
      </c>
      <c r="I297" s="3" t="s">
        <v>68</v>
      </c>
      <c r="J297" s="1">
        <v>21</v>
      </c>
      <c r="K297" s="1">
        <v>0</v>
      </c>
      <c r="L297" s="1">
        <v>0</v>
      </c>
      <c r="M297" s="3" t="s">
        <v>47</v>
      </c>
    </row>
    <row r="298" spans="1:13" x14ac:dyDescent="0.3">
      <c r="A298" s="1">
        <v>15</v>
      </c>
      <c r="B298" s="2">
        <v>46285</v>
      </c>
      <c r="C298" s="3" t="s">
        <v>48</v>
      </c>
      <c r="D298" s="3" t="s">
        <v>49</v>
      </c>
      <c r="E298" s="3" t="s">
        <v>69</v>
      </c>
      <c r="F298" s="1">
        <v>37</v>
      </c>
      <c r="G298" s="3" t="s">
        <v>70</v>
      </c>
      <c r="H298" s="3" t="s">
        <v>71</v>
      </c>
      <c r="I298" s="3" t="s">
        <v>72</v>
      </c>
      <c r="J298" s="1">
        <v>1</v>
      </c>
      <c r="K298" s="1">
        <v>28</v>
      </c>
      <c r="L298" s="1">
        <v>27</v>
      </c>
      <c r="M298" s="3" t="s">
        <v>50</v>
      </c>
    </row>
    <row r="299" spans="1:13" x14ac:dyDescent="0.3">
      <c r="A299" s="1">
        <v>15</v>
      </c>
      <c r="B299" s="2">
        <v>46285</v>
      </c>
      <c r="C299" s="3" t="s">
        <v>48</v>
      </c>
      <c r="D299" s="3" t="s">
        <v>49</v>
      </c>
      <c r="E299" s="3" t="s">
        <v>75</v>
      </c>
      <c r="F299" s="1">
        <v>89</v>
      </c>
      <c r="G299" s="3" t="s">
        <v>66</v>
      </c>
      <c r="H299" s="3" t="s">
        <v>67</v>
      </c>
      <c r="I299" s="3" t="s">
        <v>72</v>
      </c>
      <c r="J299" s="1">
        <v>2</v>
      </c>
      <c r="K299" s="1">
        <v>28</v>
      </c>
      <c r="L299" s="1">
        <v>27</v>
      </c>
      <c r="M299" s="3" t="s">
        <v>50</v>
      </c>
    </row>
    <row r="300" spans="1:13" x14ac:dyDescent="0.3">
      <c r="A300" s="1">
        <v>15</v>
      </c>
      <c r="B300" s="2">
        <v>46285</v>
      </c>
      <c r="C300" s="3" t="s">
        <v>48</v>
      </c>
      <c r="D300" s="3" t="s">
        <v>49</v>
      </c>
      <c r="E300" s="3" t="s">
        <v>65</v>
      </c>
      <c r="F300" s="1">
        <v>72</v>
      </c>
      <c r="G300" s="3" t="s">
        <v>66</v>
      </c>
      <c r="H300" s="3" t="s">
        <v>67</v>
      </c>
      <c r="I300" s="3" t="s">
        <v>68</v>
      </c>
      <c r="J300" s="1">
        <v>3</v>
      </c>
      <c r="K300" s="1">
        <v>28</v>
      </c>
      <c r="L300" s="1">
        <v>26</v>
      </c>
      <c r="M300" s="3" t="s">
        <v>50</v>
      </c>
    </row>
    <row r="301" spans="1:13" x14ac:dyDescent="0.3">
      <c r="A301" s="1">
        <v>15</v>
      </c>
      <c r="B301" s="2">
        <v>46285</v>
      </c>
      <c r="C301" s="3" t="s">
        <v>48</v>
      </c>
      <c r="D301" s="3" t="s">
        <v>49</v>
      </c>
      <c r="E301" s="3" t="s">
        <v>76</v>
      </c>
      <c r="F301" s="1">
        <v>79</v>
      </c>
      <c r="G301" s="3" t="s">
        <v>120</v>
      </c>
      <c r="H301" s="3" t="s">
        <v>67</v>
      </c>
      <c r="I301" s="3" t="s">
        <v>77</v>
      </c>
      <c r="J301" s="1">
        <v>4</v>
      </c>
      <c r="K301" s="1">
        <v>28</v>
      </c>
      <c r="L301" s="1">
        <v>27</v>
      </c>
      <c r="M301" s="3" t="s">
        <v>50</v>
      </c>
    </row>
    <row r="302" spans="1:13" x14ac:dyDescent="0.3">
      <c r="A302" s="1">
        <v>15</v>
      </c>
      <c r="B302" s="2">
        <v>46285</v>
      </c>
      <c r="C302" s="3" t="s">
        <v>48</v>
      </c>
      <c r="D302" s="3" t="s">
        <v>49</v>
      </c>
      <c r="E302" s="3" t="s">
        <v>111</v>
      </c>
      <c r="F302" s="1">
        <v>93</v>
      </c>
      <c r="G302" s="3" t="s">
        <v>85</v>
      </c>
      <c r="H302" s="3" t="s">
        <v>80</v>
      </c>
      <c r="I302" s="3" t="s">
        <v>72</v>
      </c>
      <c r="J302" s="1">
        <v>5</v>
      </c>
      <c r="K302" s="1">
        <v>28</v>
      </c>
      <c r="L302" s="1">
        <v>26</v>
      </c>
      <c r="M302" s="3" t="s">
        <v>50</v>
      </c>
    </row>
    <row r="303" spans="1:13" x14ac:dyDescent="0.3">
      <c r="A303" s="1">
        <v>15</v>
      </c>
      <c r="B303" s="2">
        <v>46285</v>
      </c>
      <c r="C303" s="3" t="s">
        <v>48</v>
      </c>
      <c r="D303" s="3" t="s">
        <v>49</v>
      </c>
      <c r="E303" s="3" t="s">
        <v>81</v>
      </c>
      <c r="F303" s="1">
        <v>33</v>
      </c>
      <c r="G303" s="3" t="s">
        <v>70</v>
      </c>
      <c r="H303" s="3" t="s">
        <v>71</v>
      </c>
      <c r="I303" s="3" t="s">
        <v>82</v>
      </c>
      <c r="J303" s="1">
        <v>6</v>
      </c>
      <c r="K303" s="1">
        <v>28</v>
      </c>
      <c r="L303" s="1">
        <v>25</v>
      </c>
      <c r="M303" s="3" t="s">
        <v>50</v>
      </c>
    </row>
    <row r="304" spans="1:13" x14ac:dyDescent="0.3">
      <c r="A304" s="1">
        <v>15</v>
      </c>
      <c r="B304" s="2">
        <v>46285</v>
      </c>
      <c r="C304" s="3" t="s">
        <v>48</v>
      </c>
      <c r="D304" s="3" t="s">
        <v>49</v>
      </c>
      <c r="E304" s="3" t="s">
        <v>84</v>
      </c>
      <c r="F304" s="1">
        <v>63</v>
      </c>
      <c r="G304" s="3" t="s">
        <v>85</v>
      </c>
      <c r="H304" s="3" t="s">
        <v>80</v>
      </c>
      <c r="I304" s="3" t="s">
        <v>68</v>
      </c>
      <c r="J304" s="1">
        <v>7</v>
      </c>
      <c r="K304" s="1">
        <v>28</v>
      </c>
      <c r="L304" s="1">
        <v>25</v>
      </c>
      <c r="M304" s="3" t="s">
        <v>50</v>
      </c>
    </row>
    <row r="305" spans="1:13" x14ac:dyDescent="0.3">
      <c r="A305" s="1">
        <v>15</v>
      </c>
      <c r="B305" s="2">
        <v>46285</v>
      </c>
      <c r="C305" s="3" t="s">
        <v>48</v>
      </c>
      <c r="D305" s="3" t="s">
        <v>49</v>
      </c>
      <c r="E305" s="3" t="s">
        <v>112</v>
      </c>
      <c r="F305" s="1">
        <v>54</v>
      </c>
      <c r="G305" s="3" t="s">
        <v>108</v>
      </c>
      <c r="H305" s="3" t="s">
        <v>80</v>
      </c>
      <c r="I305" s="3" t="s">
        <v>72</v>
      </c>
      <c r="J305" s="1">
        <v>8</v>
      </c>
      <c r="K305" s="1">
        <v>28</v>
      </c>
      <c r="L305" s="1">
        <v>27</v>
      </c>
      <c r="M305" s="3" t="s">
        <v>50</v>
      </c>
    </row>
    <row r="306" spans="1:13" x14ac:dyDescent="0.3">
      <c r="A306" s="1">
        <v>15</v>
      </c>
      <c r="B306" s="2">
        <v>46285</v>
      </c>
      <c r="C306" s="3" t="s">
        <v>48</v>
      </c>
      <c r="D306" s="3" t="s">
        <v>49</v>
      </c>
      <c r="E306" s="3" t="s">
        <v>78</v>
      </c>
      <c r="F306" s="1">
        <v>49</v>
      </c>
      <c r="G306" s="3" t="s">
        <v>79</v>
      </c>
      <c r="H306" s="3" t="s">
        <v>80</v>
      </c>
      <c r="I306" s="3" t="s">
        <v>68</v>
      </c>
      <c r="J306" s="1">
        <v>9</v>
      </c>
      <c r="K306" s="1">
        <v>28</v>
      </c>
      <c r="L306" s="1">
        <v>26</v>
      </c>
      <c r="M306" s="3" t="s">
        <v>50</v>
      </c>
    </row>
    <row r="307" spans="1:13" x14ac:dyDescent="0.3">
      <c r="A307" s="1">
        <v>15</v>
      </c>
      <c r="B307" s="2">
        <v>46285</v>
      </c>
      <c r="C307" s="3" t="s">
        <v>48</v>
      </c>
      <c r="D307" s="3" t="s">
        <v>49</v>
      </c>
      <c r="E307" s="3" t="s">
        <v>89</v>
      </c>
      <c r="F307" s="1">
        <v>5</v>
      </c>
      <c r="G307" s="3" t="s">
        <v>90</v>
      </c>
      <c r="H307" s="3" t="s">
        <v>88</v>
      </c>
      <c r="I307" s="3" t="s">
        <v>91</v>
      </c>
      <c r="J307" s="1">
        <v>10</v>
      </c>
      <c r="K307" s="1">
        <v>28</v>
      </c>
      <c r="L307" s="1">
        <v>26</v>
      </c>
      <c r="M307" s="3" t="s">
        <v>50</v>
      </c>
    </row>
    <row r="308" spans="1:13" x14ac:dyDescent="0.3">
      <c r="A308" s="1">
        <v>15</v>
      </c>
      <c r="B308" s="2">
        <v>46285</v>
      </c>
      <c r="C308" s="3" t="s">
        <v>48</v>
      </c>
      <c r="D308" s="3" t="s">
        <v>49</v>
      </c>
      <c r="E308" s="3" t="s">
        <v>92</v>
      </c>
      <c r="F308" s="1">
        <v>23</v>
      </c>
      <c r="G308" s="3" t="s">
        <v>93</v>
      </c>
      <c r="H308" s="3" t="s">
        <v>71</v>
      </c>
      <c r="I308" s="3" t="s">
        <v>68</v>
      </c>
      <c r="J308" s="1">
        <v>11</v>
      </c>
      <c r="K308" s="1">
        <v>28</v>
      </c>
      <c r="L308" s="1">
        <v>26</v>
      </c>
      <c r="M308" s="3" t="s">
        <v>50</v>
      </c>
    </row>
    <row r="309" spans="1:13" x14ac:dyDescent="0.3">
      <c r="A309" s="1">
        <v>15</v>
      </c>
      <c r="B309" s="2">
        <v>46285</v>
      </c>
      <c r="C309" s="3" t="s">
        <v>48</v>
      </c>
      <c r="D309" s="3" t="s">
        <v>49</v>
      </c>
      <c r="E309" s="3" t="s">
        <v>73</v>
      </c>
      <c r="F309" s="1">
        <v>25</v>
      </c>
      <c r="G309" s="3" t="s">
        <v>120</v>
      </c>
      <c r="H309" s="3" t="s">
        <v>67</v>
      </c>
      <c r="I309" s="3" t="s">
        <v>72</v>
      </c>
      <c r="J309" s="1">
        <v>12</v>
      </c>
      <c r="K309" s="1">
        <v>28</v>
      </c>
      <c r="L309" s="1">
        <v>24</v>
      </c>
      <c r="M309" s="3" t="s">
        <v>50</v>
      </c>
    </row>
    <row r="310" spans="1:13" x14ac:dyDescent="0.3">
      <c r="A310" s="1">
        <v>15</v>
      </c>
      <c r="B310" s="2">
        <v>46285</v>
      </c>
      <c r="C310" s="3" t="s">
        <v>48</v>
      </c>
      <c r="D310" s="3" t="s">
        <v>49</v>
      </c>
      <c r="E310" s="3" t="s">
        <v>123</v>
      </c>
      <c r="F310" s="1">
        <v>30</v>
      </c>
      <c r="G310" s="3" t="s">
        <v>87</v>
      </c>
      <c r="H310" s="3" t="s">
        <v>88</v>
      </c>
      <c r="I310" s="3" t="s">
        <v>77</v>
      </c>
      <c r="J310" s="1">
        <v>13</v>
      </c>
      <c r="K310" s="1">
        <v>28</v>
      </c>
      <c r="L310" s="1">
        <v>25</v>
      </c>
      <c r="M310" s="3" t="s">
        <v>50</v>
      </c>
    </row>
    <row r="311" spans="1:13" x14ac:dyDescent="0.3">
      <c r="A311" s="1">
        <v>15</v>
      </c>
      <c r="B311" s="2">
        <v>46285</v>
      </c>
      <c r="C311" s="3" t="s">
        <v>48</v>
      </c>
      <c r="D311" s="3" t="s">
        <v>49</v>
      </c>
      <c r="E311" s="3" t="s">
        <v>86</v>
      </c>
      <c r="F311" s="1">
        <v>10</v>
      </c>
      <c r="G311" s="3" t="s">
        <v>87</v>
      </c>
      <c r="H311" s="3" t="s">
        <v>88</v>
      </c>
      <c r="I311" s="3" t="s">
        <v>68</v>
      </c>
      <c r="J311" s="1">
        <v>14</v>
      </c>
      <c r="K311" s="1">
        <v>28</v>
      </c>
      <c r="L311" s="1">
        <v>24</v>
      </c>
      <c r="M311" s="3" t="s">
        <v>50</v>
      </c>
    </row>
    <row r="312" spans="1:13" x14ac:dyDescent="0.3">
      <c r="A312" s="1">
        <v>15</v>
      </c>
      <c r="B312" s="2">
        <v>46285</v>
      </c>
      <c r="C312" s="3" t="s">
        <v>48</v>
      </c>
      <c r="D312" s="3" t="s">
        <v>49</v>
      </c>
      <c r="E312" s="3" t="s">
        <v>94</v>
      </c>
      <c r="F312" s="1">
        <v>11</v>
      </c>
      <c r="G312" s="3" t="s">
        <v>95</v>
      </c>
      <c r="H312" s="3" t="s">
        <v>88</v>
      </c>
      <c r="I312" s="3" t="s">
        <v>96</v>
      </c>
      <c r="J312" s="1">
        <v>15</v>
      </c>
      <c r="K312" s="1">
        <v>28</v>
      </c>
      <c r="L312" s="1">
        <v>26</v>
      </c>
      <c r="M312" s="3" t="s">
        <v>50</v>
      </c>
    </row>
    <row r="313" spans="1:13" x14ac:dyDescent="0.3">
      <c r="A313" s="1">
        <v>15</v>
      </c>
      <c r="B313" s="2">
        <v>46285</v>
      </c>
      <c r="C313" s="3" t="s">
        <v>48</v>
      </c>
      <c r="D313" s="3" t="s">
        <v>49</v>
      </c>
      <c r="E313" s="3" t="s">
        <v>122</v>
      </c>
      <c r="F313" s="1">
        <v>44</v>
      </c>
      <c r="G313" s="3" t="s">
        <v>93</v>
      </c>
      <c r="H313" s="3" t="s">
        <v>71</v>
      </c>
      <c r="I313" s="3" t="s">
        <v>72</v>
      </c>
      <c r="J313" s="1">
        <v>16</v>
      </c>
      <c r="K313" s="1">
        <v>28</v>
      </c>
      <c r="L313" s="1">
        <v>23</v>
      </c>
      <c r="M313" s="3" t="s">
        <v>50</v>
      </c>
    </row>
    <row r="314" spans="1:13" x14ac:dyDescent="0.3">
      <c r="A314" s="1">
        <v>15</v>
      </c>
      <c r="B314" s="2">
        <v>46285</v>
      </c>
      <c r="C314" s="3" t="s">
        <v>48</v>
      </c>
      <c r="D314" s="3" t="s">
        <v>49</v>
      </c>
      <c r="E314" s="3" t="s">
        <v>97</v>
      </c>
      <c r="F314" s="1">
        <v>20</v>
      </c>
      <c r="G314" s="3" t="s">
        <v>98</v>
      </c>
      <c r="H314" s="3" t="s">
        <v>99</v>
      </c>
      <c r="I314" s="3" t="s">
        <v>91</v>
      </c>
      <c r="J314" s="1">
        <v>17</v>
      </c>
      <c r="K314" s="1">
        <v>28</v>
      </c>
      <c r="L314" s="1">
        <v>26</v>
      </c>
      <c r="M314" s="3" t="s">
        <v>50</v>
      </c>
    </row>
    <row r="315" spans="1:13" x14ac:dyDescent="0.3">
      <c r="A315" s="1">
        <v>15</v>
      </c>
      <c r="B315" s="2">
        <v>46285</v>
      </c>
      <c r="C315" s="3" t="s">
        <v>48</v>
      </c>
      <c r="D315" s="3" t="s">
        <v>49</v>
      </c>
      <c r="E315" s="3" t="s">
        <v>83</v>
      </c>
      <c r="F315" s="1">
        <v>21</v>
      </c>
      <c r="G315" s="3" t="s">
        <v>79</v>
      </c>
      <c r="H315" s="3" t="s">
        <v>80</v>
      </c>
      <c r="I315" s="3" t="s">
        <v>68</v>
      </c>
      <c r="J315" s="1">
        <v>18</v>
      </c>
      <c r="K315" s="1">
        <v>28</v>
      </c>
      <c r="L315" s="1">
        <v>27</v>
      </c>
      <c r="M315" s="3" t="s">
        <v>50</v>
      </c>
    </row>
    <row r="316" spans="1:13" x14ac:dyDescent="0.3">
      <c r="A316" s="1">
        <v>15</v>
      </c>
      <c r="B316" s="2">
        <v>46285</v>
      </c>
      <c r="C316" s="3" t="s">
        <v>48</v>
      </c>
      <c r="D316" s="3" t="s">
        <v>49</v>
      </c>
      <c r="E316" s="3" t="s">
        <v>100</v>
      </c>
      <c r="F316" s="1">
        <v>42</v>
      </c>
      <c r="G316" s="3" t="s">
        <v>98</v>
      </c>
      <c r="H316" s="3" t="s">
        <v>99</v>
      </c>
      <c r="I316" s="3" t="s">
        <v>72</v>
      </c>
      <c r="J316" s="1">
        <v>19</v>
      </c>
      <c r="K316" s="1">
        <v>28</v>
      </c>
      <c r="L316" s="1">
        <v>27</v>
      </c>
      <c r="M316" s="3" t="s">
        <v>50</v>
      </c>
    </row>
    <row r="317" spans="1:13" x14ac:dyDescent="0.3">
      <c r="A317" s="1">
        <v>15</v>
      </c>
      <c r="B317" s="2">
        <v>46285</v>
      </c>
      <c r="C317" s="3" t="s">
        <v>48</v>
      </c>
      <c r="D317" s="3" t="s">
        <v>49</v>
      </c>
      <c r="E317" s="3" t="s">
        <v>102</v>
      </c>
      <c r="F317" s="1">
        <v>7</v>
      </c>
      <c r="G317" s="3" t="s">
        <v>103</v>
      </c>
      <c r="H317" s="3" t="s">
        <v>99</v>
      </c>
      <c r="I317" s="3" t="s">
        <v>104</v>
      </c>
      <c r="J317" s="1">
        <v>20</v>
      </c>
      <c r="K317" s="1">
        <v>28</v>
      </c>
      <c r="L317" s="1">
        <v>24</v>
      </c>
      <c r="M317" s="3" t="s">
        <v>50</v>
      </c>
    </row>
    <row r="318" spans="1:13" x14ac:dyDescent="0.3">
      <c r="A318" s="1">
        <v>15</v>
      </c>
      <c r="B318" s="2">
        <v>46285</v>
      </c>
      <c r="C318" s="3" t="s">
        <v>48</v>
      </c>
      <c r="D318" s="3" t="s">
        <v>49</v>
      </c>
      <c r="E318" s="3" t="s">
        <v>105</v>
      </c>
      <c r="F318" s="1">
        <v>43</v>
      </c>
      <c r="G318" s="3" t="s">
        <v>103</v>
      </c>
      <c r="H318" s="3" t="s">
        <v>99</v>
      </c>
      <c r="I318" s="3" t="s">
        <v>106</v>
      </c>
      <c r="J318" s="1">
        <v>21</v>
      </c>
      <c r="K318" s="1">
        <v>28</v>
      </c>
      <c r="L318" s="1">
        <v>26</v>
      </c>
      <c r="M318" s="3" t="s">
        <v>50</v>
      </c>
    </row>
    <row r="319" spans="1:13" x14ac:dyDescent="0.3">
      <c r="A319" s="1">
        <v>15</v>
      </c>
      <c r="B319" s="2">
        <v>46285</v>
      </c>
      <c r="C319" s="3" t="s">
        <v>48</v>
      </c>
      <c r="D319" s="3" t="s">
        <v>49</v>
      </c>
      <c r="E319" s="3" t="s">
        <v>110</v>
      </c>
      <c r="F319" s="1">
        <v>73</v>
      </c>
      <c r="G319" s="3" t="s">
        <v>108</v>
      </c>
      <c r="H319" s="3" t="s">
        <v>80</v>
      </c>
      <c r="I319" s="3" t="s">
        <v>72</v>
      </c>
      <c r="J319" s="1">
        <v>22</v>
      </c>
      <c r="K319" s="1">
        <v>12</v>
      </c>
      <c r="L319" s="1">
        <v>10</v>
      </c>
      <c r="M319" s="3" t="s">
        <v>50</v>
      </c>
    </row>
    <row r="320" spans="1:13" x14ac:dyDescent="0.3">
      <c r="A320" s="1">
        <v>16</v>
      </c>
      <c r="B320" s="2">
        <v>46299</v>
      </c>
      <c r="C320" s="3" t="s">
        <v>51</v>
      </c>
      <c r="D320" s="3" t="s">
        <v>52</v>
      </c>
      <c r="E320" s="3" t="s">
        <v>111</v>
      </c>
      <c r="F320" s="1">
        <v>93</v>
      </c>
      <c r="G320" s="3" t="s">
        <v>85</v>
      </c>
      <c r="H320" s="3" t="s">
        <v>80</v>
      </c>
      <c r="I320" s="3" t="s">
        <v>72</v>
      </c>
      <c r="J320" s="1">
        <v>1</v>
      </c>
      <c r="K320" s="1">
        <v>24</v>
      </c>
      <c r="L320" s="1">
        <v>21</v>
      </c>
      <c r="M320" s="3" t="s">
        <v>53</v>
      </c>
    </row>
    <row r="321" spans="1:13" x14ac:dyDescent="0.3">
      <c r="A321" s="1">
        <v>16</v>
      </c>
      <c r="B321" s="2">
        <v>46299</v>
      </c>
      <c r="C321" s="3" t="s">
        <v>51</v>
      </c>
      <c r="D321" s="3" t="s">
        <v>52</v>
      </c>
      <c r="E321" s="3" t="s">
        <v>75</v>
      </c>
      <c r="F321" s="1">
        <v>89</v>
      </c>
      <c r="G321" s="3" t="s">
        <v>66</v>
      </c>
      <c r="H321" s="3" t="s">
        <v>67</v>
      </c>
      <c r="I321" s="3" t="s">
        <v>72</v>
      </c>
      <c r="J321" s="1">
        <v>2</v>
      </c>
      <c r="K321" s="1">
        <v>24</v>
      </c>
      <c r="L321" s="1">
        <v>22</v>
      </c>
      <c r="M321" s="3" t="s">
        <v>53</v>
      </c>
    </row>
    <row r="322" spans="1:13" x14ac:dyDescent="0.3">
      <c r="A322" s="1">
        <v>16</v>
      </c>
      <c r="B322" s="2">
        <v>46299</v>
      </c>
      <c r="C322" s="3" t="s">
        <v>51</v>
      </c>
      <c r="D322" s="3" t="s">
        <v>52</v>
      </c>
      <c r="E322" s="3" t="s">
        <v>65</v>
      </c>
      <c r="F322" s="1">
        <v>72</v>
      </c>
      <c r="G322" s="3" t="s">
        <v>66</v>
      </c>
      <c r="H322" s="3" t="s">
        <v>67</v>
      </c>
      <c r="I322" s="3" t="s">
        <v>68</v>
      </c>
      <c r="J322" s="1">
        <v>3</v>
      </c>
      <c r="K322" s="1">
        <v>24</v>
      </c>
      <c r="L322" s="1">
        <v>22</v>
      </c>
      <c r="M322" s="3" t="s">
        <v>53</v>
      </c>
    </row>
    <row r="323" spans="1:13" x14ac:dyDescent="0.3">
      <c r="A323" s="1">
        <v>16</v>
      </c>
      <c r="B323" s="2">
        <v>46299</v>
      </c>
      <c r="C323" s="3" t="s">
        <v>51</v>
      </c>
      <c r="D323" s="3" t="s">
        <v>52</v>
      </c>
      <c r="E323" s="3" t="s">
        <v>92</v>
      </c>
      <c r="F323" s="1">
        <v>23</v>
      </c>
      <c r="G323" s="3" t="s">
        <v>93</v>
      </c>
      <c r="H323" s="3" t="s">
        <v>71</v>
      </c>
      <c r="I323" s="3" t="s">
        <v>68</v>
      </c>
      <c r="J323" s="1">
        <v>4</v>
      </c>
      <c r="K323" s="1">
        <v>24</v>
      </c>
      <c r="L323" s="1">
        <v>23</v>
      </c>
      <c r="M323" s="3" t="s">
        <v>53</v>
      </c>
    </row>
    <row r="324" spans="1:13" x14ac:dyDescent="0.3">
      <c r="A324" s="1">
        <v>16</v>
      </c>
      <c r="B324" s="2">
        <v>46299</v>
      </c>
      <c r="C324" s="3" t="s">
        <v>51</v>
      </c>
      <c r="D324" s="3" t="s">
        <v>52</v>
      </c>
      <c r="E324" s="3" t="s">
        <v>73</v>
      </c>
      <c r="F324" s="1">
        <v>25</v>
      </c>
      <c r="G324" s="3" t="s">
        <v>120</v>
      </c>
      <c r="H324" s="3" t="s">
        <v>67</v>
      </c>
      <c r="I324" s="3" t="s">
        <v>72</v>
      </c>
      <c r="J324" s="1">
        <v>5</v>
      </c>
      <c r="K324" s="1">
        <v>24</v>
      </c>
      <c r="L324" s="1">
        <v>23</v>
      </c>
      <c r="M324" s="3" t="s">
        <v>53</v>
      </c>
    </row>
    <row r="325" spans="1:13" x14ac:dyDescent="0.3">
      <c r="A325" s="1">
        <v>16</v>
      </c>
      <c r="B325" s="2">
        <v>46299</v>
      </c>
      <c r="C325" s="3" t="s">
        <v>51</v>
      </c>
      <c r="D325" s="3" t="s">
        <v>52</v>
      </c>
      <c r="E325" s="3" t="s">
        <v>76</v>
      </c>
      <c r="F325" s="1">
        <v>79</v>
      </c>
      <c r="G325" s="3" t="s">
        <v>120</v>
      </c>
      <c r="H325" s="3" t="s">
        <v>67</v>
      </c>
      <c r="I325" s="3" t="s">
        <v>77</v>
      </c>
      <c r="J325" s="1">
        <v>6</v>
      </c>
      <c r="K325" s="1">
        <v>24</v>
      </c>
      <c r="L325" s="1">
        <v>23</v>
      </c>
      <c r="M325" s="3" t="s">
        <v>53</v>
      </c>
    </row>
    <row r="326" spans="1:13" x14ac:dyDescent="0.3">
      <c r="A326" s="1">
        <v>16</v>
      </c>
      <c r="B326" s="2">
        <v>46299</v>
      </c>
      <c r="C326" s="3" t="s">
        <v>51</v>
      </c>
      <c r="D326" s="3" t="s">
        <v>52</v>
      </c>
      <c r="E326" s="3" t="s">
        <v>69</v>
      </c>
      <c r="F326" s="1">
        <v>37</v>
      </c>
      <c r="G326" s="3" t="s">
        <v>70</v>
      </c>
      <c r="H326" s="3" t="s">
        <v>71</v>
      </c>
      <c r="I326" s="3" t="s">
        <v>72</v>
      </c>
      <c r="J326" s="1">
        <v>7</v>
      </c>
      <c r="K326" s="1">
        <v>24</v>
      </c>
      <c r="L326" s="1">
        <v>21</v>
      </c>
      <c r="M326" s="3" t="s">
        <v>53</v>
      </c>
    </row>
    <row r="327" spans="1:13" x14ac:dyDescent="0.3">
      <c r="A327" s="1">
        <v>16</v>
      </c>
      <c r="B327" s="2">
        <v>46299</v>
      </c>
      <c r="C327" s="3" t="s">
        <v>51</v>
      </c>
      <c r="D327" s="3" t="s">
        <v>52</v>
      </c>
      <c r="E327" s="3" t="s">
        <v>84</v>
      </c>
      <c r="F327" s="1">
        <v>63</v>
      </c>
      <c r="G327" s="3" t="s">
        <v>85</v>
      </c>
      <c r="H327" s="3" t="s">
        <v>80</v>
      </c>
      <c r="I327" s="3" t="s">
        <v>68</v>
      </c>
      <c r="J327" s="1">
        <v>8</v>
      </c>
      <c r="K327" s="1">
        <v>24</v>
      </c>
      <c r="L327" s="1">
        <v>23</v>
      </c>
      <c r="M327" s="3" t="s">
        <v>53</v>
      </c>
    </row>
    <row r="328" spans="1:13" x14ac:dyDescent="0.3">
      <c r="A328" s="1">
        <v>16</v>
      </c>
      <c r="B328" s="2">
        <v>46299</v>
      </c>
      <c r="C328" s="3" t="s">
        <v>51</v>
      </c>
      <c r="D328" s="3" t="s">
        <v>52</v>
      </c>
      <c r="E328" s="3" t="s">
        <v>112</v>
      </c>
      <c r="F328" s="1">
        <v>54</v>
      </c>
      <c r="G328" s="3" t="s">
        <v>108</v>
      </c>
      <c r="H328" s="3" t="s">
        <v>80</v>
      </c>
      <c r="I328" s="3" t="s">
        <v>72</v>
      </c>
      <c r="J328" s="1">
        <v>9</v>
      </c>
      <c r="K328" s="1">
        <v>24</v>
      </c>
      <c r="L328" s="1">
        <v>23</v>
      </c>
      <c r="M328" s="3" t="s">
        <v>53</v>
      </c>
    </row>
    <row r="329" spans="1:13" x14ac:dyDescent="0.3">
      <c r="A329" s="1">
        <v>16</v>
      </c>
      <c r="B329" s="2">
        <v>46299</v>
      </c>
      <c r="C329" s="3" t="s">
        <v>51</v>
      </c>
      <c r="D329" s="3" t="s">
        <v>52</v>
      </c>
      <c r="E329" s="3" t="s">
        <v>86</v>
      </c>
      <c r="F329" s="1">
        <v>10</v>
      </c>
      <c r="G329" s="3" t="s">
        <v>87</v>
      </c>
      <c r="H329" s="3" t="s">
        <v>88</v>
      </c>
      <c r="I329" s="3" t="s">
        <v>68</v>
      </c>
      <c r="J329" s="1">
        <v>10</v>
      </c>
      <c r="K329" s="1">
        <v>24</v>
      </c>
      <c r="L329" s="1">
        <v>22</v>
      </c>
      <c r="M329" s="3" t="s">
        <v>53</v>
      </c>
    </row>
    <row r="330" spans="1:13" x14ac:dyDescent="0.3">
      <c r="A330" s="1">
        <v>16</v>
      </c>
      <c r="B330" s="2">
        <v>46299</v>
      </c>
      <c r="C330" s="3" t="s">
        <v>51</v>
      </c>
      <c r="D330" s="3" t="s">
        <v>52</v>
      </c>
      <c r="E330" s="3" t="s">
        <v>81</v>
      </c>
      <c r="F330" s="1">
        <v>33</v>
      </c>
      <c r="G330" s="3" t="s">
        <v>70</v>
      </c>
      <c r="H330" s="3" t="s">
        <v>71</v>
      </c>
      <c r="I330" s="3" t="s">
        <v>82</v>
      </c>
      <c r="J330" s="1">
        <v>11</v>
      </c>
      <c r="K330" s="1">
        <v>24</v>
      </c>
      <c r="L330" s="1">
        <v>23</v>
      </c>
      <c r="M330" s="3" t="s">
        <v>53</v>
      </c>
    </row>
    <row r="331" spans="1:13" x14ac:dyDescent="0.3">
      <c r="A331" s="1">
        <v>16</v>
      </c>
      <c r="B331" s="2">
        <v>46299</v>
      </c>
      <c r="C331" s="3" t="s">
        <v>51</v>
      </c>
      <c r="D331" s="3" t="s">
        <v>52</v>
      </c>
      <c r="E331" s="3" t="s">
        <v>97</v>
      </c>
      <c r="F331" s="1">
        <v>20</v>
      </c>
      <c r="G331" s="3" t="s">
        <v>98</v>
      </c>
      <c r="H331" s="3" t="s">
        <v>99</v>
      </c>
      <c r="I331" s="3" t="s">
        <v>91</v>
      </c>
      <c r="J331" s="1">
        <v>12</v>
      </c>
      <c r="K331" s="1">
        <v>24</v>
      </c>
      <c r="L331" s="1">
        <v>22</v>
      </c>
      <c r="M331" s="3" t="s">
        <v>53</v>
      </c>
    </row>
    <row r="332" spans="1:13" x14ac:dyDescent="0.3">
      <c r="A332" s="1">
        <v>16</v>
      </c>
      <c r="B332" s="2">
        <v>46299</v>
      </c>
      <c r="C332" s="3" t="s">
        <v>51</v>
      </c>
      <c r="D332" s="3" t="s">
        <v>52</v>
      </c>
      <c r="E332" s="3" t="s">
        <v>124</v>
      </c>
      <c r="F332" s="1">
        <v>15</v>
      </c>
      <c r="G332" s="3" t="s">
        <v>87</v>
      </c>
      <c r="H332" s="3" t="s">
        <v>88</v>
      </c>
      <c r="I332" s="3" t="s">
        <v>125</v>
      </c>
      <c r="J332" s="1">
        <v>13</v>
      </c>
      <c r="K332" s="1">
        <v>24</v>
      </c>
      <c r="L332" s="1">
        <v>22</v>
      </c>
      <c r="M332" s="3" t="s">
        <v>53</v>
      </c>
    </row>
    <row r="333" spans="1:13" x14ac:dyDescent="0.3">
      <c r="A333" s="1">
        <v>16</v>
      </c>
      <c r="B333" s="2">
        <v>46299</v>
      </c>
      <c r="C333" s="3" t="s">
        <v>51</v>
      </c>
      <c r="D333" s="3" t="s">
        <v>52</v>
      </c>
      <c r="E333" s="3" t="s">
        <v>101</v>
      </c>
      <c r="F333" s="1">
        <v>12</v>
      </c>
      <c r="G333" s="3" t="s">
        <v>93</v>
      </c>
      <c r="H333" s="3" t="s">
        <v>71</v>
      </c>
      <c r="I333" s="3" t="s">
        <v>72</v>
      </c>
      <c r="J333" s="1">
        <v>14</v>
      </c>
      <c r="K333" s="1">
        <v>24</v>
      </c>
      <c r="L333" s="1">
        <v>21</v>
      </c>
      <c r="M333" s="3" t="s">
        <v>53</v>
      </c>
    </row>
    <row r="334" spans="1:13" x14ac:dyDescent="0.3">
      <c r="A334" s="1">
        <v>16</v>
      </c>
      <c r="B334" s="2">
        <v>46299</v>
      </c>
      <c r="C334" s="3" t="s">
        <v>51</v>
      </c>
      <c r="D334" s="3" t="s">
        <v>52</v>
      </c>
      <c r="E334" s="3" t="s">
        <v>83</v>
      </c>
      <c r="F334" s="1">
        <v>21</v>
      </c>
      <c r="G334" s="3" t="s">
        <v>79</v>
      </c>
      <c r="H334" s="3" t="s">
        <v>80</v>
      </c>
      <c r="I334" s="3" t="s">
        <v>68</v>
      </c>
      <c r="J334" s="1">
        <v>15</v>
      </c>
      <c r="K334" s="1">
        <v>24</v>
      </c>
      <c r="L334" s="1">
        <v>23</v>
      </c>
      <c r="M334" s="3" t="s">
        <v>53</v>
      </c>
    </row>
    <row r="335" spans="1:13" x14ac:dyDescent="0.3">
      <c r="A335" s="1">
        <v>16</v>
      </c>
      <c r="B335" s="2">
        <v>46299</v>
      </c>
      <c r="C335" s="3" t="s">
        <v>51</v>
      </c>
      <c r="D335" s="3" t="s">
        <v>52</v>
      </c>
      <c r="E335" s="3" t="s">
        <v>100</v>
      </c>
      <c r="F335" s="1">
        <v>42</v>
      </c>
      <c r="G335" s="3" t="s">
        <v>98</v>
      </c>
      <c r="H335" s="3" t="s">
        <v>99</v>
      </c>
      <c r="I335" s="3" t="s">
        <v>72</v>
      </c>
      <c r="J335" s="1">
        <v>16</v>
      </c>
      <c r="K335" s="1">
        <v>24</v>
      </c>
      <c r="L335" s="1">
        <v>23</v>
      </c>
      <c r="M335" s="3" t="s">
        <v>53</v>
      </c>
    </row>
    <row r="336" spans="1:13" x14ac:dyDescent="0.3">
      <c r="A336" s="1">
        <v>16</v>
      </c>
      <c r="B336" s="2">
        <v>46299</v>
      </c>
      <c r="C336" s="3" t="s">
        <v>51</v>
      </c>
      <c r="D336" s="3" t="s">
        <v>52</v>
      </c>
      <c r="E336" s="3" t="s">
        <v>102</v>
      </c>
      <c r="F336" s="1">
        <v>7</v>
      </c>
      <c r="G336" s="3" t="s">
        <v>103</v>
      </c>
      <c r="H336" s="3" t="s">
        <v>99</v>
      </c>
      <c r="I336" s="3" t="s">
        <v>104</v>
      </c>
      <c r="J336" s="1">
        <v>17</v>
      </c>
      <c r="K336" s="1">
        <v>24</v>
      </c>
      <c r="L336" s="1">
        <v>19</v>
      </c>
      <c r="M336" s="3" t="s">
        <v>53</v>
      </c>
    </row>
    <row r="337" spans="1:13" x14ac:dyDescent="0.3">
      <c r="A337" s="1">
        <v>16</v>
      </c>
      <c r="B337" s="2">
        <v>46299</v>
      </c>
      <c r="C337" s="3" t="s">
        <v>51</v>
      </c>
      <c r="D337" s="3" t="s">
        <v>52</v>
      </c>
      <c r="E337" s="3" t="s">
        <v>78</v>
      </c>
      <c r="F337" s="1">
        <v>49</v>
      </c>
      <c r="G337" s="3" t="s">
        <v>79</v>
      </c>
      <c r="H337" s="3" t="s">
        <v>80</v>
      </c>
      <c r="I337" s="3" t="s">
        <v>68</v>
      </c>
      <c r="J337" s="1">
        <v>18</v>
      </c>
      <c r="K337" s="1">
        <v>24</v>
      </c>
      <c r="L337" s="1">
        <v>23</v>
      </c>
      <c r="M337" s="3" t="s">
        <v>53</v>
      </c>
    </row>
    <row r="338" spans="1:13" x14ac:dyDescent="0.3">
      <c r="A338" s="1">
        <v>16</v>
      </c>
      <c r="B338" s="2">
        <v>46299</v>
      </c>
      <c r="C338" s="3" t="s">
        <v>51</v>
      </c>
      <c r="D338" s="3" t="s">
        <v>52</v>
      </c>
      <c r="E338" s="3" t="s">
        <v>105</v>
      </c>
      <c r="F338" s="1">
        <v>43</v>
      </c>
      <c r="G338" s="3" t="s">
        <v>103</v>
      </c>
      <c r="H338" s="3" t="s">
        <v>99</v>
      </c>
      <c r="I338" s="3" t="s">
        <v>106</v>
      </c>
      <c r="J338" s="1">
        <v>19</v>
      </c>
      <c r="K338" s="1">
        <v>24</v>
      </c>
      <c r="L338" s="1">
        <v>22</v>
      </c>
      <c r="M338" s="3" t="s">
        <v>53</v>
      </c>
    </row>
    <row r="339" spans="1:13" x14ac:dyDescent="0.3">
      <c r="A339" s="1">
        <v>16</v>
      </c>
      <c r="B339" s="2">
        <v>46299</v>
      </c>
      <c r="C339" s="3" t="s">
        <v>51</v>
      </c>
      <c r="D339" s="3" t="s">
        <v>52</v>
      </c>
      <c r="E339" s="3" t="s">
        <v>89</v>
      </c>
      <c r="F339" s="1">
        <v>5</v>
      </c>
      <c r="G339" s="3" t="s">
        <v>90</v>
      </c>
      <c r="H339" s="3" t="s">
        <v>88</v>
      </c>
      <c r="I339" s="3" t="s">
        <v>91</v>
      </c>
      <c r="J339" s="1">
        <v>20</v>
      </c>
      <c r="K339" s="1">
        <v>22</v>
      </c>
      <c r="L339" s="1">
        <v>21</v>
      </c>
      <c r="M339" s="3" t="s">
        <v>53</v>
      </c>
    </row>
    <row r="340" spans="1:13" x14ac:dyDescent="0.3">
      <c r="A340" s="1">
        <v>16</v>
      </c>
      <c r="B340" s="2">
        <v>46299</v>
      </c>
      <c r="C340" s="3" t="s">
        <v>51</v>
      </c>
      <c r="D340" s="3" t="s">
        <v>52</v>
      </c>
      <c r="E340" s="3" t="s">
        <v>110</v>
      </c>
      <c r="F340" s="1">
        <v>73</v>
      </c>
      <c r="G340" s="3" t="s">
        <v>108</v>
      </c>
      <c r="H340" s="3" t="s">
        <v>80</v>
      </c>
      <c r="I340" s="3" t="s">
        <v>72</v>
      </c>
      <c r="J340" s="1">
        <v>21</v>
      </c>
      <c r="K340" s="1">
        <v>18</v>
      </c>
      <c r="L340" s="1">
        <v>17</v>
      </c>
      <c r="M340" s="3" t="s">
        <v>53</v>
      </c>
    </row>
    <row r="341" spans="1:13" x14ac:dyDescent="0.3">
      <c r="A341" s="1">
        <v>16</v>
      </c>
      <c r="B341" s="2">
        <v>46299</v>
      </c>
      <c r="C341" s="3" t="s">
        <v>51</v>
      </c>
      <c r="D341" s="3" t="s">
        <v>52</v>
      </c>
      <c r="E341" s="3" t="s">
        <v>94</v>
      </c>
      <c r="F341" s="1">
        <v>11</v>
      </c>
      <c r="G341" s="3" t="s">
        <v>95</v>
      </c>
      <c r="H341" s="3" t="s">
        <v>88</v>
      </c>
      <c r="I341" s="3" t="s">
        <v>96</v>
      </c>
      <c r="J341" s="1">
        <v>22</v>
      </c>
      <c r="K341" s="1">
        <v>8</v>
      </c>
      <c r="L341" s="1">
        <v>7</v>
      </c>
      <c r="M341" s="3" t="s">
        <v>53</v>
      </c>
    </row>
    <row r="342" spans="1:13" x14ac:dyDescent="0.3">
      <c r="A342" s="1">
        <v>17</v>
      </c>
      <c r="B342" s="2">
        <v>46306</v>
      </c>
      <c r="C342" s="3" t="s">
        <v>54</v>
      </c>
      <c r="D342" s="3" t="s">
        <v>55</v>
      </c>
      <c r="E342" s="3" t="s">
        <v>65</v>
      </c>
      <c r="F342" s="1">
        <v>72</v>
      </c>
      <c r="G342" s="3" t="s">
        <v>66</v>
      </c>
      <c r="H342" s="3" t="s">
        <v>67</v>
      </c>
      <c r="I342" s="3" t="s">
        <v>68</v>
      </c>
      <c r="J342" s="1">
        <v>1</v>
      </c>
      <c r="K342" s="1">
        <v>27</v>
      </c>
      <c r="L342" s="1">
        <v>26</v>
      </c>
      <c r="M342" s="3" t="s">
        <v>56</v>
      </c>
    </row>
    <row r="343" spans="1:13" x14ac:dyDescent="0.3">
      <c r="A343" s="1">
        <v>17</v>
      </c>
      <c r="B343" s="2">
        <v>46306</v>
      </c>
      <c r="C343" s="3" t="s">
        <v>54</v>
      </c>
      <c r="D343" s="3" t="s">
        <v>55</v>
      </c>
      <c r="E343" s="3" t="s">
        <v>73</v>
      </c>
      <c r="F343" s="1">
        <v>25</v>
      </c>
      <c r="G343" s="3" t="s">
        <v>120</v>
      </c>
      <c r="H343" s="3" t="s">
        <v>67</v>
      </c>
      <c r="I343" s="3" t="s">
        <v>72</v>
      </c>
      <c r="J343" s="1">
        <v>2</v>
      </c>
      <c r="K343" s="1">
        <v>27</v>
      </c>
      <c r="L343" s="1">
        <v>26</v>
      </c>
      <c r="M343" s="3" t="s">
        <v>56</v>
      </c>
    </row>
    <row r="344" spans="1:13" x14ac:dyDescent="0.3">
      <c r="A344" s="1">
        <v>17</v>
      </c>
      <c r="B344" s="2">
        <v>46306</v>
      </c>
      <c r="C344" s="3" t="s">
        <v>54</v>
      </c>
      <c r="D344" s="3" t="s">
        <v>55</v>
      </c>
      <c r="E344" s="3" t="s">
        <v>75</v>
      </c>
      <c r="F344" s="1">
        <v>89</v>
      </c>
      <c r="G344" s="3" t="s">
        <v>66</v>
      </c>
      <c r="H344" s="3" t="s">
        <v>67</v>
      </c>
      <c r="I344" s="3" t="s">
        <v>72</v>
      </c>
      <c r="J344" s="1">
        <v>3</v>
      </c>
      <c r="K344" s="1">
        <v>27</v>
      </c>
      <c r="L344" s="1">
        <v>26</v>
      </c>
      <c r="M344" s="3" t="s">
        <v>56</v>
      </c>
    </row>
    <row r="345" spans="1:13" x14ac:dyDescent="0.3">
      <c r="A345" s="1">
        <v>17</v>
      </c>
      <c r="B345" s="2">
        <v>46306</v>
      </c>
      <c r="C345" s="3" t="s">
        <v>54</v>
      </c>
      <c r="D345" s="3" t="s">
        <v>55</v>
      </c>
      <c r="E345" s="3" t="s">
        <v>76</v>
      </c>
      <c r="F345" s="1">
        <v>79</v>
      </c>
      <c r="G345" s="3" t="s">
        <v>120</v>
      </c>
      <c r="H345" s="3" t="s">
        <v>67</v>
      </c>
      <c r="I345" s="3" t="s">
        <v>77</v>
      </c>
      <c r="J345" s="1">
        <v>4</v>
      </c>
      <c r="K345" s="1">
        <v>27</v>
      </c>
      <c r="L345" s="1">
        <v>26</v>
      </c>
      <c r="M345" s="3" t="s">
        <v>56</v>
      </c>
    </row>
    <row r="346" spans="1:13" x14ac:dyDescent="0.3">
      <c r="A346" s="1">
        <v>17</v>
      </c>
      <c r="B346" s="2">
        <v>46306</v>
      </c>
      <c r="C346" s="3" t="s">
        <v>54</v>
      </c>
      <c r="D346" s="3" t="s">
        <v>55</v>
      </c>
      <c r="E346" s="3" t="s">
        <v>69</v>
      </c>
      <c r="F346" s="1">
        <v>37</v>
      </c>
      <c r="G346" s="3" t="s">
        <v>70</v>
      </c>
      <c r="H346" s="3" t="s">
        <v>71</v>
      </c>
      <c r="I346" s="3" t="s">
        <v>72</v>
      </c>
      <c r="J346" s="1">
        <v>5</v>
      </c>
      <c r="K346" s="1">
        <v>27</v>
      </c>
      <c r="L346" s="1">
        <v>26</v>
      </c>
      <c r="M346" s="3" t="s">
        <v>56</v>
      </c>
    </row>
    <row r="347" spans="1:13" x14ac:dyDescent="0.3">
      <c r="A347" s="1">
        <v>17</v>
      </c>
      <c r="B347" s="2">
        <v>46306</v>
      </c>
      <c r="C347" s="3" t="s">
        <v>54</v>
      </c>
      <c r="D347" s="3" t="s">
        <v>55</v>
      </c>
      <c r="E347" s="3" t="s">
        <v>111</v>
      </c>
      <c r="F347" s="1">
        <v>93</v>
      </c>
      <c r="G347" s="3" t="s">
        <v>85</v>
      </c>
      <c r="H347" s="3" t="s">
        <v>80</v>
      </c>
      <c r="I347" s="3" t="s">
        <v>72</v>
      </c>
      <c r="J347" s="1">
        <v>6</v>
      </c>
      <c r="K347" s="1">
        <v>27</v>
      </c>
      <c r="L347" s="1">
        <v>26</v>
      </c>
      <c r="M347" s="3" t="s">
        <v>56</v>
      </c>
    </row>
    <row r="348" spans="1:13" x14ac:dyDescent="0.3">
      <c r="A348" s="1">
        <v>17</v>
      </c>
      <c r="B348" s="2">
        <v>46306</v>
      </c>
      <c r="C348" s="3" t="s">
        <v>54</v>
      </c>
      <c r="D348" s="3" t="s">
        <v>55</v>
      </c>
      <c r="E348" s="3" t="s">
        <v>110</v>
      </c>
      <c r="F348" s="1">
        <v>73</v>
      </c>
      <c r="G348" s="3" t="s">
        <v>108</v>
      </c>
      <c r="H348" s="3" t="s">
        <v>80</v>
      </c>
      <c r="I348" s="3" t="s">
        <v>72</v>
      </c>
      <c r="J348" s="1">
        <v>7</v>
      </c>
      <c r="K348" s="1">
        <v>27</v>
      </c>
      <c r="L348" s="1">
        <v>25</v>
      </c>
      <c r="M348" s="3" t="s">
        <v>56</v>
      </c>
    </row>
    <row r="349" spans="1:13" x14ac:dyDescent="0.3">
      <c r="A349" s="1">
        <v>17</v>
      </c>
      <c r="B349" s="2">
        <v>46306</v>
      </c>
      <c r="C349" s="3" t="s">
        <v>54</v>
      </c>
      <c r="D349" s="3" t="s">
        <v>55</v>
      </c>
      <c r="E349" s="3" t="s">
        <v>78</v>
      </c>
      <c r="F349" s="1">
        <v>49</v>
      </c>
      <c r="G349" s="3" t="s">
        <v>79</v>
      </c>
      <c r="H349" s="3" t="s">
        <v>80</v>
      </c>
      <c r="I349" s="3" t="s">
        <v>68</v>
      </c>
      <c r="J349" s="1">
        <v>8</v>
      </c>
      <c r="K349" s="1">
        <v>27</v>
      </c>
      <c r="L349" s="1">
        <v>25</v>
      </c>
      <c r="M349" s="3" t="s">
        <v>56</v>
      </c>
    </row>
    <row r="350" spans="1:13" x14ac:dyDescent="0.3">
      <c r="A350" s="1">
        <v>17</v>
      </c>
      <c r="B350" s="2">
        <v>46306</v>
      </c>
      <c r="C350" s="3" t="s">
        <v>54</v>
      </c>
      <c r="D350" s="3" t="s">
        <v>55</v>
      </c>
      <c r="E350" s="3" t="s">
        <v>97</v>
      </c>
      <c r="F350" s="1">
        <v>20</v>
      </c>
      <c r="G350" s="3" t="s">
        <v>98</v>
      </c>
      <c r="H350" s="3" t="s">
        <v>99</v>
      </c>
      <c r="I350" s="3" t="s">
        <v>91</v>
      </c>
      <c r="J350" s="1">
        <v>9</v>
      </c>
      <c r="K350" s="1">
        <v>27</v>
      </c>
      <c r="L350" s="1">
        <v>24</v>
      </c>
      <c r="M350" s="3" t="s">
        <v>56</v>
      </c>
    </row>
    <row r="351" spans="1:13" x14ac:dyDescent="0.3">
      <c r="A351" s="1">
        <v>17</v>
      </c>
      <c r="B351" s="2">
        <v>46306</v>
      </c>
      <c r="C351" s="3" t="s">
        <v>54</v>
      </c>
      <c r="D351" s="3" t="s">
        <v>55</v>
      </c>
      <c r="E351" s="3" t="s">
        <v>92</v>
      </c>
      <c r="F351" s="1">
        <v>23</v>
      </c>
      <c r="G351" s="3" t="s">
        <v>93</v>
      </c>
      <c r="H351" s="3" t="s">
        <v>71</v>
      </c>
      <c r="I351" s="3" t="s">
        <v>68</v>
      </c>
      <c r="J351" s="1">
        <v>10</v>
      </c>
      <c r="K351" s="1">
        <v>27</v>
      </c>
      <c r="L351" s="1">
        <v>26</v>
      </c>
      <c r="M351" s="3" t="s">
        <v>56</v>
      </c>
    </row>
    <row r="352" spans="1:13" x14ac:dyDescent="0.3">
      <c r="A352" s="1">
        <v>17</v>
      </c>
      <c r="B352" s="2">
        <v>46306</v>
      </c>
      <c r="C352" s="3" t="s">
        <v>54</v>
      </c>
      <c r="D352" s="3" t="s">
        <v>55</v>
      </c>
      <c r="E352" s="3" t="s">
        <v>81</v>
      </c>
      <c r="F352" s="1">
        <v>33</v>
      </c>
      <c r="G352" s="3" t="s">
        <v>70</v>
      </c>
      <c r="H352" s="3" t="s">
        <v>71</v>
      </c>
      <c r="I352" s="3" t="s">
        <v>82</v>
      </c>
      <c r="J352" s="1">
        <v>11</v>
      </c>
      <c r="K352" s="1">
        <v>27</v>
      </c>
      <c r="L352" s="1">
        <v>26</v>
      </c>
      <c r="M352" s="3" t="s">
        <v>56</v>
      </c>
    </row>
    <row r="353" spans="1:13" x14ac:dyDescent="0.3">
      <c r="A353" s="1">
        <v>17</v>
      </c>
      <c r="B353" s="2">
        <v>46306</v>
      </c>
      <c r="C353" s="3" t="s">
        <v>54</v>
      </c>
      <c r="D353" s="3" t="s">
        <v>55</v>
      </c>
      <c r="E353" s="3" t="s">
        <v>86</v>
      </c>
      <c r="F353" s="1">
        <v>10</v>
      </c>
      <c r="G353" s="3" t="s">
        <v>87</v>
      </c>
      <c r="H353" s="3" t="s">
        <v>88</v>
      </c>
      <c r="I353" s="3" t="s">
        <v>68</v>
      </c>
      <c r="J353" s="1">
        <v>12</v>
      </c>
      <c r="K353" s="1">
        <v>27</v>
      </c>
      <c r="L353" s="1">
        <v>25</v>
      </c>
      <c r="M353" s="3" t="s">
        <v>56</v>
      </c>
    </row>
    <row r="354" spans="1:13" x14ac:dyDescent="0.3">
      <c r="A354" s="1">
        <v>17</v>
      </c>
      <c r="B354" s="2">
        <v>46306</v>
      </c>
      <c r="C354" s="3" t="s">
        <v>54</v>
      </c>
      <c r="D354" s="3" t="s">
        <v>55</v>
      </c>
      <c r="E354" s="3" t="s">
        <v>89</v>
      </c>
      <c r="F354" s="1">
        <v>5</v>
      </c>
      <c r="G354" s="3" t="s">
        <v>90</v>
      </c>
      <c r="H354" s="3" t="s">
        <v>88</v>
      </c>
      <c r="I354" s="3" t="s">
        <v>91</v>
      </c>
      <c r="J354" s="1">
        <v>13</v>
      </c>
      <c r="K354" s="1">
        <v>27</v>
      </c>
      <c r="L354" s="1">
        <v>25</v>
      </c>
      <c r="M354" s="3" t="s">
        <v>56</v>
      </c>
    </row>
    <row r="355" spans="1:13" x14ac:dyDescent="0.3">
      <c r="A355" s="1">
        <v>17</v>
      </c>
      <c r="B355" s="2">
        <v>46306</v>
      </c>
      <c r="C355" s="3" t="s">
        <v>54</v>
      </c>
      <c r="D355" s="3" t="s">
        <v>55</v>
      </c>
      <c r="E355" s="3" t="s">
        <v>83</v>
      </c>
      <c r="F355" s="1">
        <v>21</v>
      </c>
      <c r="G355" s="3" t="s">
        <v>79</v>
      </c>
      <c r="H355" s="3" t="s">
        <v>80</v>
      </c>
      <c r="I355" s="3" t="s">
        <v>68</v>
      </c>
      <c r="J355" s="1">
        <v>14</v>
      </c>
      <c r="K355" s="1">
        <v>27</v>
      </c>
      <c r="L355" s="1">
        <v>24</v>
      </c>
      <c r="M355" s="3" t="s">
        <v>56</v>
      </c>
    </row>
    <row r="356" spans="1:13" x14ac:dyDescent="0.3">
      <c r="A356" s="1">
        <v>17</v>
      </c>
      <c r="B356" s="2">
        <v>46306</v>
      </c>
      <c r="C356" s="3" t="s">
        <v>54</v>
      </c>
      <c r="D356" s="3" t="s">
        <v>55</v>
      </c>
      <c r="E356" s="3" t="s">
        <v>100</v>
      </c>
      <c r="F356" s="1">
        <v>42</v>
      </c>
      <c r="G356" s="3" t="s">
        <v>98</v>
      </c>
      <c r="H356" s="3" t="s">
        <v>99</v>
      </c>
      <c r="I356" s="3" t="s">
        <v>72</v>
      </c>
      <c r="J356" s="1">
        <v>15</v>
      </c>
      <c r="K356" s="1">
        <v>27</v>
      </c>
      <c r="L356" s="1">
        <v>26</v>
      </c>
      <c r="M356" s="3" t="s">
        <v>56</v>
      </c>
    </row>
    <row r="357" spans="1:13" x14ac:dyDescent="0.3">
      <c r="A357" s="1">
        <v>17</v>
      </c>
      <c r="B357" s="2">
        <v>46306</v>
      </c>
      <c r="C357" s="3" t="s">
        <v>54</v>
      </c>
      <c r="D357" s="3" t="s">
        <v>55</v>
      </c>
      <c r="E357" s="3" t="s">
        <v>94</v>
      </c>
      <c r="F357" s="1">
        <v>11</v>
      </c>
      <c r="G357" s="3" t="s">
        <v>95</v>
      </c>
      <c r="H357" s="3" t="s">
        <v>88</v>
      </c>
      <c r="I357" s="3" t="s">
        <v>96</v>
      </c>
      <c r="J357" s="1">
        <v>16</v>
      </c>
      <c r="K357" s="1">
        <v>27</v>
      </c>
      <c r="L357" s="1">
        <v>23</v>
      </c>
      <c r="M357" s="3" t="s">
        <v>56</v>
      </c>
    </row>
    <row r="358" spans="1:13" x14ac:dyDescent="0.3">
      <c r="A358" s="1">
        <v>17</v>
      </c>
      <c r="B358" s="2">
        <v>46306</v>
      </c>
      <c r="C358" s="3" t="s">
        <v>54</v>
      </c>
      <c r="D358" s="3" t="s">
        <v>55</v>
      </c>
      <c r="E358" s="3" t="s">
        <v>101</v>
      </c>
      <c r="F358" s="1">
        <v>12</v>
      </c>
      <c r="G358" s="3" t="s">
        <v>93</v>
      </c>
      <c r="H358" s="3" t="s">
        <v>71</v>
      </c>
      <c r="I358" s="3" t="s">
        <v>72</v>
      </c>
      <c r="J358" s="1">
        <v>17</v>
      </c>
      <c r="K358" s="1">
        <v>27</v>
      </c>
      <c r="L358" s="1">
        <v>22</v>
      </c>
      <c r="M358" s="3" t="s">
        <v>56</v>
      </c>
    </row>
    <row r="359" spans="1:13" x14ac:dyDescent="0.3">
      <c r="A359" s="1">
        <v>17</v>
      </c>
      <c r="B359" s="2">
        <v>46306</v>
      </c>
      <c r="C359" s="3" t="s">
        <v>54</v>
      </c>
      <c r="D359" s="3" t="s">
        <v>55</v>
      </c>
      <c r="E359" s="3" t="s">
        <v>102</v>
      </c>
      <c r="F359" s="1">
        <v>7</v>
      </c>
      <c r="G359" s="3" t="s">
        <v>103</v>
      </c>
      <c r="H359" s="3" t="s">
        <v>99</v>
      </c>
      <c r="I359" s="3" t="s">
        <v>104</v>
      </c>
      <c r="J359" s="1">
        <v>18</v>
      </c>
      <c r="K359" s="1">
        <v>8</v>
      </c>
      <c r="L359" s="1">
        <v>5</v>
      </c>
      <c r="M359" s="3" t="s">
        <v>56</v>
      </c>
    </row>
    <row r="360" spans="1:13" x14ac:dyDescent="0.3">
      <c r="A360" s="1">
        <v>17</v>
      </c>
      <c r="B360" s="2">
        <v>46306</v>
      </c>
      <c r="C360" s="3" t="s">
        <v>54</v>
      </c>
      <c r="D360" s="3" t="s">
        <v>55</v>
      </c>
      <c r="E360" s="3" t="s">
        <v>84</v>
      </c>
      <c r="F360" s="1">
        <v>63</v>
      </c>
      <c r="G360" s="3" t="s">
        <v>85</v>
      </c>
      <c r="H360" s="3" t="s">
        <v>80</v>
      </c>
      <c r="I360" s="3" t="s">
        <v>68</v>
      </c>
      <c r="J360" s="1">
        <v>19</v>
      </c>
      <c r="K360" s="1">
        <v>5</v>
      </c>
      <c r="L360" s="1">
        <v>4</v>
      </c>
      <c r="M360" s="3" t="s">
        <v>56</v>
      </c>
    </row>
    <row r="361" spans="1:13" x14ac:dyDescent="0.3">
      <c r="A361" s="1">
        <v>17</v>
      </c>
      <c r="B361" s="2">
        <v>46306</v>
      </c>
      <c r="C361" s="3" t="s">
        <v>54</v>
      </c>
      <c r="D361" s="3" t="s">
        <v>55</v>
      </c>
      <c r="E361" s="3" t="s">
        <v>105</v>
      </c>
      <c r="F361" s="1">
        <v>43</v>
      </c>
      <c r="G361" s="3" t="s">
        <v>103</v>
      </c>
      <c r="H361" s="3" t="s">
        <v>99</v>
      </c>
      <c r="I361" s="3" t="s">
        <v>106</v>
      </c>
      <c r="J361" s="1">
        <v>20</v>
      </c>
      <c r="K361" s="1">
        <v>5</v>
      </c>
      <c r="L361" s="1">
        <v>4</v>
      </c>
      <c r="M361" s="3" t="s">
        <v>56</v>
      </c>
    </row>
    <row r="362" spans="1:13" x14ac:dyDescent="0.3">
      <c r="A362" s="1">
        <v>17</v>
      </c>
      <c r="B362" s="2">
        <v>46306</v>
      </c>
      <c r="C362" s="3" t="s">
        <v>54</v>
      </c>
      <c r="D362" s="3" t="s">
        <v>55</v>
      </c>
      <c r="E362" s="3" t="s">
        <v>112</v>
      </c>
      <c r="F362" s="1">
        <v>54</v>
      </c>
      <c r="G362" s="3" t="s">
        <v>108</v>
      </c>
      <c r="H362" s="3" t="s">
        <v>80</v>
      </c>
      <c r="I362" s="3" t="s">
        <v>72</v>
      </c>
      <c r="J362" s="1">
        <v>21</v>
      </c>
      <c r="K362" s="1">
        <v>1</v>
      </c>
      <c r="L362" s="1">
        <v>0</v>
      </c>
      <c r="M362" s="3" t="s">
        <v>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4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43" sqref="I43"/>
    </sheetView>
  </sheetViews>
  <sheetFormatPr defaultRowHeight="14.4" x14ac:dyDescent="0.3"/>
  <cols>
    <col min="1" max="1" width="26.6640625" customWidth="1"/>
    <col min="2" max="3" width="12.6640625" customWidth="1"/>
    <col min="4" max="20" width="16.6640625" customWidth="1"/>
  </cols>
  <sheetData>
    <row r="1" spans="1:20" ht="21" x14ac:dyDescent="0.3">
      <c r="A1" s="39" t="s">
        <v>126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3" spans="1:20" x14ac:dyDescent="0.3">
      <c r="A3" s="4" t="s">
        <v>57</v>
      </c>
      <c r="B3" s="4" t="s">
        <v>58</v>
      </c>
      <c r="C3" s="4" t="s">
        <v>61</v>
      </c>
      <c r="D3" s="4" t="s">
        <v>127</v>
      </c>
      <c r="E3" s="4" t="s">
        <v>128</v>
      </c>
      <c r="F3" s="4" t="s">
        <v>129</v>
      </c>
      <c r="G3" s="4" t="s">
        <v>130</v>
      </c>
      <c r="H3" s="4" t="s">
        <v>131</v>
      </c>
      <c r="I3" s="4" t="s">
        <v>132</v>
      </c>
      <c r="J3" s="4" t="s">
        <v>133</v>
      </c>
      <c r="K3" s="4" t="s">
        <v>134</v>
      </c>
      <c r="L3" s="4" t="s">
        <v>135</v>
      </c>
      <c r="M3" s="4" t="s">
        <v>136</v>
      </c>
      <c r="N3" s="4" t="s">
        <v>137</v>
      </c>
      <c r="O3" s="4" t="s">
        <v>138</v>
      </c>
      <c r="P3" s="4" t="s">
        <v>139</v>
      </c>
      <c r="Q3" s="4" t="s">
        <v>140</v>
      </c>
      <c r="R3" s="4" t="s">
        <v>141</v>
      </c>
      <c r="S3" s="4" t="s">
        <v>142</v>
      </c>
      <c r="T3" s="4" t="s">
        <v>143</v>
      </c>
    </row>
    <row r="4" spans="1:20" x14ac:dyDescent="0.3">
      <c r="A4" s="3" t="s">
        <v>65</v>
      </c>
      <c r="B4" s="5">
        <v>72</v>
      </c>
      <c r="C4" s="5" t="s">
        <v>68</v>
      </c>
      <c r="D4" s="1">
        <v>1</v>
      </c>
      <c r="E4" s="1">
        <v>1</v>
      </c>
      <c r="F4" s="1">
        <v>1</v>
      </c>
      <c r="G4" s="1">
        <v>2</v>
      </c>
      <c r="H4" s="1">
        <v>2</v>
      </c>
      <c r="I4" s="1">
        <v>5</v>
      </c>
      <c r="J4" s="1">
        <v>1</v>
      </c>
      <c r="K4" s="6"/>
      <c r="L4" s="6"/>
      <c r="M4" s="1">
        <v>21</v>
      </c>
      <c r="N4" s="6"/>
      <c r="O4" s="1">
        <v>3</v>
      </c>
      <c r="P4" s="1">
        <v>3</v>
      </c>
      <c r="Q4" s="1">
        <v>21</v>
      </c>
      <c r="R4" s="1">
        <v>3</v>
      </c>
      <c r="S4" s="1">
        <v>3</v>
      </c>
      <c r="T4" s="1">
        <v>1</v>
      </c>
    </row>
    <row r="5" spans="1:20" x14ac:dyDescent="0.3">
      <c r="A5" s="3" t="s">
        <v>69</v>
      </c>
      <c r="B5" s="5">
        <v>37</v>
      </c>
      <c r="C5" s="5" t="s">
        <v>72</v>
      </c>
      <c r="D5" s="1">
        <v>2</v>
      </c>
      <c r="E5" s="1">
        <v>7</v>
      </c>
      <c r="F5" s="1">
        <v>3</v>
      </c>
      <c r="G5" s="1">
        <v>10</v>
      </c>
      <c r="H5" s="1">
        <v>5</v>
      </c>
      <c r="I5" s="1">
        <v>19</v>
      </c>
      <c r="J5" s="1">
        <v>6</v>
      </c>
      <c r="K5" s="1">
        <v>2</v>
      </c>
      <c r="L5" s="1">
        <v>18</v>
      </c>
      <c r="M5" s="1">
        <v>19</v>
      </c>
      <c r="N5" s="1">
        <v>4</v>
      </c>
      <c r="O5" s="1">
        <v>5</v>
      </c>
      <c r="P5" s="1">
        <v>2</v>
      </c>
      <c r="Q5" s="1">
        <v>3</v>
      </c>
      <c r="R5" s="1">
        <v>1</v>
      </c>
      <c r="S5" s="1">
        <v>7</v>
      </c>
      <c r="T5" s="1">
        <v>5</v>
      </c>
    </row>
    <row r="6" spans="1:20" x14ac:dyDescent="0.3">
      <c r="A6" s="3" t="s">
        <v>73</v>
      </c>
      <c r="B6" s="5">
        <v>25</v>
      </c>
      <c r="C6" s="5" t="s">
        <v>72</v>
      </c>
      <c r="D6" s="1">
        <v>3</v>
      </c>
      <c r="E6" s="1">
        <v>10</v>
      </c>
      <c r="F6" s="1">
        <v>8</v>
      </c>
      <c r="G6" s="1">
        <v>6</v>
      </c>
      <c r="H6" s="1">
        <v>8</v>
      </c>
      <c r="I6" s="1">
        <v>16</v>
      </c>
      <c r="J6" s="1">
        <v>8</v>
      </c>
      <c r="K6" s="6"/>
      <c r="L6" s="1">
        <v>7</v>
      </c>
      <c r="M6" s="1">
        <v>2</v>
      </c>
      <c r="N6" s="1">
        <v>3</v>
      </c>
      <c r="O6" s="1">
        <v>1</v>
      </c>
      <c r="P6" s="1">
        <v>20</v>
      </c>
      <c r="Q6" s="1">
        <v>6</v>
      </c>
      <c r="R6" s="1">
        <v>12</v>
      </c>
      <c r="S6" s="1">
        <v>5</v>
      </c>
      <c r="T6" s="1">
        <v>2</v>
      </c>
    </row>
    <row r="7" spans="1:20" x14ac:dyDescent="0.3">
      <c r="A7" s="3" t="s">
        <v>75</v>
      </c>
      <c r="B7" s="5">
        <v>89</v>
      </c>
      <c r="C7" s="5" t="s">
        <v>72</v>
      </c>
      <c r="D7" s="1">
        <v>4</v>
      </c>
      <c r="E7" s="1">
        <v>2</v>
      </c>
      <c r="F7" s="1">
        <v>2</v>
      </c>
      <c r="G7" s="1">
        <v>4</v>
      </c>
      <c r="H7" s="1">
        <v>1</v>
      </c>
      <c r="I7" s="1">
        <v>18</v>
      </c>
      <c r="J7" s="1">
        <v>2</v>
      </c>
      <c r="K7" s="6"/>
      <c r="L7" s="1">
        <v>9</v>
      </c>
      <c r="M7" s="1">
        <v>3</v>
      </c>
      <c r="N7" s="1">
        <v>5</v>
      </c>
      <c r="O7" s="1">
        <v>2</v>
      </c>
      <c r="P7" s="1">
        <v>5</v>
      </c>
      <c r="Q7" s="1">
        <v>5</v>
      </c>
      <c r="R7" s="1">
        <v>2</v>
      </c>
      <c r="S7" s="1">
        <v>2</v>
      </c>
      <c r="T7" s="1">
        <v>3</v>
      </c>
    </row>
    <row r="8" spans="1:20" x14ac:dyDescent="0.3">
      <c r="A8" s="3" t="s">
        <v>76</v>
      </c>
      <c r="B8" s="5">
        <v>79</v>
      </c>
      <c r="C8" s="5" t="s">
        <v>77</v>
      </c>
      <c r="D8" s="1">
        <v>5</v>
      </c>
      <c r="E8" s="1">
        <v>5</v>
      </c>
      <c r="F8" s="1">
        <v>20</v>
      </c>
      <c r="G8" s="1">
        <v>5</v>
      </c>
      <c r="H8" s="1">
        <v>3</v>
      </c>
      <c r="I8" s="1">
        <v>9</v>
      </c>
      <c r="J8" s="1">
        <v>4</v>
      </c>
      <c r="K8" s="1">
        <v>4</v>
      </c>
      <c r="L8" s="1">
        <v>2</v>
      </c>
      <c r="M8" s="1">
        <v>1</v>
      </c>
      <c r="N8" s="1">
        <v>2</v>
      </c>
      <c r="O8" s="1">
        <v>17</v>
      </c>
      <c r="P8" s="6"/>
      <c r="Q8" s="6"/>
      <c r="R8" s="1">
        <v>4</v>
      </c>
      <c r="S8" s="1">
        <v>6</v>
      </c>
      <c r="T8" s="1">
        <v>4</v>
      </c>
    </row>
    <row r="9" spans="1:20" x14ac:dyDescent="0.3">
      <c r="A9" s="3" t="s">
        <v>78</v>
      </c>
      <c r="B9" s="5">
        <v>49</v>
      </c>
      <c r="C9" s="5" t="s">
        <v>68</v>
      </c>
      <c r="D9" s="1">
        <v>6</v>
      </c>
      <c r="E9" s="1">
        <v>3</v>
      </c>
      <c r="F9" s="1">
        <v>4</v>
      </c>
      <c r="G9" s="1">
        <v>3</v>
      </c>
      <c r="H9" s="1">
        <v>4</v>
      </c>
      <c r="I9" s="1">
        <v>1</v>
      </c>
      <c r="J9" s="1">
        <v>5</v>
      </c>
      <c r="K9" s="1">
        <v>12</v>
      </c>
      <c r="L9" s="1">
        <v>4</v>
      </c>
      <c r="M9" s="1">
        <v>4</v>
      </c>
      <c r="N9" s="1">
        <v>20</v>
      </c>
      <c r="O9" s="1">
        <v>6</v>
      </c>
      <c r="P9" s="1">
        <v>7</v>
      </c>
      <c r="Q9" s="1">
        <v>7</v>
      </c>
      <c r="R9" s="1">
        <v>9</v>
      </c>
      <c r="S9" s="1">
        <v>18</v>
      </c>
      <c r="T9" s="1">
        <v>8</v>
      </c>
    </row>
    <row r="10" spans="1:20" x14ac:dyDescent="0.3">
      <c r="A10" s="3" t="s">
        <v>81</v>
      </c>
      <c r="B10" s="5">
        <v>33</v>
      </c>
      <c r="C10" s="5" t="s">
        <v>82</v>
      </c>
      <c r="D10" s="1">
        <v>7</v>
      </c>
      <c r="E10" s="1">
        <v>21</v>
      </c>
      <c r="F10" s="1">
        <v>12</v>
      </c>
      <c r="G10" s="1">
        <v>11</v>
      </c>
      <c r="H10" s="1">
        <v>17</v>
      </c>
      <c r="I10" s="1">
        <v>8</v>
      </c>
      <c r="J10" s="1">
        <v>11</v>
      </c>
      <c r="K10" s="1">
        <v>10</v>
      </c>
      <c r="L10" s="1">
        <v>12</v>
      </c>
      <c r="M10" s="1">
        <v>9</v>
      </c>
      <c r="N10" s="1">
        <v>10</v>
      </c>
      <c r="O10" s="1">
        <v>8</v>
      </c>
      <c r="P10" s="1">
        <v>10</v>
      </c>
      <c r="Q10" s="1">
        <v>11</v>
      </c>
      <c r="R10" s="1">
        <v>6</v>
      </c>
      <c r="S10" s="1">
        <v>11</v>
      </c>
      <c r="T10" s="1">
        <v>11</v>
      </c>
    </row>
    <row r="11" spans="1:20" x14ac:dyDescent="0.3">
      <c r="A11" s="3" t="s">
        <v>83</v>
      </c>
      <c r="B11" s="5">
        <v>21</v>
      </c>
      <c r="C11" s="5" t="s">
        <v>68</v>
      </c>
      <c r="D11" s="1">
        <v>8</v>
      </c>
      <c r="E11" s="1">
        <v>12</v>
      </c>
      <c r="F11" s="1">
        <v>14</v>
      </c>
      <c r="G11" s="1">
        <v>12</v>
      </c>
      <c r="H11" s="1">
        <v>14</v>
      </c>
      <c r="I11" s="1">
        <v>12</v>
      </c>
      <c r="J11" s="1">
        <v>14</v>
      </c>
      <c r="K11" s="1">
        <v>14</v>
      </c>
      <c r="L11" s="1">
        <v>13</v>
      </c>
      <c r="M11" s="1">
        <v>20</v>
      </c>
      <c r="N11" s="1">
        <v>13</v>
      </c>
      <c r="O11" s="1">
        <v>11</v>
      </c>
      <c r="P11" s="1">
        <v>22</v>
      </c>
      <c r="Q11" s="1">
        <v>13</v>
      </c>
      <c r="R11" s="1">
        <v>18</v>
      </c>
      <c r="S11" s="1">
        <v>15</v>
      </c>
      <c r="T11" s="1">
        <v>14</v>
      </c>
    </row>
    <row r="12" spans="1:20" x14ac:dyDescent="0.3">
      <c r="A12" s="3" t="s">
        <v>84</v>
      </c>
      <c r="B12" s="5">
        <v>63</v>
      </c>
      <c r="C12" s="5" t="s">
        <v>68</v>
      </c>
      <c r="D12" s="1">
        <v>9</v>
      </c>
      <c r="E12" s="1">
        <v>20</v>
      </c>
      <c r="F12" s="1">
        <v>10</v>
      </c>
      <c r="G12" s="1">
        <v>21</v>
      </c>
      <c r="H12" s="1">
        <v>19</v>
      </c>
      <c r="I12" s="1">
        <v>4</v>
      </c>
      <c r="J12" s="1">
        <v>3</v>
      </c>
      <c r="K12" s="1">
        <v>3</v>
      </c>
      <c r="L12" s="1">
        <v>3</v>
      </c>
      <c r="M12" s="1">
        <v>17</v>
      </c>
      <c r="N12" s="1">
        <v>6</v>
      </c>
      <c r="O12" s="1">
        <v>18</v>
      </c>
      <c r="P12" s="1">
        <v>21</v>
      </c>
      <c r="Q12" s="1">
        <v>17</v>
      </c>
      <c r="R12" s="1">
        <v>7</v>
      </c>
      <c r="S12" s="1">
        <v>8</v>
      </c>
      <c r="T12" s="1">
        <v>19</v>
      </c>
    </row>
    <row r="13" spans="1:20" x14ac:dyDescent="0.3">
      <c r="A13" s="3" t="s">
        <v>86</v>
      </c>
      <c r="B13" s="5">
        <v>10</v>
      </c>
      <c r="C13" s="5" t="s">
        <v>68</v>
      </c>
      <c r="D13" s="1">
        <v>10</v>
      </c>
      <c r="E13" s="1">
        <v>11</v>
      </c>
      <c r="F13" s="1">
        <v>9</v>
      </c>
      <c r="G13" s="1">
        <v>13</v>
      </c>
      <c r="H13" s="1">
        <v>10</v>
      </c>
      <c r="I13" s="1">
        <v>7</v>
      </c>
      <c r="J13" s="1">
        <v>13</v>
      </c>
      <c r="K13" s="1">
        <v>5</v>
      </c>
      <c r="L13" s="1">
        <v>8</v>
      </c>
      <c r="M13" s="1">
        <v>11</v>
      </c>
      <c r="N13" s="1">
        <v>8</v>
      </c>
      <c r="O13" s="1">
        <v>9</v>
      </c>
      <c r="P13" s="1">
        <v>14</v>
      </c>
      <c r="Q13" s="1">
        <v>9</v>
      </c>
      <c r="R13" s="1">
        <v>14</v>
      </c>
      <c r="S13" s="1">
        <v>10</v>
      </c>
      <c r="T13" s="1">
        <v>12</v>
      </c>
    </row>
    <row r="14" spans="1:20" x14ac:dyDescent="0.3">
      <c r="A14" s="3" t="s">
        <v>89</v>
      </c>
      <c r="B14" s="5">
        <v>5</v>
      </c>
      <c r="C14" s="5" t="s">
        <v>91</v>
      </c>
      <c r="D14" s="1">
        <v>11</v>
      </c>
      <c r="E14" s="1">
        <v>9</v>
      </c>
      <c r="F14" s="1">
        <v>19</v>
      </c>
      <c r="G14" s="1">
        <v>7</v>
      </c>
      <c r="H14" s="1">
        <v>11</v>
      </c>
      <c r="I14" s="6"/>
      <c r="J14" s="6"/>
      <c r="K14" s="6"/>
      <c r="L14" s="6"/>
      <c r="M14" s="6"/>
      <c r="N14" s="6"/>
      <c r="O14" s="6"/>
      <c r="P14" s="1">
        <v>15</v>
      </c>
      <c r="Q14" s="1">
        <v>15</v>
      </c>
      <c r="R14" s="1">
        <v>10</v>
      </c>
      <c r="S14" s="1">
        <v>20</v>
      </c>
      <c r="T14" s="1">
        <v>13</v>
      </c>
    </row>
    <row r="15" spans="1:20" x14ac:dyDescent="0.3">
      <c r="A15" s="3" t="s">
        <v>92</v>
      </c>
      <c r="B15" s="5">
        <v>23</v>
      </c>
      <c r="C15" s="5" t="s">
        <v>68</v>
      </c>
      <c r="D15" s="1">
        <v>12</v>
      </c>
      <c r="E15" s="1">
        <v>15</v>
      </c>
      <c r="F15" s="1">
        <v>6</v>
      </c>
      <c r="G15" s="1">
        <v>8</v>
      </c>
      <c r="H15" s="1">
        <v>7</v>
      </c>
      <c r="I15" s="6"/>
      <c r="J15" s="1">
        <v>20</v>
      </c>
      <c r="K15" s="1">
        <v>9</v>
      </c>
      <c r="L15" s="1">
        <v>10</v>
      </c>
      <c r="M15" s="1">
        <v>6</v>
      </c>
      <c r="N15" s="1">
        <v>9</v>
      </c>
      <c r="O15" s="1">
        <v>21</v>
      </c>
      <c r="P15" s="1">
        <v>8</v>
      </c>
      <c r="Q15" s="1">
        <v>8</v>
      </c>
      <c r="R15" s="1">
        <v>11</v>
      </c>
      <c r="S15" s="1">
        <v>4</v>
      </c>
      <c r="T15" s="1">
        <v>10</v>
      </c>
    </row>
    <row r="16" spans="1:20" x14ac:dyDescent="0.3">
      <c r="A16" s="3" t="s">
        <v>94</v>
      </c>
      <c r="B16" s="5">
        <v>11</v>
      </c>
      <c r="C16" s="5" t="s">
        <v>96</v>
      </c>
      <c r="D16" s="1">
        <v>13</v>
      </c>
      <c r="E16" s="1">
        <v>13</v>
      </c>
      <c r="F16" s="1">
        <v>13</v>
      </c>
      <c r="G16" s="1">
        <v>17</v>
      </c>
      <c r="H16" s="1">
        <v>20</v>
      </c>
      <c r="I16" s="1">
        <v>10</v>
      </c>
      <c r="J16" s="1">
        <v>10</v>
      </c>
      <c r="K16" s="1">
        <v>6</v>
      </c>
      <c r="L16" s="1">
        <v>11</v>
      </c>
      <c r="M16" s="1">
        <v>14</v>
      </c>
      <c r="N16" s="1">
        <v>11</v>
      </c>
      <c r="O16" s="1">
        <v>10</v>
      </c>
      <c r="P16" s="1">
        <v>9</v>
      </c>
      <c r="Q16" s="1">
        <v>19</v>
      </c>
      <c r="R16" s="1">
        <v>15</v>
      </c>
      <c r="S16" s="1">
        <v>22</v>
      </c>
      <c r="T16" s="1">
        <v>16</v>
      </c>
    </row>
    <row r="17" spans="1:20" x14ac:dyDescent="0.3">
      <c r="A17" s="3" t="s">
        <v>97</v>
      </c>
      <c r="B17" s="5">
        <v>20</v>
      </c>
      <c r="C17" s="5" t="s">
        <v>91</v>
      </c>
      <c r="D17" s="1">
        <v>14</v>
      </c>
      <c r="E17" s="1">
        <v>16</v>
      </c>
      <c r="F17" s="1">
        <v>17</v>
      </c>
      <c r="G17" s="1">
        <v>14</v>
      </c>
      <c r="H17" s="1">
        <v>6</v>
      </c>
      <c r="I17" s="1">
        <v>6</v>
      </c>
      <c r="J17" s="1">
        <v>18</v>
      </c>
      <c r="K17" s="1">
        <v>17</v>
      </c>
      <c r="L17" s="1">
        <v>20</v>
      </c>
      <c r="M17" s="1">
        <v>8</v>
      </c>
      <c r="N17" s="1">
        <v>7</v>
      </c>
      <c r="O17" s="1">
        <v>12</v>
      </c>
      <c r="P17" s="1">
        <v>18</v>
      </c>
      <c r="Q17" s="1">
        <v>10</v>
      </c>
      <c r="R17" s="1">
        <v>17</v>
      </c>
      <c r="S17" s="1">
        <v>12</v>
      </c>
      <c r="T17" s="1">
        <v>9</v>
      </c>
    </row>
    <row r="18" spans="1:20" x14ac:dyDescent="0.3">
      <c r="A18" s="3" t="s">
        <v>100</v>
      </c>
      <c r="B18" s="5">
        <v>42</v>
      </c>
      <c r="C18" s="5" t="s">
        <v>72</v>
      </c>
      <c r="D18" s="1">
        <v>15</v>
      </c>
      <c r="E18" s="1">
        <v>14</v>
      </c>
      <c r="F18" s="1">
        <v>18</v>
      </c>
      <c r="G18" s="1">
        <v>16</v>
      </c>
      <c r="H18" s="1">
        <v>12</v>
      </c>
      <c r="I18" s="1">
        <v>11</v>
      </c>
      <c r="J18" s="1">
        <v>21</v>
      </c>
      <c r="K18" s="1">
        <v>13</v>
      </c>
      <c r="L18" s="1">
        <v>19</v>
      </c>
      <c r="M18" s="1">
        <v>10</v>
      </c>
      <c r="N18" s="1">
        <v>14</v>
      </c>
      <c r="O18" s="1">
        <v>22</v>
      </c>
      <c r="P18" s="1">
        <v>13</v>
      </c>
      <c r="Q18" s="1">
        <v>16</v>
      </c>
      <c r="R18" s="1">
        <v>19</v>
      </c>
      <c r="S18" s="1">
        <v>16</v>
      </c>
      <c r="T18" s="1">
        <v>15</v>
      </c>
    </row>
    <row r="19" spans="1:20" x14ac:dyDescent="0.3">
      <c r="A19" s="3" t="s">
        <v>101</v>
      </c>
      <c r="B19" s="5">
        <v>12</v>
      </c>
      <c r="C19" s="5" t="s">
        <v>72</v>
      </c>
      <c r="D19" s="1">
        <v>16</v>
      </c>
      <c r="E19" s="1">
        <v>18</v>
      </c>
      <c r="F19" s="6"/>
      <c r="G19" s="6"/>
      <c r="H19" s="6"/>
      <c r="I19" s="1">
        <v>13</v>
      </c>
      <c r="J19" s="1">
        <v>17</v>
      </c>
      <c r="K19" s="1">
        <v>15</v>
      </c>
      <c r="L19" s="1">
        <v>15</v>
      </c>
      <c r="M19" s="1">
        <v>13</v>
      </c>
      <c r="N19" s="1">
        <v>16</v>
      </c>
      <c r="O19" s="6"/>
      <c r="P19" s="6"/>
      <c r="Q19" s="6"/>
      <c r="R19" s="6"/>
      <c r="S19" s="1">
        <v>14</v>
      </c>
      <c r="T19" s="1">
        <v>17</v>
      </c>
    </row>
    <row r="20" spans="1:20" x14ac:dyDescent="0.3">
      <c r="A20" s="3" t="s">
        <v>102</v>
      </c>
      <c r="B20" s="5">
        <v>7</v>
      </c>
      <c r="C20" s="5" t="s">
        <v>104</v>
      </c>
      <c r="D20" s="1">
        <v>17</v>
      </c>
      <c r="E20" s="1">
        <v>17</v>
      </c>
      <c r="F20" s="1">
        <v>15</v>
      </c>
      <c r="G20" s="1">
        <v>19</v>
      </c>
      <c r="H20" s="1">
        <v>13</v>
      </c>
      <c r="I20" s="1">
        <v>15</v>
      </c>
      <c r="J20" s="1">
        <v>16</v>
      </c>
      <c r="K20" s="1">
        <v>11</v>
      </c>
      <c r="L20" s="1">
        <v>14</v>
      </c>
      <c r="M20" s="1">
        <v>18</v>
      </c>
      <c r="N20" s="1">
        <v>15</v>
      </c>
      <c r="O20" s="1">
        <v>15</v>
      </c>
      <c r="P20" s="1">
        <v>19</v>
      </c>
      <c r="Q20" s="1">
        <v>12</v>
      </c>
      <c r="R20" s="1">
        <v>20</v>
      </c>
      <c r="S20" s="1">
        <v>17</v>
      </c>
      <c r="T20" s="1">
        <v>18</v>
      </c>
    </row>
    <row r="21" spans="1:20" x14ac:dyDescent="0.3">
      <c r="A21" s="3" t="s">
        <v>105</v>
      </c>
      <c r="B21" s="5">
        <v>43</v>
      </c>
      <c r="C21" s="5" t="s">
        <v>106</v>
      </c>
      <c r="D21" s="1">
        <v>18</v>
      </c>
      <c r="E21" s="1">
        <v>22</v>
      </c>
      <c r="F21" s="1">
        <v>16</v>
      </c>
      <c r="G21" s="1">
        <v>18</v>
      </c>
      <c r="H21" s="1">
        <v>15</v>
      </c>
      <c r="I21" s="1">
        <v>14</v>
      </c>
      <c r="J21" s="1">
        <v>15</v>
      </c>
      <c r="K21" s="1">
        <v>8</v>
      </c>
      <c r="L21" s="1">
        <v>16</v>
      </c>
      <c r="M21" s="1">
        <v>12</v>
      </c>
      <c r="N21" s="1">
        <v>12</v>
      </c>
      <c r="O21" s="1">
        <v>13</v>
      </c>
      <c r="P21" s="1">
        <v>11</v>
      </c>
      <c r="Q21" s="1">
        <v>20</v>
      </c>
      <c r="R21" s="1">
        <v>21</v>
      </c>
      <c r="S21" s="1">
        <v>19</v>
      </c>
      <c r="T21" s="1">
        <v>20</v>
      </c>
    </row>
    <row r="22" spans="1:20" x14ac:dyDescent="0.3">
      <c r="A22" s="3" t="s">
        <v>107</v>
      </c>
      <c r="B22" s="5">
        <v>51</v>
      </c>
      <c r="C22" s="5" t="s">
        <v>68</v>
      </c>
      <c r="D22" s="1">
        <v>19</v>
      </c>
      <c r="E22" s="6"/>
      <c r="F22" s="6"/>
      <c r="G22" s="6"/>
      <c r="H22" s="6"/>
      <c r="I22" s="6"/>
      <c r="J22" s="1">
        <v>19</v>
      </c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x14ac:dyDescent="0.3">
      <c r="A23" s="3" t="s">
        <v>109</v>
      </c>
      <c r="B23" s="5">
        <v>36</v>
      </c>
      <c r="C23" s="5" t="s">
        <v>72</v>
      </c>
      <c r="D23" s="1">
        <v>20</v>
      </c>
      <c r="E23" s="1">
        <v>19</v>
      </c>
      <c r="F23" s="1">
        <v>21</v>
      </c>
      <c r="G23" s="1">
        <v>15</v>
      </c>
      <c r="H23" s="1">
        <v>18</v>
      </c>
      <c r="I23" s="1">
        <v>2</v>
      </c>
      <c r="J23" s="1">
        <v>12</v>
      </c>
      <c r="K23" s="1">
        <v>18</v>
      </c>
      <c r="L23" s="1">
        <v>5</v>
      </c>
      <c r="M23" s="1">
        <v>22</v>
      </c>
      <c r="N23" s="1">
        <v>19</v>
      </c>
      <c r="O23" s="1">
        <v>23</v>
      </c>
      <c r="P23" s="1">
        <v>12</v>
      </c>
      <c r="Q23" s="1">
        <v>18</v>
      </c>
      <c r="R23" s="6"/>
      <c r="S23" s="6"/>
      <c r="T23" s="6"/>
    </row>
    <row r="24" spans="1:20" x14ac:dyDescent="0.3">
      <c r="A24" s="3" t="s">
        <v>110</v>
      </c>
      <c r="B24" s="5">
        <v>73</v>
      </c>
      <c r="C24" s="5" t="s">
        <v>72</v>
      </c>
      <c r="D24" s="1">
        <v>21</v>
      </c>
      <c r="E24" s="1">
        <v>6</v>
      </c>
      <c r="F24" s="1">
        <v>7</v>
      </c>
      <c r="G24" s="1">
        <v>1</v>
      </c>
      <c r="H24" s="1">
        <v>21</v>
      </c>
      <c r="I24" s="6"/>
      <c r="J24" s="6"/>
      <c r="K24" s="6"/>
      <c r="L24" s="6"/>
      <c r="M24" s="1">
        <v>5</v>
      </c>
      <c r="N24" s="1">
        <v>18</v>
      </c>
      <c r="O24" s="1">
        <v>4</v>
      </c>
      <c r="P24" s="1">
        <v>4</v>
      </c>
      <c r="Q24" s="1">
        <v>2</v>
      </c>
      <c r="R24" s="1">
        <v>22</v>
      </c>
      <c r="S24" s="1">
        <v>21</v>
      </c>
      <c r="T24" s="1">
        <v>7</v>
      </c>
    </row>
    <row r="25" spans="1:20" x14ac:dyDescent="0.3">
      <c r="A25" s="3" t="s">
        <v>111</v>
      </c>
      <c r="B25" s="5">
        <v>93</v>
      </c>
      <c r="C25" s="5" t="s">
        <v>72</v>
      </c>
      <c r="D25" s="1">
        <v>22</v>
      </c>
      <c r="E25" s="1">
        <v>4</v>
      </c>
      <c r="F25" s="1">
        <v>5</v>
      </c>
      <c r="G25" s="1">
        <v>23</v>
      </c>
      <c r="H25" s="6"/>
      <c r="I25" s="6"/>
      <c r="J25" s="1">
        <v>7</v>
      </c>
      <c r="K25" s="1">
        <v>1</v>
      </c>
      <c r="L25" s="1">
        <v>1</v>
      </c>
      <c r="M25" s="1">
        <v>7</v>
      </c>
      <c r="N25" s="1">
        <v>1</v>
      </c>
      <c r="O25" s="1">
        <v>7</v>
      </c>
      <c r="P25" s="1">
        <v>1</v>
      </c>
      <c r="Q25" s="1">
        <v>1</v>
      </c>
      <c r="R25" s="1">
        <v>5</v>
      </c>
      <c r="S25" s="1">
        <v>1</v>
      </c>
      <c r="T25" s="1">
        <v>6</v>
      </c>
    </row>
    <row r="26" spans="1:20" x14ac:dyDescent="0.3">
      <c r="A26" s="3" t="s">
        <v>112</v>
      </c>
      <c r="B26" s="5">
        <v>54</v>
      </c>
      <c r="C26" s="5" t="s">
        <v>72</v>
      </c>
      <c r="D26" s="6"/>
      <c r="E26" s="1">
        <v>8</v>
      </c>
      <c r="F26" s="1">
        <v>11</v>
      </c>
      <c r="G26" s="1">
        <v>9</v>
      </c>
      <c r="H26" s="1">
        <v>9</v>
      </c>
      <c r="I26" s="1">
        <v>3</v>
      </c>
      <c r="J26" s="1">
        <v>9</v>
      </c>
      <c r="K26" s="6"/>
      <c r="L26" s="1">
        <v>6</v>
      </c>
      <c r="M26" s="6"/>
      <c r="N26" s="6"/>
      <c r="O26" s="6"/>
      <c r="P26" s="1">
        <v>6</v>
      </c>
      <c r="Q26" s="1">
        <v>4</v>
      </c>
      <c r="R26" s="1">
        <v>8</v>
      </c>
      <c r="S26" s="1">
        <v>9</v>
      </c>
      <c r="T26" s="1">
        <v>21</v>
      </c>
    </row>
    <row r="27" spans="1:20" x14ac:dyDescent="0.3">
      <c r="A27" s="3" t="s">
        <v>113</v>
      </c>
      <c r="B27" s="5">
        <v>47</v>
      </c>
      <c r="C27" s="5" t="s">
        <v>72</v>
      </c>
      <c r="D27" s="6"/>
      <c r="E27" s="6"/>
      <c r="F27" s="6"/>
      <c r="G27" s="1">
        <v>20</v>
      </c>
      <c r="H27" s="6"/>
      <c r="I27" s="1">
        <v>17</v>
      </c>
      <c r="J27" s="6"/>
      <c r="K27" s="6"/>
      <c r="L27" s="6"/>
      <c r="M27" s="1">
        <v>15</v>
      </c>
      <c r="N27" s="6"/>
      <c r="O27" s="1">
        <v>16</v>
      </c>
      <c r="P27" s="6"/>
      <c r="Q27" s="6"/>
      <c r="R27" s="6"/>
      <c r="S27" s="6"/>
      <c r="T27" s="6"/>
    </row>
    <row r="28" spans="1:20" x14ac:dyDescent="0.3">
      <c r="A28" s="3" t="s">
        <v>115</v>
      </c>
      <c r="B28" s="5">
        <v>32</v>
      </c>
      <c r="C28" s="5" t="s">
        <v>68</v>
      </c>
      <c r="D28" s="6"/>
      <c r="E28" s="6"/>
      <c r="F28" s="6"/>
      <c r="G28" s="1">
        <v>22</v>
      </c>
      <c r="H28" s="6"/>
      <c r="I28" s="6"/>
      <c r="J28" s="6"/>
      <c r="K28" s="6"/>
      <c r="L28" s="6"/>
      <c r="M28" s="6"/>
      <c r="N28" s="6"/>
      <c r="O28" s="6"/>
      <c r="P28" s="1">
        <v>17</v>
      </c>
      <c r="Q28" s="6"/>
      <c r="R28" s="6"/>
      <c r="S28" s="6"/>
      <c r="T28" s="6"/>
    </row>
    <row r="29" spans="1:20" x14ac:dyDescent="0.3">
      <c r="A29" s="3" t="s">
        <v>116</v>
      </c>
      <c r="B29" s="5">
        <v>94</v>
      </c>
      <c r="C29" s="5" t="s">
        <v>117</v>
      </c>
      <c r="D29" s="6"/>
      <c r="E29" s="6"/>
      <c r="F29" s="6"/>
      <c r="G29" s="6"/>
      <c r="H29" s="1">
        <v>16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x14ac:dyDescent="0.3">
      <c r="A30" s="3" t="s">
        <v>118</v>
      </c>
      <c r="B30" s="5">
        <v>35</v>
      </c>
      <c r="C30" s="5" t="s">
        <v>119</v>
      </c>
      <c r="D30" s="6"/>
      <c r="E30" s="6"/>
      <c r="F30" s="6"/>
      <c r="G30" s="6"/>
      <c r="H30" s="6"/>
      <c r="I30" s="6"/>
      <c r="J30" s="1">
        <v>22</v>
      </c>
      <c r="K30" s="1">
        <v>16</v>
      </c>
      <c r="L30" s="1">
        <v>17</v>
      </c>
      <c r="M30" s="1">
        <v>16</v>
      </c>
      <c r="N30" s="1">
        <v>17</v>
      </c>
      <c r="O30" s="1">
        <v>19</v>
      </c>
      <c r="P30" s="6"/>
      <c r="Q30" s="6"/>
      <c r="R30" s="6"/>
      <c r="S30" s="6"/>
      <c r="T30" s="6"/>
    </row>
    <row r="31" spans="1:20" x14ac:dyDescent="0.3">
      <c r="A31" s="3" t="s">
        <v>121</v>
      </c>
      <c r="B31" s="5">
        <v>27</v>
      </c>
      <c r="C31" s="5" t="s">
        <v>72</v>
      </c>
      <c r="D31" s="6"/>
      <c r="E31" s="6"/>
      <c r="F31" s="6"/>
      <c r="G31" s="6"/>
      <c r="H31" s="6"/>
      <c r="I31" s="6"/>
      <c r="J31" s="6"/>
      <c r="K31" s="1">
        <v>7</v>
      </c>
      <c r="L31" s="6"/>
      <c r="M31" s="6"/>
      <c r="N31" s="6"/>
      <c r="O31" s="1">
        <v>20</v>
      </c>
      <c r="P31" s="6"/>
      <c r="Q31" s="6"/>
      <c r="R31" s="6"/>
      <c r="S31" s="6"/>
      <c r="T31" s="6"/>
    </row>
    <row r="32" spans="1:20" x14ac:dyDescent="0.3">
      <c r="A32" s="3" t="s">
        <v>122</v>
      </c>
      <c r="B32" s="5">
        <v>44</v>
      </c>
      <c r="C32" s="5" t="s">
        <v>72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1">
        <v>14</v>
      </c>
      <c r="P32" s="1">
        <v>16</v>
      </c>
      <c r="Q32" s="1">
        <v>14</v>
      </c>
      <c r="R32" s="1">
        <v>16</v>
      </c>
      <c r="S32" s="6"/>
      <c r="T32" s="6"/>
    </row>
    <row r="33" spans="1:20" x14ac:dyDescent="0.3">
      <c r="A33" s="3" t="s">
        <v>123</v>
      </c>
      <c r="B33" s="5">
        <v>30</v>
      </c>
      <c r="C33" s="5" t="s">
        <v>77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">
        <v>13</v>
      </c>
      <c r="S33" s="6"/>
      <c r="T33" s="6"/>
    </row>
    <row r="34" spans="1:20" x14ac:dyDescent="0.3">
      <c r="A34" s="3" t="s">
        <v>124</v>
      </c>
      <c r="B34" s="5">
        <v>15</v>
      </c>
      <c r="C34" s="5" t="s">
        <v>125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1">
        <v>13</v>
      </c>
      <c r="T34" s="6"/>
    </row>
  </sheetData>
  <mergeCells count="1">
    <mergeCell ref="A1:T1"/>
  </mergeCells>
  <conditionalFormatting sqref="D4:T34">
    <cfRule type="cellIs" dxfId="2" priority="1" operator="between">
      <formula>1</formula>
      <formula>3</formula>
    </cfRule>
    <cfRule type="cellIs" dxfId="1" priority="2" operator="between">
      <formula>4</formula>
      <formula>10</formula>
    </cfRule>
    <cfRule type="cellIs" dxfId="0" priority="3" operator="greaterThan">
      <formula>10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4"/>
  <sheetViews>
    <sheetView tabSelected="1" zoomScale="80" zoomScaleNormal="80" workbookViewId="0">
      <pane ySplit="3" topLeftCell="A4" activePane="bottomLeft" state="frozen"/>
      <selection pane="bottomLeft" activeCell="C37" sqref="C37"/>
    </sheetView>
  </sheetViews>
  <sheetFormatPr defaultRowHeight="14.4" x14ac:dyDescent="0.3"/>
  <cols>
    <col min="1" max="1" width="10.6640625" customWidth="1"/>
    <col min="2" max="2" width="27.6640625" customWidth="1"/>
    <col min="3" max="4" width="12.6640625" customWidth="1"/>
    <col min="5" max="5" width="46" bestFit="1" customWidth="1"/>
    <col min="6" max="6" width="16.6640625" customWidth="1"/>
    <col min="7" max="7" width="13.44140625" bestFit="1" customWidth="1"/>
    <col min="8" max="8" width="16.5546875" bestFit="1" customWidth="1"/>
    <col min="9" max="9" width="13.33203125" bestFit="1" customWidth="1"/>
    <col min="10" max="10" width="10" bestFit="1" customWidth="1"/>
    <col min="11" max="11" width="23.5546875" bestFit="1" customWidth="1"/>
    <col min="12" max="12" width="12.44140625" bestFit="1" customWidth="1"/>
    <col min="13" max="13" width="18.5546875" bestFit="1" customWidth="1"/>
    <col min="14" max="14" width="18.77734375" bestFit="1" customWidth="1"/>
    <col min="15" max="15" width="12.109375" bestFit="1" customWidth="1"/>
    <col min="16" max="16" width="13.44140625" bestFit="1" customWidth="1"/>
    <col min="17" max="17" width="16.109375" bestFit="1" customWidth="1"/>
    <col min="18" max="18" width="15.21875" bestFit="1" customWidth="1"/>
    <col min="19" max="19" width="19.33203125" bestFit="1" customWidth="1"/>
    <col min="20" max="20" width="9.6640625" bestFit="1" customWidth="1"/>
    <col min="21" max="21" width="17.21875" bestFit="1" customWidth="1"/>
    <col min="22" max="22" width="21.5546875" bestFit="1" customWidth="1"/>
    <col min="23" max="23" width="11.6640625" bestFit="1" customWidth="1"/>
    <col min="24" max="24" width="14" bestFit="1" customWidth="1"/>
    <col min="25" max="25" width="9" bestFit="1" customWidth="1"/>
    <col min="26" max="26" width="14.6640625" bestFit="1" customWidth="1"/>
    <col min="27" max="27" width="15.21875" bestFit="1" customWidth="1"/>
    <col min="28" max="28" width="17.44140625" bestFit="1" customWidth="1"/>
    <col min="29" max="29" width="19.6640625" bestFit="1" customWidth="1"/>
    <col min="30" max="30" width="17.6640625" bestFit="1" customWidth="1"/>
    <col min="31" max="31" width="13.33203125" bestFit="1" customWidth="1"/>
    <col min="32" max="32" width="15.77734375" bestFit="1" customWidth="1"/>
    <col min="33" max="33" width="13.33203125" bestFit="1" customWidth="1"/>
    <col min="34" max="34" width="15.21875" bestFit="1" customWidth="1"/>
    <col min="35" max="35" width="18.77734375" bestFit="1" customWidth="1"/>
    <col min="36" max="36" width="17.44140625" bestFit="1" customWidth="1"/>
  </cols>
  <sheetData>
    <row r="1" spans="1:36" ht="21" x14ac:dyDescent="0.3">
      <c r="A1" s="39" t="s">
        <v>144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</row>
    <row r="2" spans="1:36" x14ac:dyDescent="0.3">
      <c r="A2" t="s">
        <v>145</v>
      </c>
      <c r="B2" t="s">
        <v>146</v>
      </c>
    </row>
    <row r="3" spans="1:36" x14ac:dyDescent="0.3">
      <c r="A3" s="4" t="s">
        <v>147</v>
      </c>
      <c r="B3" s="4" t="s">
        <v>57</v>
      </c>
      <c r="C3" s="4" t="s">
        <v>58</v>
      </c>
      <c r="D3" s="4" t="s">
        <v>148</v>
      </c>
      <c r="E3" s="4" t="s">
        <v>3</v>
      </c>
      <c r="F3" s="4" t="s">
        <v>65</v>
      </c>
      <c r="G3" s="4" t="s">
        <v>69</v>
      </c>
      <c r="H3" s="4" t="s">
        <v>73</v>
      </c>
      <c r="I3" s="4" t="s">
        <v>75</v>
      </c>
      <c r="J3" s="4" t="s">
        <v>76</v>
      </c>
      <c r="K3" s="4" t="s">
        <v>78</v>
      </c>
      <c r="L3" s="4" t="s">
        <v>81</v>
      </c>
      <c r="M3" s="4" t="s">
        <v>83</v>
      </c>
      <c r="N3" s="4" t="s">
        <v>84</v>
      </c>
      <c r="O3" s="4" t="s">
        <v>86</v>
      </c>
      <c r="P3" s="4" t="s">
        <v>89</v>
      </c>
      <c r="Q3" s="4" t="s">
        <v>92</v>
      </c>
      <c r="R3" s="4" t="s">
        <v>94</v>
      </c>
      <c r="S3" s="4" t="s">
        <v>97</v>
      </c>
      <c r="T3" s="4" t="s">
        <v>100</v>
      </c>
      <c r="U3" s="4" t="s">
        <v>101</v>
      </c>
      <c r="V3" s="4" t="s">
        <v>102</v>
      </c>
      <c r="W3" s="4" t="s">
        <v>105</v>
      </c>
      <c r="X3" s="4" t="s">
        <v>107</v>
      </c>
      <c r="Y3" s="4" t="s">
        <v>109</v>
      </c>
      <c r="Z3" s="4" t="s">
        <v>110</v>
      </c>
      <c r="AA3" s="4" t="s">
        <v>111</v>
      </c>
      <c r="AB3" s="4" t="s">
        <v>112</v>
      </c>
      <c r="AC3" s="4" t="s">
        <v>113</v>
      </c>
      <c r="AD3" s="4" t="s">
        <v>115</v>
      </c>
      <c r="AE3" s="4" t="s">
        <v>116</v>
      </c>
      <c r="AF3" s="4" t="s">
        <v>118</v>
      </c>
      <c r="AG3" s="4" t="s">
        <v>121</v>
      </c>
      <c r="AH3" s="4" t="s">
        <v>122</v>
      </c>
      <c r="AI3" s="4" t="s">
        <v>123</v>
      </c>
      <c r="AJ3" s="4" t="s">
        <v>124</v>
      </c>
    </row>
    <row r="4" spans="1:36" x14ac:dyDescent="0.3">
      <c r="A4" s="7" t="b">
        <v>1</v>
      </c>
      <c r="B4" s="3" t="s">
        <v>65</v>
      </c>
      <c r="C4" s="5">
        <v>72</v>
      </c>
      <c r="D4" s="8" t="s">
        <v>149</v>
      </c>
      <c r="E4" t="s">
        <v>180</v>
      </c>
      <c r="F4">
        <f>IF($A$4,1,NA())</f>
        <v>1</v>
      </c>
      <c r="G4">
        <f>IF($A$5,2,NA())</f>
        <v>2</v>
      </c>
      <c r="H4">
        <f>IF($A$6,3,NA())</f>
        <v>3</v>
      </c>
      <c r="I4">
        <f>IF($A$7,4,NA())</f>
        <v>4</v>
      </c>
      <c r="J4">
        <f>IF($A$8,5,NA())</f>
        <v>5</v>
      </c>
      <c r="K4">
        <f>IF($A$9,6,NA())</f>
        <v>6</v>
      </c>
      <c r="L4">
        <f>IF($A$10,7,NA())</f>
        <v>7</v>
      </c>
      <c r="M4">
        <f>IF($A$11,8,NA())</f>
        <v>8</v>
      </c>
      <c r="N4">
        <f>IF($A$12,9,NA())</f>
        <v>9</v>
      </c>
      <c r="O4">
        <f>IF($A$13,10,NA())</f>
        <v>10</v>
      </c>
      <c r="P4">
        <f>IF($A$14,11,NA())</f>
        <v>11</v>
      </c>
      <c r="Q4">
        <f>IF($A$15,12,NA())</f>
        <v>12</v>
      </c>
      <c r="R4">
        <f>IF($A$16,13,NA())</f>
        <v>13</v>
      </c>
      <c r="S4">
        <f>IF($A$17,14,NA())</f>
        <v>14</v>
      </c>
      <c r="T4">
        <f>IF($A$18,15,NA())</f>
        <v>15</v>
      </c>
      <c r="U4">
        <f>IF($A$19,16,NA())</f>
        <v>16</v>
      </c>
      <c r="V4">
        <f>IF($A$20,17,NA())</f>
        <v>17</v>
      </c>
      <c r="W4">
        <f>IF($A$21,18,NA())</f>
        <v>18</v>
      </c>
      <c r="X4">
        <f>IF($A$22,19,NA())</f>
        <v>19</v>
      </c>
      <c r="Y4">
        <f>IF($A$23,20,NA())</f>
        <v>20</v>
      </c>
      <c r="Z4">
        <f>IF($A$24,21,NA())</f>
        <v>21</v>
      </c>
      <c r="AA4">
        <f>IF($A$25,22,NA())</f>
        <v>22</v>
      </c>
      <c r="AB4" t="e">
        <f>NA()</f>
        <v>#N/A</v>
      </c>
      <c r="AC4" t="e">
        <f>NA()</f>
        <v>#N/A</v>
      </c>
      <c r="AD4" t="e">
        <f>NA()</f>
        <v>#N/A</v>
      </c>
      <c r="AE4" t="e">
        <f>NA()</f>
        <v>#N/A</v>
      </c>
      <c r="AF4" t="e">
        <f>NA()</f>
        <v>#N/A</v>
      </c>
      <c r="AG4" t="e">
        <f>NA()</f>
        <v>#N/A</v>
      </c>
      <c r="AH4" t="e">
        <f>NA()</f>
        <v>#N/A</v>
      </c>
      <c r="AI4" t="e">
        <f>NA()</f>
        <v>#N/A</v>
      </c>
      <c r="AJ4" t="e">
        <f>NA()</f>
        <v>#N/A</v>
      </c>
    </row>
    <row r="5" spans="1:36" x14ac:dyDescent="0.3">
      <c r="A5" s="7" t="b">
        <v>1</v>
      </c>
      <c r="B5" s="3" t="s">
        <v>69</v>
      </c>
      <c r="C5" s="5">
        <v>37</v>
      </c>
      <c r="D5" s="9" t="s">
        <v>150</v>
      </c>
      <c r="E5" t="s">
        <v>181</v>
      </c>
      <c r="F5">
        <f>IF($A$4,1,NA())</f>
        <v>1</v>
      </c>
      <c r="G5">
        <f>IF($A$5,7,NA())</f>
        <v>7</v>
      </c>
      <c r="H5">
        <f>IF($A$6,10,NA())</f>
        <v>10</v>
      </c>
      <c r="I5">
        <f>IF($A$7,2,NA())</f>
        <v>2</v>
      </c>
      <c r="J5">
        <f>IF($A$8,5,NA())</f>
        <v>5</v>
      </c>
      <c r="K5">
        <f>IF($A$9,3,NA())</f>
        <v>3</v>
      </c>
      <c r="L5">
        <f>IF($A$10,21,NA())</f>
        <v>21</v>
      </c>
      <c r="M5">
        <f>IF($A$11,12,NA())</f>
        <v>12</v>
      </c>
      <c r="N5">
        <f>IF($A$12,20,NA())</f>
        <v>20</v>
      </c>
      <c r="O5">
        <f>IF($A$13,11,NA())</f>
        <v>11</v>
      </c>
      <c r="P5">
        <f>IF($A$14,9,NA())</f>
        <v>9</v>
      </c>
      <c r="Q5">
        <f>IF($A$15,15,NA())</f>
        <v>15</v>
      </c>
      <c r="R5">
        <f>IF($A$16,13,NA())</f>
        <v>13</v>
      </c>
      <c r="S5">
        <f>IF($A$17,16,NA())</f>
        <v>16</v>
      </c>
      <c r="T5">
        <f>IF($A$18,14,NA())</f>
        <v>14</v>
      </c>
      <c r="U5">
        <f>IF($A$19,18,NA())</f>
        <v>18</v>
      </c>
      <c r="V5">
        <f>IF($A$20,17,NA())</f>
        <v>17</v>
      </c>
      <c r="W5">
        <f>IF($A$21,22,NA())</f>
        <v>22</v>
      </c>
      <c r="X5" t="e">
        <f>NA()</f>
        <v>#N/A</v>
      </c>
      <c r="Y5">
        <f>IF($A$23,19,NA())</f>
        <v>19</v>
      </c>
      <c r="Z5">
        <f>IF($A$24,6,NA())</f>
        <v>6</v>
      </c>
      <c r="AA5">
        <f>IF($A$25,4,NA())</f>
        <v>4</v>
      </c>
      <c r="AB5">
        <f>IF($A$26,8,NA())</f>
        <v>8</v>
      </c>
      <c r="AC5" t="e">
        <f>NA()</f>
        <v>#N/A</v>
      </c>
      <c r="AD5" t="e">
        <f>NA()</f>
        <v>#N/A</v>
      </c>
      <c r="AE5" t="e">
        <f>NA()</f>
        <v>#N/A</v>
      </c>
      <c r="AF5" t="e">
        <f>NA()</f>
        <v>#N/A</v>
      </c>
      <c r="AG5" t="e">
        <f>NA()</f>
        <v>#N/A</v>
      </c>
      <c r="AH5" t="e">
        <f>NA()</f>
        <v>#N/A</v>
      </c>
      <c r="AI5" t="e">
        <f>NA()</f>
        <v>#N/A</v>
      </c>
      <c r="AJ5" t="e">
        <f>NA()</f>
        <v>#N/A</v>
      </c>
    </row>
    <row r="6" spans="1:36" x14ac:dyDescent="0.3">
      <c r="A6" s="7" t="b">
        <v>1</v>
      </c>
      <c r="B6" s="3" t="s">
        <v>73</v>
      </c>
      <c r="C6" s="5">
        <v>25</v>
      </c>
      <c r="D6" s="10" t="s">
        <v>151</v>
      </c>
      <c r="E6" t="s">
        <v>182</v>
      </c>
      <c r="F6">
        <f>IF($A$4,1,NA())</f>
        <v>1</v>
      </c>
      <c r="G6">
        <f>IF($A$5,3,NA())</f>
        <v>3</v>
      </c>
      <c r="H6">
        <f>IF($A$6,8,NA())</f>
        <v>8</v>
      </c>
      <c r="I6">
        <f>IF($A$7,2,NA())</f>
        <v>2</v>
      </c>
      <c r="J6">
        <f>IF($A$8,20,NA())</f>
        <v>20</v>
      </c>
      <c r="K6">
        <f>IF($A$9,4,NA())</f>
        <v>4</v>
      </c>
      <c r="L6">
        <f>IF($A$10,12,NA())</f>
        <v>12</v>
      </c>
      <c r="M6">
        <f>IF($A$11,14,NA())</f>
        <v>14</v>
      </c>
      <c r="N6">
        <f>IF($A$12,10,NA())</f>
        <v>10</v>
      </c>
      <c r="O6">
        <f>IF($A$13,9,NA())</f>
        <v>9</v>
      </c>
      <c r="P6">
        <f>IF($A$14,19,NA())</f>
        <v>19</v>
      </c>
      <c r="Q6">
        <f>IF($A$15,6,NA())</f>
        <v>6</v>
      </c>
      <c r="R6">
        <f>IF($A$16,13,NA())</f>
        <v>13</v>
      </c>
      <c r="S6">
        <f>IF($A$17,17,NA())</f>
        <v>17</v>
      </c>
      <c r="T6">
        <f>IF($A$18,18,NA())</f>
        <v>18</v>
      </c>
      <c r="U6" t="e">
        <f>NA()</f>
        <v>#N/A</v>
      </c>
      <c r="V6">
        <f>IF($A$20,15,NA())</f>
        <v>15</v>
      </c>
      <c r="W6">
        <f>IF($A$21,16,NA())</f>
        <v>16</v>
      </c>
      <c r="X6" t="e">
        <f>NA()</f>
        <v>#N/A</v>
      </c>
      <c r="Y6">
        <f>IF($A$23,21,NA())</f>
        <v>21</v>
      </c>
      <c r="Z6">
        <f>IF($A$24,7,NA())</f>
        <v>7</v>
      </c>
      <c r="AA6">
        <f>IF($A$25,5,NA())</f>
        <v>5</v>
      </c>
      <c r="AB6">
        <f>IF($A$26,11,NA())</f>
        <v>11</v>
      </c>
      <c r="AC6" t="e">
        <f>NA()</f>
        <v>#N/A</v>
      </c>
      <c r="AD6" t="e">
        <f>NA()</f>
        <v>#N/A</v>
      </c>
      <c r="AE6" t="e">
        <f>NA()</f>
        <v>#N/A</v>
      </c>
      <c r="AF6" t="e">
        <f>NA()</f>
        <v>#N/A</v>
      </c>
      <c r="AG6" t="e">
        <f>NA()</f>
        <v>#N/A</v>
      </c>
      <c r="AH6" t="e">
        <f>NA()</f>
        <v>#N/A</v>
      </c>
      <c r="AI6" t="e">
        <f>NA()</f>
        <v>#N/A</v>
      </c>
      <c r="AJ6" t="e">
        <f>NA()</f>
        <v>#N/A</v>
      </c>
    </row>
    <row r="7" spans="1:36" x14ac:dyDescent="0.3">
      <c r="A7" s="7" t="b">
        <v>1</v>
      </c>
      <c r="B7" s="3" t="s">
        <v>75</v>
      </c>
      <c r="C7" s="5">
        <v>89</v>
      </c>
      <c r="D7" s="11" t="s">
        <v>152</v>
      </c>
      <c r="E7" t="s">
        <v>183</v>
      </c>
      <c r="F7">
        <f>IF($A$4,2,NA())</f>
        <v>2</v>
      </c>
      <c r="G7">
        <f>IF($A$5,10,NA())</f>
        <v>10</v>
      </c>
      <c r="H7">
        <f>IF($A$6,6,NA())</f>
        <v>6</v>
      </c>
      <c r="I7">
        <f>IF($A$7,4,NA())</f>
        <v>4</v>
      </c>
      <c r="J7">
        <f>IF($A$8,5,NA())</f>
        <v>5</v>
      </c>
      <c r="K7">
        <f>IF($A$9,3,NA())</f>
        <v>3</v>
      </c>
      <c r="L7">
        <f>IF($A$10,11,NA())</f>
        <v>11</v>
      </c>
      <c r="M7">
        <f>IF($A$11,12,NA())</f>
        <v>12</v>
      </c>
      <c r="N7">
        <f>IF($A$12,21,NA())</f>
        <v>21</v>
      </c>
      <c r="O7">
        <f>IF($A$13,13,NA())</f>
        <v>13</v>
      </c>
      <c r="P7">
        <f>IF($A$14,7,NA())</f>
        <v>7</v>
      </c>
      <c r="Q7">
        <f>IF($A$15,8,NA())</f>
        <v>8</v>
      </c>
      <c r="R7">
        <f>IF($A$16,17,NA())</f>
        <v>17</v>
      </c>
      <c r="S7">
        <f>IF($A$17,14,NA())</f>
        <v>14</v>
      </c>
      <c r="T7">
        <f>IF($A$18,16,NA())</f>
        <v>16</v>
      </c>
      <c r="U7" t="e">
        <f>NA()</f>
        <v>#N/A</v>
      </c>
      <c r="V7">
        <f>IF($A$20,19,NA())</f>
        <v>19</v>
      </c>
      <c r="W7">
        <f>IF($A$21,18,NA())</f>
        <v>18</v>
      </c>
      <c r="X7" t="e">
        <f>NA()</f>
        <v>#N/A</v>
      </c>
      <c r="Y7">
        <f>IF($A$23,15,NA())</f>
        <v>15</v>
      </c>
      <c r="Z7">
        <f>IF($A$24,1,NA())</f>
        <v>1</v>
      </c>
      <c r="AA7">
        <f>IF($A$25,23,NA())</f>
        <v>23</v>
      </c>
      <c r="AB7">
        <f>IF($A$26,9,NA())</f>
        <v>9</v>
      </c>
      <c r="AC7">
        <f>IF($A$27,20,NA())</f>
        <v>20</v>
      </c>
      <c r="AD7">
        <f>IF($A$28,22,NA())</f>
        <v>22</v>
      </c>
      <c r="AE7" t="e">
        <f>NA()</f>
        <v>#N/A</v>
      </c>
      <c r="AF7" t="e">
        <f>NA()</f>
        <v>#N/A</v>
      </c>
      <c r="AG7" t="e">
        <f>NA()</f>
        <v>#N/A</v>
      </c>
      <c r="AH7" t="e">
        <f>NA()</f>
        <v>#N/A</v>
      </c>
      <c r="AI7" t="e">
        <f>NA()</f>
        <v>#N/A</v>
      </c>
      <c r="AJ7" t="e">
        <f>NA()</f>
        <v>#N/A</v>
      </c>
    </row>
    <row r="8" spans="1:36" x14ac:dyDescent="0.3">
      <c r="A8" s="7" t="b">
        <v>1</v>
      </c>
      <c r="B8" s="3" t="s">
        <v>76</v>
      </c>
      <c r="C8" s="5">
        <v>79</v>
      </c>
      <c r="D8" s="12" t="s">
        <v>153</v>
      </c>
      <c r="E8" t="s">
        <v>184</v>
      </c>
      <c r="F8">
        <f>IF($A$4,2,NA())</f>
        <v>2</v>
      </c>
      <c r="G8">
        <f>IF($A$5,5,NA())</f>
        <v>5</v>
      </c>
      <c r="H8">
        <f>IF($A$6,8,NA())</f>
        <v>8</v>
      </c>
      <c r="I8">
        <f>IF($A$7,1,NA())</f>
        <v>1</v>
      </c>
      <c r="J8">
        <f>IF($A$8,3,NA())</f>
        <v>3</v>
      </c>
      <c r="K8">
        <f>IF($A$9,4,NA())</f>
        <v>4</v>
      </c>
      <c r="L8">
        <f>IF($A$10,17,NA())</f>
        <v>17</v>
      </c>
      <c r="M8">
        <f>IF($A$11,14,NA())</f>
        <v>14</v>
      </c>
      <c r="N8">
        <f>IF($A$12,19,NA())</f>
        <v>19</v>
      </c>
      <c r="O8">
        <f>IF($A$13,10,NA())</f>
        <v>10</v>
      </c>
      <c r="P8">
        <f>IF($A$14,11,NA())</f>
        <v>11</v>
      </c>
      <c r="Q8">
        <f>IF($A$15,7,NA())</f>
        <v>7</v>
      </c>
      <c r="R8">
        <f>IF($A$16,20,NA())</f>
        <v>20</v>
      </c>
      <c r="S8">
        <f>IF($A$17,6,NA())</f>
        <v>6</v>
      </c>
      <c r="T8">
        <f>IF($A$18,12,NA())</f>
        <v>12</v>
      </c>
      <c r="U8" t="e">
        <f>NA()</f>
        <v>#N/A</v>
      </c>
      <c r="V8">
        <f>IF($A$20,13,NA())</f>
        <v>13</v>
      </c>
      <c r="W8">
        <f>IF($A$21,15,NA())</f>
        <v>15</v>
      </c>
      <c r="X8" t="e">
        <f>NA()</f>
        <v>#N/A</v>
      </c>
      <c r="Y8">
        <f>IF($A$23,18,NA())</f>
        <v>18</v>
      </c>
      <c r="Z8">
        <f>IF($A$24,21,NA())</f>
        <v>21</v>
      </c>
      <c r="AA8" t="e">
        <f>NA()</f>
        <v>#N/A</v>
      </c>
      <c r="AB8">
        <f>IF($A$26,9,NA())</f>
        <v>9</v>
      </c>
      <c r="AC8" t="e">
        <f>NA()</f>
        <v>#N/A</v>
      </c>
      <c r="AD8" t="e">
        <f>NA()</f>
        <v>#N/A</v>
      </c>
      <c r="AE8">
        <f>IF($A$29,16,NA())</f>
        <v>16</v>
      </c>
      <c r="AF8" t="e">
        <f>NA()</f>
        <v>#N/A</v>
      </c>
      <c r="AG8" t="e">
        <f>NA()</f>
        <v>#N/A</v>
      </c>
      <c r="AH8" t="e">
        <f>NA()</f>
        <v>#N/A</v>
      </c>
      <c r="AI8" t="e">
        <f>NA()</f>
        <v>#N/A</v>
      </c>
      <c r="AJ8" t="e">
        <f>NA()</f>
        <v>#N/A</v>
      </c>
    </row>
    <row r="9" spans="1:36" x14ac:dyDescent="0.3">
      <c r="A9" s="7" t="b">
        <v>1</v>
      </c>
      <c r="B9" s="3" t="s">
        <v>78</v>
      </c>
      <c r="C9" s="5">
        <v>49</v>
      </c>
      <c r="D9" s="13" t="s">
        <v>154</v>
      </c>
      <c r="E9" t="s">
        <v>185</v>
      </c>
      <c r="F9">
        <f>IF($A$4,5,NA())</f>
        <v>5</v>
      </c>
      <c r="G9">
        <f>IF($A$5,19,NA())</f>
        <v>19</v>
      </c>
      <c r="H9">
        <f>IF($A$6,16,NA())</f>
        <v>16</v>
      </c>
      <c r="I9">
        <f>IF($A$7,18,NA())</f>
        <v>18</v>
      </c>
      <c r="J9">
        <f>IF($A$8,9,NA())</f>
        <v>9</v>
      </c>
      <c r="K9">
        <f>IF($A$9,1,NA())</f>
        <v>1</v>
      </c>
      <c r="L9">
        <f>IF($A$10,8,NA())</f>
        <v>8</v>
      </c>
      <c r="M9">
        <f>IF($A$11,12,NA())</f>
        <v>12</v>
      </c>
      <c r="N9">
        <f>IF($A$12,4,NA())</f>
        <v>4</v>
      </c>
      <c r="O9">
        <f>IF($A$13,7,NA())</f>
        <v>7</v>
      </c>
      <c r="P9" t="e">
        <f>NA()</f>
        <v>#N/A</v>
      </c>
      <c r="Q9" t="e">
        <f>NA()</f>
        <v>#N/A</v>
      </c>
      <c r="R9">
        <f>IF($A$16,10,NA())</f>
        <v>10</v>
      </c>
      <c r="S9">
        <f>IF($A$17,6,NA())</f>
        <v>6</v>
      </c>
      <c r="T9">
        <f>IF($A$18,11,NA())</f>
        <v>11</v>
      </c>
      <c r="U9">
        <f>IF($A$19,13,NA())</f>
        <v>13</v>
      </c>
      <c r="V9">
        <f>IF($A$20,15,NA())</f>
        <v>15</v>
      </c>
      <c r="W9">
        <f>IF($A$21,14,NA())</f>
        <v>14</v>
      </c>
      <c r="X9" t="e">
        <f>NA()</f>
        <v>#N/A</v>
      </c>
      <c r="Y9">
        <f>IF($A$23,2,NA())</f>
        <v>2</v>
      </c>
      <c r="Z9" t="e">
        <f>NA()</f>
        <v>#N/A</v>
      </c>
      <c r="AA9" t="e">
        <f>NA()</f>
        <v>#N/A</v>
      </c>
      <c r="AB9">
        <f>IF($A$26,3,NA())</f>
        <v>3</v>
      </c>
      <c r="AC9">
        <f>IF($A$27,17,NA())</f>
        <v>17</v>
      </c>
      <c r="AD9" t="e">
        <f>NA()</f>
        <v>#N/A</v>
      </c>
      <c r="AE9" t="e">
        <f>NA()</f>
        <v>#N/A</v>
      </c>
      <c r="AF9" t="e">
        <f>NA()</f>
        <v>#N/A</v>
      </c>
      <c r="AG9" t="e">
        <f>NA()</f>
        <v>#N/A</v>
      </c>
      <c r="AH9" t="e">
        <f>NA()</f>
        <v>#N/A</v>
      </c>
      <c r="AI9" t="e">
        <f>NA()</f>
        <v>#N/A</v>
      </c>
      <c r="AJ9" t="e">
        <f>NA()</f>
        <v>#N/A</v>
      </c>
    </row>
    <row r="10" spans="1:36" x14ac:dyDescent="0.3">
      <c r="A10" s="7" t="b">
        <v>1</v>
      </c>
      <c r="B10" s="3" t="s">
        <v>81</v>
      </c>
      <c r="C10" s="5">
        <v>33</v>
      </c>
      <c r="D10" s="14" t="s">
        <v>155</v>
      </c>
      <c r="E10" t="s">
        <v>186</v>
      </c>
      <c r="F10">
        <f>IF($A$4,1,NA())</f>
        <v>1</v>
      </c>
      <c r="G10">
        <f>IF($A$5,6,NA())</f>
        <v>6</v>
      </c>
      <c r="H10">
        <f>IF($A$6,8,NA())</f>
        <v>8</v>
      </c>
      <c r="I10">
        <f>IF($A$7,2,NA())</f>
        <v>2</v>
      </c>
      <c r="J10">
        <f>IF($A$8,4,NA())</f>
        <v>4</v>
      </c>
      <c r="K10">
        <f>IF($A$9,5,NA())</f>
        <v>5</v>
      </c>
      <c r="L10">
        <f>IF($A$10,11,NA())</f>
        <v>11</v>
      </c>
      <c r="M10">
        <f>IF($A$11,14,NA())</f>
        <v>14</v>
      </c>
      <c r="N10">
        <f>IF($A$12,3,NA())</f>
        <v>3</v>
      </c>
      <c r="O10">
        <f>IF($A$13,13,NA())</f>
        <v>13</v>
      </c>
      <c r="P10" t="e">
        <f>NA()</f>
        <v>#N/A</v>
      </c>
      <c r="Q10">
        <f>IF($A$15,20,NA())</f>
        <v>20</v>
      </c>
      <c r="R10">
        <f>IF($A$16,10,NA())</f>
        <v>10</v>
      </c>
      <c r="S10">
        <f>IF($A$17,18,NA())</f>
        <v>18</v>
      </c>
      <c r="T10">
        <f>IF($A$18,21,NA())</f>
        <v>21</v>
      </c>
      <c r="U10">
        <f>IF($A$19,17,NA())</f>
        <v>17</v>
      </c>
      <c r="V10">
        <f>IF($A$20,16,NA())</f>
        <v>16</v>
      </c>
      <c r="W10">
        <f>IF($A$21,15,NA())</f>
        <v>15</v>
      </c>
      <c r="X10">
        <f>IF($A$22,19,NA())</f>
        <v>19</v>
      </c>
      <c r="Y10">
        <f>IF($A$23,12,NA())</f>
        <v>12</v>
      </c>
      <c r="Z10" t="e">
        <f>NA()</f>
        <v>#N/A</v>
      </c>
      <c r="AA10">
        <f>IF($A$25,7,NA())</f>
        <v>7</v>
      </c>
      <c r="AB10">
        <f>IF($A$26,9,NA())</f>
        <v>9</v>
      </c>
      <c r="AC10" t="e">
        <f>NA()</f>
        <v>#N/A</v>
      </c>
      <c r="AD10" t="e">
        <f>NA()</f>
        <v>#N/A</v>
      </c>
      <c r="AE10" t="e">
        <f>NA()</f>
        <v>#N/A</v>
      </c>
      <c r="AF10">
        <f>IF($A$30,22,NA())</f>
        <v>22</v>
      </c>
      <c r="AG10" t="e">
        <f>NA()</f>
        <v>#N/A</v>
      </c>
      <c r="AH10" t="e">
        <f>NA()</f>
        <v>#N/A</v>
      </c>
      <c r="AI10" t="e">
        <f>NA()</f>
        <v>#N/A</v>
      </c>
      <c r="AJ10" t="e">
        <f>NA()</f>
        <v>#N/A</v>
      </c>
    </row>
    <row r="11" spans="1:36" x14ac:dyDescent="0.3">
      <c r="A11" s="7" t="b">
        <v>1</v>
      </c>
      <c r="B11" s="3" t="s">
        <v>83</v>
      </c>
      <c r="C11" s="5">
        <v>21</v>
      </c>
      <c r="D11" s="15" t="s">
        <v>156</v>
      </c>
      <c r="E11" t="s">
        <v>187</v>
      </c>
      <c r="F11" t="e">
        <f>NA()</f>
        <v>#N/A</v>
      </c>
      <c r="G11">
        <f>IF($A$5,2,NA())</f>
        <v>2</v>
      </c>
      <c r="H11" t="e">
        <f>NA()</f>
        <v>#N/A</v>
      </c>
      <c r="I11" t="e">
        <f>NA()</f>
        <v>#N/A</v>
      </c>
      <c r="J11">
        <f>IF($A$8,4,NA())</f>
        <v>4</v>
      </c>
      <c r="K11">
        <f>IF($A$9,12,NA())</f>
        <v>12</v>
      </c>
      <c r="L11">
        <f>IF($A$10,10,NA())</f>
        <v>10</v>
      </c>
      <c r="M11">
        <f>IF($A$11,14,NA())</f>
        <v>14</v>
      </c>
      <c r="N11">
        <f>IF($A$12,3,NA())</f>
        <v>3</v>
      </c>
      <c r="O11">
        <f>IF($A$13,5,NA())</f>
        <v>5</v>
      </c>
      <c r="P11" t="e">
        <f>NA()</f>
        <v>#N/A</v>
      </c>
      <c r="Q11">
        <f>IF($A$15,9,NA())</f>
        <v>9</v>
      </c>
      <c r="R11">
        <f>IF($A$16,6,NA())</f>
        <v>6</v>
      </c>
      <c r="S11">
        <f>IF($A$17,17,NA())</f>
        <v>17</v>
      </c>
      <c r="T11">
        <f>IF($A$18,13,NA())</f>
        <v>13</v>
      </c>
      <c r="U11">
        <f>IF($A$19,15,NA())</f>
        <v>15</v>
      </c>
      <c r="V11">
        <f>IF($A$20,11,NA())</f>
        <v>11</v>
      </c>
      <c r="W11">
        <f>IF($A$21,8,NA())</f>
        <v>8</v>
      </c>
      <c r="X11" t="e">
        <f>NA()</f>
        <v>#N/A</v>
      </c>
      <c r="Y11">
        <f>IF($A$23,18,NA())</f>
        <v>18</v>
      </c>
      <c r="Z11" t="e">
        <f>NA()</f>
        <v>#N/A</v>
      </c>
      <c r="AA11">
        <f>IF($A$25,1,NA())</f>
        <v>1</v>
      </c>
      <c r="AB11" t="e">
        <f>NA()</f>
        <v>#N/A</v>
      </c>
      <c r="AC11" t="e">
        <f>NA()</f>
        <v>#N/A</v>
      </c>
      <c r="AD11" t="e">
        <f>NA()</f>
        <v>#N/A</v>
      </c>
      <c r="AE11" t="e">
        <f>NA()</f>
        <v>#N/A</v>
      </c>
      <c r="AF11">
        <f>IF($A$30,16,NA())</f>
        <v>16</v>
      </c>
      <c r="AG11">
        <f>IF($A$31,7,NA())</f>
        <v>7</v>
      </c>
      <c r="AH11" t="e">
        <f>NA()</f>
        <v>#N/A</v>
      </c>
      <c r="AI11" t="e">
        <f>NA()</f>
        <v>#N/A</v>
      </c>
      <c r="AJ11" t="e">
        <f>NA()</f>
        <v>#N/A</v>
      </c>
    </row>
    <row r="12" spans="1:36" x14ac:dyDescent="0.3">
      <c r="A12" s="7" t="b">
        <v>1</v>
      </c>
      <c r="B12" s="3" t="s">
        <v>84</v>
      </c>
      <c r="C12" s="5">
        <v>63</v>
      </c>
      <c r="D12" s="16" t="s">
        <v>157</v>
      </c>
      <c r="E12" t="s">
        <v>188</v>
      </c>
      <c r="F12" t="e">
        <f>NA()</f>
        <v>#N/A</v>
      </c>
      <c r="G12">
        <f>IF($A$5,18,NA())</f>
        <v>18</v>
      </c>
      <c r="H12">
        <f>IF($A$6,7,NA())</f>
        <v>7</v>
      </c>
      <c r="I12">
        <f>IF($A$7,9,NA())</f>
        <v>9</v>
      </c>
      <c r="J12">
        <f>IF($A$8,2,NA())</f>
        <v>2</v>
      </c>
      <c r="K12">
        <f>IF($A$9,4,NA())</f>
        <v>4</v>
      </c>
      <c r="L12">
        <f>IF($A$10,12,NA())</f>
        <v>12</v>
      </c>
      <c r="M12">
        <f>IF($A$11,13,NA())</f>
        <v>13</v>
      </c>
      <c r="N12">
        <f>IF($A$12,3,NA())</f>
        <v>3</v>
      </c>
      <c r="O12">
        <f>IF($A$13,8,NA())</f>
        <v>8</v>
      </c>
      <c r="P12" t="e">
        <f>NA()</f>
        <v>#N/A</v>
      </c>
      <c r="Q12">
        <f>IF($A$15,10,NA())</f>
        <v>10</v>
      </c>
      <c r="R12">
        <f>IF($A$16,11,NA())</f>
        <v>11</v>
      </c>
      <c r="S12">
        <f>IF($A$17,20,NA())</f>
        <v>20</v>
      </c>
      <c r="T12">
        <f>IF($A$18,19,NA())</f>
        <v>19</v>
      </c>
      <c r="U12">
        <f>IF($A$19,15,NA())</f>
        <v>15</v>
      </c>
      <c r="V12">
        <f>IF($A$20,14,NA())</f>
        <v>14</v>
      </c>
      <c r="W12">
        <f>IF($A$21,16,NA())</f>
        <v>16</v>
      </c>
      <c r="X12" t="e">
        <f>NA()</f>
        <v>#N/A</v>
      </c>
      <c r="Y12">
        <f>IF($A$23,5,NA())</f>
        <v>5</v>
      </c>
      <c r="Z12" t="e">
        <f>NA()</f>
        <v>#N/A</v>
      </c>
      <c r="AA12">
        <f>IF($A$25,1,NA())</f>
        <v>1</v>
      </c>
      <c r="AB12">
        <f>IF($A$26,6,NA())</f>
        <v>6</v>
      </c>
      <c r="AC12" t="e">
        <f>NA()</f>
        <v>#N/A</v>
      </c>
      <c r="AD12" t="e">
        <f>NA()</f>
        <v>#N/A</v>
      </c>
      <c r="AE12" t="e">
        <f>NA()</f>
        <v>#N/A</v>
      </c>
      <c r="AF12">
        <f>IF($A$30,17,NA())</f>
        <v>17</v>
      </c>
      <c r="AG12" t="e">
        <f>NA()</f>
        <v>#N/A</v>
      </c>
      <c r="AH12" t="e">
        <f>NA()</f>
        <v>#N/A</v>
      </c>
      <c r="AI12" t="e">
        <f>NA()</f>
        <v>#N/A</v>
      </c>
      <c r="AJ12" t="e">
        <f>NA()</f>
        <v>#N/A</v>
      </c>
    </row>
    <row r="13" spans="1:36" x14ac:dyDescent="0.3">
      <c r="A13" s="7" t="b">
        <v>1</v>
      </c>
      <c r="B13" s="3" t="s">
        <v>86</v>
      </c>
      <c r="C13" s="5">
        <v>10</v>
      </c>
      <c r="D13" s="17" t="s">
        <v>158</v>
      </c>
      <c r="E13" t="s">
        <v>189</v>
      </c>
      <c r="F13">
        <f>IF($A$4,21,NA())</f>
        <v>21</v>
      </c>
      <c r="G13">
        <f>IF($A$5,19,NA())</f>
        <v>19</v>
      </c>
      <c r="H13">
        <f>IF($A$6,2,NA())</f>
        <v>2</v>
      </c>
      <c r="I13">
        <f>IF($A$7,3,NA())</f>
        <v>3</v>
      </c>
      <c r="J13">
        <f>IF($A$8,1,NA())</f>
        <v>1</v>
      </c>
      <c r="K13">
        <f>IF($A$9,4,NA())</f>
        <v>4</v>
      </c>
      <c r="L13">
        <f>IF($A$10,9,NA())</f>
        <v>9</v>
      </c>
      <c r="M13">
        <f>IF($A$11,20,NA())</f>
        <v>20</v>
      </c>
      <c r="N13">
        <f>IF($A$12,17,NA())</f>
        <v>17</v>
      </c>
      <c r="O13">
        <f>IF($A$13,11,NA())</f>
        <v>11</v>
      </c>
      <c r="P13" t="e">
        <f>NA()</f>
        <v>#N/A</v>
      </c>
      <c r="Q13">
        <f>IF($A$15,6,NA())</f>
        <v>6</v>
      </c>
      <c r="R13">
        <f>IF($A$16,14,NA())</f>
        <v>14</v>
      </c>
      <c r="S13">
        <f>IF($A$17,8,NA())</f>
        <v>8</v>
      </c>
      <c r="T13">
        <f>IF($A$18,10,NA())</f>
        <v>10</v>
      </c>
      <c r="U13">
        <f>IF($A$19,13,NA())</f>
        <v>13</v>
      </c>
      <c r="V13">
        <f>IF($A$20,18,NA())</f>
        <v>18</v>
      </c>
      <c r="W13">
        <f>IF($A$21,12,NA())</f>
        <v>12</v>
      </c>
      <c r="X13" t="e">
        <f>NA()</f>
        <v>#N/A</v>
      </c>
      <c r="Y13">
        <f>IF($A$23,22,NA())</f>
        <v>22</v>
      </c>
      <c r="Z13">
        <f>IF($A$24,5,NA())</f>
        <v>5</v>
      </c>
      <c r="AA13">
        <f>IF($A$25,7,NA())</f>
        <v>7</v>
      </c>
      <c r="AB13" t="e">
        <f>NA()</f>
        <v>#N/A</v>
      </c>
      <c r="AC13">
        <f>IF($A$27,15,NA())</f>
        <v>15</v>
      </c>
      <c r="AD13" t="e">
        <f>NA()</f>
        <v>#N/A</v>
      </c>
      <c r="AE13" t="e">
        <f>NA()</f>
        <v>#N/A</v>
      </c>
      <c r="AF13">
        <f>IF($A$30,16,NA())</f>
        <v>16</v>
      </c>
      <c r="AG13" t="e">
        <f>NA()</f>
        <v>#N/A</v>
      </c>
      <c r="AH13" t="e">
        <f>NA()</f>
        <v>#N/A</v>
      </c>
      <c r="AI13" t="e">
        <f>NA()</f>
        <v>#N/A</v>
      </c>
      <c r="AJ13" t="e">
        <f>NA()</f>
        <v>#N/A</v>
      </c>
    </row>
    <row r="14" spans="1:36" x14ac:dyDescent="0.3">
      <c r="A14" s="7" t="b">
        <v>1</v>
      </c>
      <c r="B14" s="3" t="s">
        <v>89</v>
      </c>
      <c r="C14" s="5">
        <v>5</v>
      </c>
      <c r="D14" s="18" t="s">
        <v>159</v>
      </c>
      <c r="E14" t="s">
        <v>190</v>
      </c>
      <c r="F14" t="e">
        <f>NA()</f>
        <v>#N/A</v>
      </c>
      <c r="G14">
        <f>IF($A$5,4,NA())</f>
        <v>4</v>
      </c>
      <c r="H14">
        <f>IF($A$6,3,NA())</f>
        <v>3</v>
      </c>
      <c r="I14">
        <f>IF($A$7,5,NA())</f>
        <v>5</v>
      </c>
      <c r="J14">
        <f>IF($A$8,2,NA())</f>
        <v>2</v>
      </c>
      <c r="K14">
        <f>IF($A$9,20,NA())</f>
        <v>20</v>
      </c>
      <c r="L14">
        <f>IF($A$10,10,NA())</f>
        <v>10</v>
      </c>
      <c r="M14">
        <f>IF($A$11,13,NA())</f>
        <v>13</v>
      </c>
      <c r="N14">
        <f>IF($A$12,6,NA())</f>
        <v>6</v>
      </c>
      <c r="O14">
        <f>IF($A$13,8,NA())</f>
        <v>8</v>
      </c>
      <c r="P14" t="e">
        <f>NA()</f>
        <v>#N/A</v>
      </c>
      <c r="Q14">
        <f>IF($A$15,9,NA())</f>
        <v>9</v>
      </c>
      <c r="R14">
        <f>IF($A$16,11,NA())</f>
        <v>11</v>
      </c>
      <c r="S14">
        <f>IF($A$17,7,NA())</f>
        <v>7</v>
      </c>
      <c r="T14">
        <f>IF($A$18,14,NA())</f>
        <v>14</v>
      </c>
      <c r="U14">
        <f>IF($A$19,16,NA())</f>
        <v>16</v>
      </c>
      <c r="V14">
        <f>IF($A$20,15,NA())</f>
        <v>15</v>
      </c>
      <c r="W14">
        <f>IF($A$21,12,NA())</f>
        <v>12</v>
      </c>
      <c r="X14" t="e">
        <f>NA()</f>
        <v>#N/A</v>
      </c>
      <c r="Y14">
        <f>IF($A$23,19,NA())</f>
        <v>19</v>
      </c>
      <c r="Z14">
        <f>IF($A$24,18,NA())</f>
        <v>18</v>
      </c>
      <c r="AA14">
        <f>IF($A$25,1,NA())</f>
        <v>1</v>
      </c>
      <c r="AB14" t="e">
        <f>NA()</f>
        <v>#N/A</v>
      </c>
      <c r="AC14" t="e">
        <f>NA()</f>
        <v>#N/A</v>
      </c>
      <c r="AD14" t="e">
        <f>NA()</f>
        <v>#N/A</v>
      </c>
      <c r="AE14" t="e">
        <f>NA()</f>
        <v>#N/A</v>
      </c>
      <c r="AF14">
        <f>IF($A$30,17,NA())</f>
        <v>17</v>
      </c>
      <c r="AG14" t="e">
        <f>NA()</f>
        <v>#N/A</v>
      </c>
      <c r="AH14" t="e">
        <f>NA()</f>
        <v>#N/A</v>
      </c>
      <c r="AI14" t="e">
        <f>NA()</f>
        <v>#N/A</v>
      </c>
      <c r="AJ14" t="e">
        <f>NA()</f>
        <v>#N/A</v>
      </c>
    </row>
    <row r="15" spans="1:36" x14ac:dyDescent="0.3">
      <c r="A15" s="7" t="b">
        <v>1</v>
      </c>
      <c r="B15" s="3" t="s">
        <v>92</v>
      </c>
      <c r="C15" s="5">
        <v>23</v>
      </c>
      <c r="D15" s="19" t="s">
        <v>160</v>
      </c>
      <c r="E15" t="s">
        <v>191</v>
      </c>
      <c r="F15">
        <f>IF($A$4,3,NA())</f>
        <v>3</v>
      </c>
      <c r="G15">
        <f>IF($A$5,5,NA())</f>
        <v>5</v>
      </c>
      <c r="H15">
        <f>IF($A$6,1,NA())</f>
        <v>1</v>
      </c>
      <c r="I15">
        <f>IF($A$7,2,NA())</f>
        <v>2</v>
      </c>
      <c r="J15">
        <f>IF($A$8,17,NA())</f>
        <v>17</v>
      </c>
      <c r="K15">
        <f>IF($A$9,6,NA())</f>
        <v>6</v>
      </c>
      <c r="L15">
        <f>IF($A$10,8,NA())</f>
        <v>8</v>
      </c>
      <c r="M15">
        <f>IF($A$11,11,NA())</f>
        <v>11</v>
      </c>
      <c r="N15">
        <f>IF($A$12,18,NA())</f>
        <v>18</v>
      </c>
      <c r="O15">
        <f>IF($A$13,9,NA())</f>
        <v>9</v>
      </c>
      <c r="P15" t="e">
        <f>NA()</f>
        <v>#N/A</v>
      </c>
      <c r="Q15">
        <f>IF($A$15,21,NA())</f>
        <v>21</v>
      </c>
      <c r="R15">
        <f>IF($A$16,10,NA())</f>
        <v>10</v>
      </c>
      <c r="S15">
        <f>IF($A$17,12,NA())</f>
        <v>12</v>
      </c>
      <c r="T15">
        <f>IF($A$18,22,NA())</f>
        <v>22</v>
      </c>
      <c r="U15" t="e">
        <f>NA()</f>
        <v>#N/A</v>
      </c>
      <c r="V15">
        <f>IF($A$20,15,NA())</f>
        <v>15</v>
      </c>
      <c r="W15">
        <f>IF($A$21,13,NA())</f>
        <v>13</v>
      </c>
      <c r="X15" t="e">
        <f>NA()</f>
        <v>#N/A</v>
      </c>
      <c r="Y15">
        <f>IF($A$23,23,NA())</f>
        <v>23</v>
      </c>
      <c r="Z15">
        <f>IF($A$24,4,NA())</f>
        <v>4</v>
      </c>
      <c r="AA15">
        <f>IF($A$25,7,NA())</f>
        <v>7</v>
      </c>
      <c r="AB15" t="e">
        <f>NA()</f>
        <v>#N/A</v>
      </c>
      <c r="AC15">
        <f>IF($A$27,16,NA())</f>
        <v>16</v>
      </c>
      <c r="AD15" t="e">
        <f>NA()</f>
        <v>#N/A</v>
      </c>
      <c r="AE15" t="e">
        <f>NA()</f>
        <v>#N/A</v>
      </c>
      <c r="AF15">
        <f>IF($A$30,19,NA())</f>
        <v>19</v>
      </c>
      <c r="AG15">
        <f>IF($A$31,20,NA())</f>
        <v>20</v>
      </c>
      <c r="AH15">
        <f>IF($A$32,14,NA())</f>
        <v>14</v>
      </c>
      <c r="AI15" t="e">
        <f>NA()</f>
        <v>#N/A</v>
      </c>
      <c r="AJ15" t="e">
        <f>NA()</f>
        <v>#N/A</v>
      </c>
    </row>
    <row r="16" spans="1:36" x14ac:dyDescent="0.3">
      <c r="A16" s="7" t="b">
        <v>1</v>
      </c>
      <c r="B16" s="3" t="s">
        <v>94</v>
      </c>
      <c r="C16" s="5">
        <v>11</v>
      </c>
      <c r="D16" s="20" t="s">
        <v>161</v>
      </c>
      <c r="E16" t="s">
        <v>192</v>
      </c>
      <c r="F16">
        <f>IF($A$4,3,NA())</f>
        <v>3</v>
      </c>
      <c r="G16">
        <f>IF($A$5,2,NA())</f>
        <v>2</v>
      </c>
      <c r="H16">
        <f>IF($A$6,20,NA())</f>
        <v>20</v>
      </c>
      <c r="I16">
        <f>IF($A$7,5,NA())</f>
        <v>5</v>
      </c>
      <c r="J16" t="e">
        <f>NA()</f>
        <v>#N/A</v>
      </c>
      <c r="K16">
        <f>IF($A$9,7,NA())</f>
        <v>7</v>
      </c>
      <c r="L16">
        <f>IF($A$10,10,NA())</f>
        <v>10</v>
      </c>
      <c r="M16">
        <f>IF($A$11,22,NA())</f>
        <v>22</v>
      </c>
      <c r="N16">
        <f>IF($A$12,21,NA())</f>
        <v>21</v>
      </c>
      <c r="O16">
        <f>IF($A$13,14,NA())</f>
        <v>14</v>
      </c>
      <c r="P16">
        <f>IF($A$14,15,NA())</f>
        <v>15</v>
      </c>
      <c r="Q16">
        <f>IF($A$15,8,NA())</f>
        <v>8</v>
      </c>
      <c r="R16">
        <f>IF($A$16,9,NA())</f>
        <v>9</v>
      </c>
      <c r="S16">
        <f>IF($A$17,18,NA())</f>
        <v>18</v>
      </c>
      <c r="T16">
        <f>IF($A$18,13,NA())</f>
        <v>13</v>
      </c>
      <c r="U16" t="e">
        <f>NA()</f>
        <v>#N/A</v>
      </c>
      <c r="V16">
        <f>IF($A$20,19,NA())</f>
        <v>19</v>
      </c>
      <c r="W16">
        <f>IF($A$21,11,NA())</f>
        <v>11</v>
      </c>
      <c r="X16" t="e">
        <f>NA()</f>
        <v>#N/A</v>
      </c>
      <c r="Y16">
        <f>IF($A$23,12,NA())</f>
        <v>12</v>
      </c>
      <c r="Z16">
        <f>IF($A$24,4,NA())</f>
        <v>4</v>
      </c>
      <c r="AA16">
        <f>IF($A$25,1,NA())</f>
        <v>1</v>
      </c>
      <c r="AB16">
        <f>IF($A$26,6,NA())</f>
        <v>6</v>
      </c>
      <c r="AC16" t="e">
        <f>NA()</f>
        <v>#N/A</v>
      </c>
      <c r="AD16">
        <f>IF($A$28,17,NA())</f>
        <v>17</v>
      </c>
      <c r="AE16" t="e">
        <f>NA()</f>
        <v>#N/A</v>
      </c>
      <c r="AF16" t="e">
        <f>NA()</f>
        <v>#N/A</v>
      </c>
      <c r="AG16" t="e">
        <f>NA()</f>
        <v>#N/A</v>
      </c>
      <c r="AH16">
        <f>IF($A$32,16,NA())</f>
        <v>16</v>
      </c>
      <c r="AI16" t="e">
        <f>NA()</f>
        <v>#N/A</v>
      </c>
      <c r="AJ16" t="e">
        <f>NA()</f>
        <v>#N/A</v>
      </c>
    </row>
    <row r="17" spans="1:36" x14ac:dyDescent="0.3">
      <c r="A17" s="7" t="b">
        <v>1</v>
      </c>
      <c r="B17" s="3" t="s">
        <v>97</v>
      </c>
      <c r="C17" s="5">
        <v>20</v>
      </c>
      <c r="D17" s="21" t="s">
        <v>162</v>
      </c>
      <c r="E17" t="s">
        <v>193</v>
      </c>
      <c r="F17">
        <f>IF($A$4,21,NA())</f>
        <v>21</v>
      </c>
      <c r="G17">
        <f>IF($A$5,3,NA())</f>
        <v>3</v>
      </c>
      <c r="H17">
        <f>IF($A$6,6,NA())</f>
        <v>6</v>
      </c>
      <c r="I17">
        <f>IF($A$7,5,NA())</f>
        <v>5</v>
      </c>
      <c r="J17" t="e">
        <f>NA()</f>
        <v>#N/A</v>
      </c>
      <c r="K17">
        <f>IF($A$9,7,NA())</f>
        <v>7</v>
      </c>
      <c r="L17">
        <f>IF($A$10,11,NA())</f>
        <v>11</v>
      </c>
      <c r="M17">
        <f>IF($A$11,13,NA())</f>
        <v>13</v>
      </c>
      <c r="N17">
        <f>IF($A$12,17,NA())</f>
        <v>17</v>
      </c>
      <c r="O17">
        <f>IF($A$13,9,NA())</f>
        <v>9</v>
      </c>
      <c r="P17">
        <f>IF($A$14,15,NA())</f>
        <v>15</v>
      </c>
      <c r="Q17">
        <f>IF($A$15,8,NA())</f>
        <v>8</v>
      </c>
      <c r="R17">
        <f>IF($A$16,19,NA())</f>
        <v>19</v>
      </c>
      <c r="S17">
        <f>IF($A$17,10,NA())</f>
        <v>10</v>
      </c>
      <c r="T17">
        <f>IF($A$18,16,NA())</f>
        <v>16</v>
      </c>
      <c r="U17" t="e">
        <f>NA()</f>
        <v>#N/A</v>
      </c>
      <c r="V17">
        <f>IF($A$20,12,NA())</f>
        <v>12</v>
      </c>
      <c r="W17">
        <f>IF($A$21,20,NA())</f>
        <v>20</v>
      </c>
      <c r="X17" t="e">
        <f>NA()</f>
        <v>#N/A</v>
      </c>
      <c r="Y17">
        <f>IF($A$23,18,NA())</f>
        <v>18</v>
      </c>
      <c r="Z17">
        <f>IF($A$24,2,NA())</f>
        <v>2</v>
      </c>
      <c r="AA17">
        <f>IF($A$25,1,NA())</f>
        <v>1</v>
      </c>
      <c r="AB17">
        <f>IF($A$26,4,NA())</f>
        <v>4</v>
      </c>
      <c r="AC17" t="e">
        <f>NA()</f>
        <v>#N/A</v>
      </c>
      <c r="AD17" t="e">
        <f>NA()</f>
        <v>#N/A</v>
      </c>
      <c r="AE17" t="e">
        <f>NA()</f>
        <v>#N/A</v>
      </c>
      <c r="AF17" t="e">
        <f>NA()</f>
        <v>#N/A</v>
      </c>
      <c r="AG17" t="e">
        <f>NA()</f>
        <v>#N/A</v>
      </c>
      <c r="AH17">
        <f>IF($A$32,14,NA())</f>
        <v>14</v>
      </c>
      <c r="AI17" t="e">
        <f>NA()</f>
        <v>#N/A</v>
      </c>
      <c r="AJ17" t="e">
        <f>NA()</f>
        <v>#N/A</v>
      </c>
    </row>
    <row r="18" spans="1:36" x14ac:dyDescent="0.3">
      <c r="A18" s="7" t="b">
        <v>1</v>
      </c>
      <c r="B18" s="3" t="s">
        <v>100</v>
      </c>
      <c r="C18" s="5">
        <v>42</v>
      </c>
      <c r="D18" s="22" t="s">
        <v>163</v>
      </c>
      <c r="E18" t="s">
        <v>194</v>
      </c>
      <c r="F18">
        <f>IF($A$4,3,NA())</f>
        <v>3</v>
      </c>
      <c r="G18">
        <f>IF($A$5,1,NA())</f>
        <v>1</v>
      </c>
      <c r="H18">
        <f>IF($A$6,12,NA())</f>
        <v>12</v>
      </c>
      <c r="I18">
        <f>IF($A$7,2,NA())</f>
        <v>2</v>
      </c>
      <c r="J18">
        <f>IF($A$8,4,NA())</f>
        <v>4</v>
      </c>
      <c r="K18">
        <f>IF($A$9,9,NA())</f>
        <v>9</v>
      </c>
      <c r="L18">
        <f>IF($A$10,6,NA())</f>
        <v>6</v>
      </c>
      <c r="M18">
        <f>IF($A$11,18,NA())</f>
        <v>18</v>
      </c>
      <c r="N18">
        <f>IF($A$12,7,NA())</f>
        <v>7</v>
      </c>
      <c r="O18">
        <f>IF($A$13,14,NA())</f>
        <v>14</v>
      </c>
      <c r="P18">
        <f>IF($A$14,10,NA())</f>
        <v>10</v>
      </c>
      <c r="Q18">
        <f>IF($A$15,11,NA())</f>
        <v>11</v>
      </c>
      <c r="R18">
        <f>IF($A$16,15,NA())</f>
        <v>15</v>
      </c>
      <c r="S18">
        <f>IF($A$17,17,NA())</f>
        <v>17</v>
      </c>
      <c r="T18">
        <f>IF($A$18,19,NA())</f>
        <v>19</v>
      </c>
      <c r="U18" t="e">
        <f>NA()</f>
        <v>#N/A</v>
      </c>
      <c r="V18">
        <f>IF($A$20,20,NA())</f>
        <v>20</v>
      </c>
      <c r="W18">
        <f>IF($A$21,21,NA())</f>
        <v>21</v>
      </c>
      <c r="X18" t="e">
        <f>NA()</f>
        <v>#N/A</v>
      </c>
      <c r="Y18" t="e">
        <f>NA()</f>
        <v>#N/A</v>
      </c>
      <c r="Z18">
        <f>IF($A$24,22,NA())</f>
        <v>22</v>
      </c>
      <c r="AA18">
        <f>IF($A$25,5,NA())</f>
        <v>5</v>
      </c>
      <c r="AB18">
        <f>IF($A$26,8,NA())</f>
        <v>8</v>
      </c>
      <c r="AC18" t="e">
        <f>NA()</f>
        <v>#N/A</v>
      </c>
      <c r="AD18" t="e">
        <f>NA()</f>
        <v>#N/A</v>
      </c>
      <c r="AE18" t="e">
        <f>NA()</f>
        <v>#N/A</v>
      </c>
      <c r="AF18" t="e">
        <f>NA()</f>
        <v>#N/A</v>
      </c>
      <c r="AG18" t="e">
        <f>NA()</f>
        <v>#N/A</v>
      </c>
      <c r="AH18">
        <f>IF($A$32,16,NA())</f>
        <v>16</v>
      </c>
      <c r="AI18">
        <f>IF($A$33,13,NA())</f>
        <v>13</v>
      </c>
      <c r="AJ18" t="e">
        <f>NA()</f>
        <v>#N/A</v>
      </c>
    </row>
    <row r="19" spans="1:36" x14ac:dyDescent="0.3">
      <c r="A19" s="7" t="b">
        <v>1</v>
      </c>
      <c r="B19" s="3" t="s">
        <v>101</v>
      </c>
      <c r="C19" s="5">
        <v>12</v>
      </c>
      <c r="D19" s="23" t="s">
        <v>164</v>
      </c>
      <c r="E19" t="s">
        <v>195</v>
      </c>
      <c r="F19">
        <f>IF($A$4,3,NA())</f>
        <v>3</v>
      </c>
      <c r="G19">
        <f>IF($A$5,7,NA())</f>
        <v>7</v>
      </c>
      <c r="H19">
        <f>IF($A$6,5,NA())</f>
        <v>5</v>
      </c>
      <c r="I19">
        <f>IF($A$7,2,NA())</f>
        <v>2</v>
      </c>
      <c r="J19">
        <f>IF($A$8,6,NA())</f>
        <v>6</v>
      </c>
      <c r="K19">
        <f>IF($A$9,18,NA())</f>
        <v>18</v>
      </c>
      <c r="L19">
        <f>IF($A$10,11,NA())</f>
        <v>11</v>
      </c>
      <c r="M19">
        <f>IF($A$11,15,NA())</f>
        <v>15</v>
      </c>
      <c r="N19">
        <f>IF($A$12,8,NA())</f>
        <v>8</v>
      </c>
      <c r="O19">
        <f>IF($A$13,10,NA())</f>
        <v>10</v>
      </c>
      <c r="P19">
        <f>IF($A$14,20,NA())</f>
        <v>20</v>
      </c>
      <c r="Q19">
        <f>IF($A$15,4,NA())</f>
        <v>4</v>
      </c>
      <c r="R19">
        <f>IF($A$16,22,NA())</f>
        <v>22</v>
      </c>
      <c r="S19">
        <f>IF($A$17,12,NA())</f>
        <v>12</v>
      </c>
      <c r="T19">
        <f>IF($A$18,16,NA())</f>
        <v>16</v>
      </c>
      <c r="U19">
        <f>IF($A$19,14,NA())</f>
        <v>14</v>
      </c>
      <c r="V19">
        <f>IF($A$20,17,NA())</f>
        <v>17</v>
      </c>
      <c r="W19">
        <f>IF($A$21,19,NA())</f>
        <v>19</v>
      </c>
      <c r="X19" t="e">
        <f>NA()</f>
        <v>#N/A</v>
      </c>
      <c r="Y19" t="e">
        <f>NA()</f>
        <v>#N/A</v>
      </c>
      <c r="Z19">
        <f>IF($A$24,21,NA())</f>
        <v>21</v>
      </c>
      <c r="AA19">
        <f>IF($A$25,1,NA())</f>
        <v>1</v>
      </c>
      <c r="AB19">
        <f>IF($A$26,9,NA())</f>
        <v>9</v>
      </c>
      <c r="AC19" t="e">
        <f>NA()</f>
        <v>#N/A</v>
      </c>
      <c r="AD19" t="e">
        <f>NA()</f>
        <v>#N/A</v>
      </c>
      <c r="AE19" t="e">
        <f>NA()</f>
        <v>#N/A</v>
      </c>
      <c r="AF19" t="e">
        <f>NA()</f>
        <v>#N/A</v>
      </c>
      <c r="AG19" t="e">
        <f>NA()</f>
        <v>#N/A</v>
      </c>
      <c r="AH19" t="e">
        <f>NA()</f>
        <v>#N/A</v>
      </c>
      <c r="AI19" t="e">
        <f>NA()</f>
        <v>#N/A</v>
      </c>
      <c r="AJ19">
        <f>IF($A$34,13,NA())</f>
        <v>13</v>
      </c>
    </row>
    <row r="20" spans="1:36" x14ac:dyDescent="0.3">
      <c r="A20" s="7" t="b">
        <v>1</v>
      </c>
      <c r="B20" s="3" t="s">
        <v>102</v>
      </c>
      <c r="C20" s="5">
        <v>7</v>
      </c>
      <c r="D20" s="24" t="s">
        <v>165</v>
      </c>
      <c r="E20" t="s">
        <v>196</v>
      </c>
      <c r="F20">
        <f>IF($A$4,1,NA())</f>
        <v>1</v>
      </c>
      <c r="G20">
        <f>IF($A$5,5,NA())</f>
        <v>5</v>
      </c>
      <c r="H20">
        <f>IF($A$6,2,NA())</f>
        <v>2</v>
      </c>
      <c r="I20">
        <f>IF($A$7,3,NA())</f>
        <v>3</v>
      </c>
      <c r="J20">
        <f>IF($A$8,4,NA())</f>
        <v>4</v>
      </c>
      <c r="K20">
        <f>IF($A$9,8,NA())</f>
        <v>8</v>
      </c>
      <c r="L20">
        <f>IF($A$10,11,NA())</f>
        <v>11</v>
      </c>
      <c r="M20">
        <f>IF($A$11,14,NA())</f>
        <v>14</v>
      </c>
      <c r="N20">
        <f>IF($A$12,19,NA())</f>
        <v>19</v>
      </c>
      <c r="O20">
        <f>IF($A$13,12,NA())</f>
        <v>12</v>
      </c>
      <c r="P20">
        <f>IF($A$14,13,NA())</f>
        <v>13</v>
      </c>
      <c r="Q20">
        <f>IF($A$15,10,NA())</f>
        <v>10</v>
      </c>
      <c r="R20">
        <f>IF($A$16,16,NA())</f>
        <v>16</v>
      </c>
      <c r="S20">
        <f>IF($A$17,9,NA())</f>
        <v>9</v>
      </c>
      <c r="T20">
        <f>IF($A$18,15,NA())</f>
        <v>15</v>
      </c>
      <c r="U20">
        <f>IF($A$19,17,NA())</f>
        <v>17</v>
      </c>
      <c r="V20">
        <f>IF($A$20,18,NA())</f>
        <v>18</v>
      </c>
      <c r="W20">
        <f>IF($A$21,20,NA())</f>
        <v>20</v>
      </c>
      <c r="X20" t="e">
        <f>NA()</f>
        <v>#N/A</v>
      </c>
      <c r="Y20" t="e">
        <f>NA()</f>
        <v>#N/A</v>
      </c>
      <c r="Z20">
        <f>IF($A$24,7,NA())</f>
        <v>7</v>
      </c>
      <c r="AA20">
        <f>IF($A$25,6,NA())</f>
        <v>6</v>
      </c>
      <c r="AB20">
        <f>IF($A$26,21,NA())</f>
        <v>21</v>
      </c>
      <c r="AC20" t="e">
        <f>NA()</f>
        <v>#N/A</v>
      </c>
      <c r="AD20" t="e">
        <f>NA()</f>
        <v>#N/A</v>
      </c>
      <c r="AE20" t="e">
        <f>NA()</f>
        <v>#N/A</v>
      </c>
      <c r="AF20" t="e">
        <f>NA()</f>
        <v>#N/A</v>
      </c>
      <c r="AG20" t="e">
        <f>NA()</f>
        <v>#N/A</v>
      </c>
      <c r="AH20" t="e">
        <f>NA()</f>
        <v>#N/A</v>
      </c>
      <c r="AI20" t="e">
        <f>NA()</f>
        <v>#N/A</v>
      </c>
      <c r="AJ20" t="e">
        <f>NA()</f>
        <v>#N/A</v>
      </c>
    </row>
    <row r="21" spans="1:36" x14ac:dyDescent="0.3">
      <c r="A21" s="7" t="b">
        <v>1</v>
      </c>
      <c r="B21" s="3" t="s">
        <v>105</v>
      </c>
      <c r="C21" s="5">
        <v>43</v>
      </c>
      <c r="D21" s="25" t="s">
        <v>166</v>
      </c>
    </row>
    <row r="22" spans="1:36" x14ac:dyDescent="0.3">
      <c r="A22" s="7" t="b">
        <v>1</v>
      </c>
      <c r="B22" s="3" t="s">
        <v>107</v>
      </c>
      <c r="C22" s="5">
        <v>51</v>
      </c>
      <c r="D22" s="26" t="s">
        <v>167</v>
      </c>
    </row>
    <row r="23" spans="1:36" x14ac:dyDescent="0.3">
      <c r="A23" s="7" t="b">
        <v>1</v>
      </c>
      <c r="B23" s="3" t="s">
        <v>109</v>
      </c>
      <c r="C23" s="5">
        <v>36</v>
      </c>
      <c r="D23" s="27" t="s">
        <v>168</v>
      </c>
    </row>
    <row r="24" spans="1:36" x14ac:dyDescent="0.3">
      <c r="A24" s="7" t="b">
        <v>1</v>
      </c>
      <c r="B24" s="3" t="s">
        <v>110</v>
      </c>
      <c r="C24" s="5">
        <v>73</v>
      </c>
      <c r="D24" s="28" t="s">
        <v>169</v>
      </c>
    </row>
    <row r="25" spans="1:36" x14ac:dyDescent="0.3">
      <c r="A25" s="7" t="b">
        <v>1</v>
      </c>
      <c r="B25" s="3" t="s">
        <v>111</v>
      </c>
      <c r="C25" s="5">
        <v>93</v>
      </c>
      <c r="D25" s="29" t="s">
        <v>170</v>
      </c>
    </row>
    <row r="26" spans="1:36" x14ac:dyDescent="0.3">
      <c r="A26" s="7" t="b">
        <v>1</v>
      </c>
      <c r="B26" s="3" t="s">
        <v>112</v>
      </c>
      <c r="C26" s="5">
        <v>54</v>
      </c>
      <c r="D26" s="30" t="s">
        <v>171</v>
      </c>
    </row>
    <row r="27" spans="1:36" x14ac:dyDescent="0.3">
      <c r="A27" s="7" t="b">
        <v>1</v>
      </c>
      <c r="B27" s="3" t="s">
        <v>113</v>
      </c>
      <c r="C27" s="5">
        <v>47</v>
      </c>
      <c r="D27" s="31" t="s">
        <v>172</v>
      </c>
    </row>
    <row r="28" spans="1:36" x14ac:dyDescent="0.3">
      <c r="A28" s="7" t="b">
        <v>1</v>
      </c>
      <c r="B28" s="3" t="s">
        <v>115</v>
      </c>
      <c r="C28" s="5">
        <v>32</v>
      </c>
      <c r="D28" s="32" t="s">
        <v>173</v>
      </c>
    </row>
    <row r="29" spans="1:36" x14ac:dyDescent="0.3">
      <c r="A29" s="7" t="b">
        <v>1</v>
      </c>
      <c r="B29" s="3" t="s">
        <v>116</v>
      </c>
      <c r="C29" s="5">
        <v>94</v>
      </c>
      <c r="D29" s="33" t="s">
        <v>174</v>
      </c>
    </row>
    <row r="30" spans="1:36" x14ac:dyDescent="0.3">
      <c r="A30" s="7" t="b">
        <v>1</v>
      </c>
      <c r="B30" s="3" t="s">
        <v>118</v>
      </c>
      <c r="C30" s="5">
        <v>35</v>
      </c>
      <c r="D30" s="34" t="s">
        <v>175</v>
      </c>
    </row>
    <row r="31" spans="1:36" x14ac:dyDescent="0.3">
      <c r="A31" s="7" t="b">
        <v>1</v>
      </c>
      <c r="B31" s="3" t="s">
        <v>121</v>
      </c>
      <c r="C31" s="5">
        <v>27</v>
      </c>
      <c r="D31" s="35" t="s">
        <v>176</v>
      </c>
    </row>
    <row r="32" spans="1:36" x14ac:dyDescent="0.3">
      <c r="A32" s="7" t="b">
        <v>1</v>
      </c>
      <c r="B32" s="3" t="s">
        <v>122</v>
      </c>
      <c r="C32" s="5">
        <v>44</v>
      </c>
      <c r="D32" s="36" t="s">
        <v>177</v>
      </c>
    </row>
    <row r="33" spans="1:4" x14ac:dyDescent="0.3">
      <c r="A33" s="7" t="b">
        <v>1</v>
      </c>
      <c r="B33" s="3" t="s">
        <v>123</v>
      </c>
      <c r="C33" s="5">
        <v>30</v>
      </c>
      <c r="D33" s="37" t="s">
        <v>178</v>
      </c>
    </row>
    <row r="34" spans="1:4" x14ac:dyDescent="0.3">
      <c r="A34" s="7" t="b">
        <v>1</v>
      </c>
      <c r="B34" s="3" t="s">
        <v>124</v>
      </c>
      <c r="C34" s="5">
        <v>15</v>
      </c>
      <c r="D34" s="38" t="s">
        <v>179</v>
      </c>
    </row>
  </sheetData>
  <mergeCells count="1">
    <mergeCell ref="A1:A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Race Calendar</vt:lpstr>
      <vt:lpstr>Season Results</vt:lpstr>
      <vt:lpstr>Position Matrix</vt:lpstr>
      <vt:lpstr>Season 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MotoGP Season Finishing Position Progress</dc:title>
  <dc:creator/>
  <dc:description>Generated from MotoGP race JSON files</dc:description>
  <cp:lastModifiedBy>Miguel Mayorga</cp:lastModifiedBy>
  <dcterms:created xsi:type="dcterms:W3CDTF">2026-10-12T04:53:49Z</dcterms:created>
  <dcterms:modified xsi:type="dcterms:W3CDTF">2026-10-12T05:26:44Z</dcterms:modified>
</cp:coreProperties>
</file>