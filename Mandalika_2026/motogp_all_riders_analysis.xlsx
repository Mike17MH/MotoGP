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1446\Documents\MotoGP\Mandalika_2026\"/>
    </mc:Choice>
  </mc:AlternateContent>
  <xr:revisionPtr revIDLastSave="0" documentId="13_ncr:1_{0272DDA2-7E29-4F17-9440-FD9819AF4A85}" xr6:coauthVersionLast="47" xr6:coauthVersionMax="47" xr10:uidLastSave="{00000000-0000-0000-0000-000000000000}"/>
  <bookViews>
    <workbookView xWindow="-28920" yWindow="-120" windowWidth="29040" windowHeight="17520" firstSheet="16" activeTab="22" xr2:uid="{00000000-000D-0000-FFFF-FFFF00000000}"/>
  </bookViews>
  <sheets>
    <sheet name="Marco Bezzecchi" sheetId="1" r:id="rId1"/>
    <sheet name="Raul Fernandez" sheetId="2" r:id="rId2"/>
    <sheet name="Jorge Martin" sheetId="3" r:id="rId3"/>
    <sheet name="Ai Ogura" sheetId="4" r:id="rId4"/>
    <sheet name="Pedro Acosta" sheetId="5" r:id="rId5"/>
    <sheet name="Marc Marquez" sheetId="6" r:id="rId6"/>
    <sheet name="Alex Marquez" sheetId="7" r:id="rId7"/>
    <sheet name="Fabio Di Giannantonio" sheetId="8" r:id="rId8"/>
    <sheet name="Fabio Quartararo" sheetId="9" r:id="rId9"/>
    <sheet name="Enea Bastianini" sheetId="10" r:id="rId10"/>
    <sheet name="Brad Binder" sheetId="11" r:id="rId11"/>
    <sheet name="Luca Marini" sheetId="12" r:id="rId12"/>
    <sheet name="Johann Zarco" sheetId="13" r:id="rId13"/>
    <sheet name="Franco Morbidelli" sheetId="14" r:id="rId14"/>
    <sheet name="Alex Rins" sheetId="15" r:id="rId15"/>
    <sheet name="Diogo Moreira" sheetId="16" r:id="rId16"/>
    <sheet name="Maverick Viñales" sheetId="17" r:id="rId17"/>
    <sheet name="Toprak Razgatlioglu" sheetId="18" r:id="rId18"/>
    <sheet name="Francesco Bagnaia" sheetId="19" r:id="rId19"/>
    <sheet name="Jack Miller" sheetId="20" r:id="rId20"/>
    <sheet name="Fermin Aldeguer" sheetId="21" r:id="rId21"/>
    <sheet name="Race Data" sheetId="22" r:id="rId22"/>
    <sheet name="Race Progress" sheetId="23" r:id="rId23"/>
  </sheets>
  <definedNames>
    <definedName name="_xlnm._FilterDatabase" localSheetId="3" hidden="1">'Ai Ogura'!$A$5:$J$32</definedName>
    <definedName name="_xlnm._FilterDatabase" localSheetId="6" hidden="1">'Alex Marquez'!$A$5:$J$32</definedName>
    <definedName name="_xlnm._FilterDatabase" localSheetId="14" hidden="1">'Alex Rins'!$A$5:$J$32</definedName>
    <definedName name="_xlnm._FilterDatabase" localSheetId="10" hidden="1">'Brad Binder'!$A$5:$J$32</definedName>
    <definedName name="_xlnm._FilterDatabase" localSheetId="15" hidden="1">'Diogo Moreira'!$A$5:$J$32</definedName>
    <definedName name="_xlnm._FilterDatabase" localSheetId="9" hidden="1">'Enea Bastianini'!$A$5:$J$32</definedName>
    <definedName name="_xlnm._FilterDatabase" localSheetId="7" hidden="1">'Fabio Di Giannantonio'!$A$5:$J$32</definedName>
    <definedName name="_xlnm._FilterDatabase" localSheetId="8" hidden="1">'Fabio Quartararo'!$A$5:$J$32</definedName>
    <definedName name="_xlnm._FilterDatabase" localSheetId="20" hidden="1">'Fermin Aldeguer'!$A$5:$J$6</definedName>
    <definedName name="_xlnm._FilterDatabase" localSheetId="18" hidden="1">'Francesco Bagnaia'!$A$5:$J$10</definedName>
    <definedName name="_xlnm._FilterDatabase" localSheetId="13" hidden="1">'Franco Morbidelli'!$A$5:$J$32</definedName>
    <definedName name="_xlnm._FilterDatabase" localSheetId="19" hidden="1">'Jack Miller'!$A$5:$J$10</definedName>
    <definedName name="_xlnm._FilterDatabase" localSheetId="12" hidden="1">'Johann Zarco'!$A$5:$J$32</definedName>
    <definedName name="_xlnm._FilterDatabase" localSheetId="2" hidden="1">'Jorge Martin'!$A$5:$J$32</definedName>
    <definedName name="_xlnm._FilterDatabase" localSheetId="11" hidden="1">'Luca Marini'!$A$5:$J$32</definedName>
    <definedName name="_xlnm._FilterDatabase" localSheetId="5" hidden="1">'Marc Marquez'!$A$5:$J$32</definedName>
    <definedName name="_xlnm._FilterDatabase" localSheetId="0" hidden="1">'Marco Bezzecchi'!$A$5:$J$32</definedName>
    <definedName name="_xlnm._FilterDatabase" localSheetId="16" hidden="1">'Maverick Viñales'!$A$5:$J$32</definedName>
    <definedName name="_xlnm._FilterDatabase" localSheetId="4" hidden="1">'Pedro Acosta'!$A$5:$J$32</definedName>
    <definedName name="_xlnm._FilterDatabase" localSheetId="1" hidden="1">'Raul Fernandez'!$A$5:$J$32</definedName>
    <definedName name="_xlnm._FilterDatabase" localSheetId="17" hidden="1">'Toprak Razgatlioglu'!$A$5:$J$13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23" l="1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</calcChain>
</file>

<file path=xl/sharedStrings.xml><?xml version="1.0" encoding="utf-8"?>
<sst xmlns="http://schemas.openxmlformats.org/spreadsheetml/2006/main" count="1873" uniqueCount="543">
  <si>
    <t>Marco BEZZECCHI #72 - Position 1</t>
  </si>
  <si>
    <t>Team</t>
  </si>
  <si>
    <t>Aprilia Racing</t>
  </si>
  <si>
    <t>Manufacturer</t>
  </si>
  <si>
    <t>APRILIA</t>
  </si>
  <si>
    <t>Total Laps</t>
  </si>
  <si>
    <t>Valid Laps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</si>
  <si>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</si>
  <si>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</si>
  <si>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</si>
  <si>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</si>
  <si>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</si>
  <si>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</si>
  <si>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</si>
  <si>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</si>
  <si>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</si>
  <si>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</si>
  <si>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1:34.554</t>
  </si>
  <si>
    <t>1:30.770</t>
  </si>
  <si>
    <t>1:30.402</t>
  </si>
  <si>
    <t>1:30.367</t>
  </si>
  <si>
    <t>1:30.087</t>
  </si>
  <si>
    <t>1:30.380</t>
  </si>
  <si>
    <t>1:30.190</t>
  </si>
  <si>
    <t>1:30.132</t>
  </si>
  <si>
    <t>1:30.192</t>
  </si>
  <si>
    <t>1:30.310</t>
  </si>
  <si>
    <t>1:29.991</t>
  </si>
  <si>
    <t>1:30.110</t>
  </si>
  <si>
    <t>1:30.148</t>
  </si>
  <si>
    <t>1:30.186</t>
  </si>
  <si>
    <t>1:30.062</t>
  </si>
  <si>
    <t>1:30.577</t>
  </si>
  <si>
    <t>1:30.202</t>
  </si>
  <si>
    <t>1:30.515</t>
  </si>
  <si>
    <t>1:29.960</t>
  </si>
  <si>
    <t>1:30.583</t>
  </si>
  <si>
    <t>1:30.396</t>
  </si>
  <si>
    <t>1:30.966</t>
  </si>
  <si>
    <t>1:30.927</t>
  </si>
  <si>
    <t>1:30.860</t>
  </si>
  <si>
    <t>1:31.099</t>
  </si>
  <si>
    <t>1:31.122</t>
  </si>
  <si>
    <t>1:31.494</t>
  </si>
  <si>
    <t>Raul FERNANDEZ #25 - Position 2</t>
  </si>
  <si>
    <t>SuperFile Trackhouse MotoGP Team</t>
  </si>
  <si>
    <t>1:34.004</t>
  </si>
  <si>
    <t>1:30.421</t>
  </si>
  <si>
    <t>1:30.586</t>
  </si>
  <si>
    <t>1:30.335</t>
  </si>
  <si>
    <t>1:30.027</t>
  </si>
  <si>
    <t>1:30.355</t>
  </si>
  <si>
    <t>1:30.548</t>
  </si>
  <si>
    <t>1:30.071</t>
  </si>
  <si>
    <t>1:30.274</t>
  </si>
  <si>
    <t>1:30.242</t>
  </si>
  <si>
    <t>1:30.075</t>
  </si>
  <si>
    <t>1:30.088</t>
  </si>
  <si>
    <t>1:30.283</t>
  </si>
  <si>
    <t>1:30.024</t>
  </si>
  <si>
    <t>1:30.361</t>
  </si>
  <si>
    <t>1:30.362</t>
  </si>
  <si>
    <t>1:30.440</t>
  </si>
  <si>
    <t>1:30.579</t>
  </si>
  <si>
    <t>1:31.495</t>
  </si>
  <si>
    <t>1:30.962</t>
  </si>
  <si>
    <t>1:31.001</t>
  </si>
  <si>
    <t>1:31.002</t>
  </si>
  <si>
    <t>1:30.863</t>
  </si>
  <si>
    <t>1:31.044</t>
  </si>
  <si>
    <t>1:31.280</t>
  </si>
  <si>
    <t>1:31.696</t>
  </si>
  <si>
    <t>1:32.424</t>
  </si>
  <si>
    <t>Jorge MARTIN #89 - Position 3</t>
  </si>
  <si>
    <t>1:35.908</t>
  </si>
  <si>
    <t>1:30.973</t>
  </si>
  <si>
    <t>1:30.372</t>
  </si>
  <si>
    <t>1:30.436</t>
  </si>
  <si>
    <t>1:30.275</t>
  </si>
  <si>
    <t>1:30.144</t>
  </si>
  <si>
    <t>1:30.231</t>
  </si>
  <si>
    <t>1:30.458</t>
  </si>
  <si>
    <t>1:30.323</t>
  </si>
  <si>
    <t>1:30.212</t>
  </si>
  <si>
    <t>1:30.308</t>
  </si>
  <si>
    <t>1:30.347</t>
  </si>
  <si>
    <t>1:30.292</t>
  </si>
  <si>
    <t>1:30.263</t>
  </si>
  <si>
    <t>1:30.248</t>
  </si>
  <si>
    <t>1:30.294</t>
  </si>
  <si>
    <t>1:30.411</t>
  </si>
  <si>
    <t>1:30.674</t>
  </si>
  <si>
    <t>1:30.839</t>
  </si>
  <si>
    <t>1:30.613</t>
  </si>
  <si>
    <t>1:30.842</t>
  </si>
  <si>
    <t>1:31.056</t>
  </si>
  <si>
    <t>1:30.951</t>
  </si>
  <si>
    <t>1:31.143</t>
  </si>
  <si>
    <t>1:31.240</t>
  </si>
  <si>
    <t>1:31.656</t>
  </si>
  <si>
    <t>1:32.963</t>
  </si>
  <si>
    <t>Ai OGURA #79 - Position 4</t>
  </si>
  <si>
    <t>1:36.868</t>
  </si>
  <si>
    <t>1:31.326</t>
  </si>
  <si>
    <t>1:30.956</t>
  </si>
  <si>
    <t>1:30.659</t>
  </si>
  <si>
    <t>1:30.694</t>
  </si>
  <si>
    <t>1:30.428</t>
  </si>
  <si>
    <t>1:30.464</t>
  </si>
  <si>
    <t>1:30.301</t>
  </si>
  <si>
    <t>1:30.737</t>
  </si>
  <si>
    <t>1:30.457</t>
  </si>
  <si>
    <t>1:30.477</t>
  </si>
  <si>
    <t>1:30.343</t>
  </si>
  <si>
    <t>1:30.935</t>
  </si>
  <si>
    <t>1:30.505</t>
  </si>
  <si>
    <t>1:30.481</t>
  </si>
  <si>
    <t>1:30.732</t>
  </si>
  <si>
    <t>1:31.061</t>
  </si>
  <si>
    <t>1:30.858</t>
  </si>
  <si>
    <t>1:31.243</t>
  </si>
  <si>
    <t>1:30.609</t>
  </si>
  <si>
    <t>1:30.705</t>
  </si>
  <si>
    <t>1:30.712</t>
  </si>
  <si>
    <t>1:30.697</t>
  </si>
  <si>
    <t>1:31.307</t>
  </si>
  <si>
    <t>1:30.930</t>
  </si>
  <si>
    <t>1:30.816</t>
  </si>
  <si>
    <t>Pedro ACOSTA #37 - Position 5</t>
  </si>
  <si>
    <t>Red Bull KTM Factory Racing</t>
  </si>
  <si>
    <t>KTM</t>
  </si>
  <si>
    <t>1:36.690</t>
  </si>
  <si>
    <t>1:30.768</t>
  </si>
  <si>
    <t>1:30.546</t>
  </si>
  <si>
    <t>1:30.254</t>
  </si>
  <si>
    <t>1:30.256</t>
  </si>
  <si>
    <t>1:30.572</t>
  </si>
  <si>
    <t>1:30.545</t>
  </si>
  <si>
    <t>1:30.363</t>
  </si>
  <si>
    <t>1:30.285</t>
  </si>
  <si>
    <t>1:30.331</t>
  </si>
  <si>
    <t>1:30.172</t>
  </si>
  <si>
    <t>1:31.710</t>
  </si>
  <si>
    <t>1:30.723</t>
  </si>
  <si>
    <t>1:30.912</t>
  </si>
  <si>
    <t>1:32.024</t>
  </si>
  <si>
    <t>1:30.976</t>
  </si>
  <si>
    <t>1:30.854</t>
  </si>
  <si>
    <t>1:30.560</t>
  </si>
  <si>
    <t>1:30.898</t>
  </si>
  <si>
    <t>1:30.719</t>
  </si>
  <si>
    <t>1:30.729</t>
  </si>
  <si>
    <t>1:31.649</t>
  </si>
  <si>
    <t>1:31.156</t>
  </si>
  <si>
    <t>1:30.623</t>
  </si>
  <si>
    <t>Marc MARQUEZ #93 - Position 6</t>
  </si>
  <si>
    <t>Ducati Lenovo Team</t>
  </si>
  <si>
    <t>DUCATI</t>
  </si>
  <si>
    <t>1:35.148</t>
  </si>
  <si>
    <t>1:31.124</t>
  </si>
  <si>
    <t>1:31.264</t>
  </si>
  <si>
    <t>1:30.541</t>
  </si>
  <si>
    <t>1:30.405</t>
  </si>
  <si>
    <t>1:30.229</t>
  </si>
  <si>
    <t>1:31.097</t>
  </si>
  <si>
    <t>1:30.480</t>
  </si>
  <si>
    <t>1:30.370</t>
  </si>
  <si>
    <t>1:30.390</t>
  </si>
  <si>
    <t>1:30.371</t>
  </si>
  <si>
    <t>1:30.398</t>
  </si>
  <si>
    <t>1:30.851</t>
  </si>
  <si>
    <t>1:30.830</t>
  </si>
  <si>
    <t>1:31.413</t>
  </si>
  <si>
    <t>1:30.789</t>
  </si>
  <si>
    <t>1:31.248</t>
  </si>
  <si>
    <t>1:30.974</t>
  </si>
  <si>
    <t>1:30.832</t>
  </si>
  <si>
    <t>1:31.171</t>
  </si>
  <si>
    <t>1:30.984</t>
  </si>
  <si>
    <t>1:30.796</t>
  </si>
  <si>
    <t>1:30.896</t>
  </si>
  <si>
    <t>1:31.330</t>
  </si>
  <si>
    <t>1:30.940</t>
  </si>
  <si>
    <t>1:31.533</t>
  </si>
  <si>
    <t>Alex MARQUEZ #73 - Position 7</t>
  </si>
  <si>
    <t>BK8 Gresini Racing MotoGP</t>
  </si>
  <si>
    <t>1:36.434</t>
  </si>
  <si>
    <t>1:31.404</t>
  </si>
  <si>
    <t>1:30.876</t>
  </si>
  <si>
    <t>1:30.597</t>
  </si>
  <si>
    <t>1:30.514</t>
  </si>
  <si>
    <t>1:30.314</t>
  </si>
  <si>
    <t>1:30.670</t>
  </si>
  <si>
    <t>1:30.639</t>
  </si>
  <si>
    <t>1:30.756</t>
  </si>
  <si>
    <t>1:30.452</t>
  </si>
  <si>
    <t>1:31.263</t>
  </si>
  <si>
    <t>1:31.017</t>
  </si>
  <si>
    <t>1:30.979</t>
  </si>
  <si>
    <t>1:31.071</t>
  </si>
  <si>
    <t>1:31.020</t>
  </si>
  <si>
    <t>1:30.797</t>
  </si>
  <si>
    <t>1:30.913</t>
  </si>
  <si>
    <t>1:31.154</t>
  </si>
  <si>
    <t>1:31.436</t>
  </si>
  <si>
    <t>1:31.835</t>
  </si>
  <si>
    <t>1:31.310</t>
  </si>
  <si>
    <t>1:31.339</t>
  </si>
  <si>
    <t>1:31.381</t>
  </si>
  <si>
    <t>1:32.070</t>
  </si>
  <si>
    <t>1:32.291</t>
  </si>
  <si>
    <t>Fabio DI GIANNANTONIO #49 - Position 8</t>
  </si>
  <si>
    <t>Pertamina Enduro VR46 Racing Team</t>
  </si>
  <si>
    <t>1:35.782</t>
  </si>
  <si>
    <t>1:31.491</t>
  </si>
  <si>
    <t>1:30.893</t>
  </si>
  <si>
    <t>1:30.631</t>
  </si>
  <si>
    <t>1:30.473</t>
  </si>
  <si>
    <t>1:30.404</t>
  </si>
  <si>
    <t>1:30.664</t>
  </si>
  <si>
    <t>1:30.555</t>
  </si>
  <si>
    <t>1:30.461</t>
  </si>
  <si>
    <t>1:30.244</t>
  </si>
  <si>
    <t>1:31.739</t>
  </si>
  <si>
    <t>1:30.566</t>
  </si>
  <si>
    <t>1:30.691</t>
  </si>
  <si>
    <t>1:30.736</t>
  </si>
  <si>
    <t>1:31.387</t>
  </si>
  <si>
    <t>1:31.456</t>
  </si>
  <si>
    <t>1:31.282</t>
  </si>
  <si>
    <t>1:31.496</t>
  </si>
  <si>
    <t>1:32.407</t>
  </si>
  <si>
    <t>1:32.876</t>
  </si>
  <si>
    <t>1:32.293</t>
  </si>
  <si>
    <t>1:31.726</t>
  </si>
  <si>
    <t>1:32.226</t>
  </si>
  <si>
    <t>1:31.987</t>
  </si>
  <si>
    <t>Fabio QUARTARARO #20 - Position 9</t>
  </si>
  <si>
    <t>Monster Energy Yamaha MotoGP Team</t>
  </si>
  <si>
    <t>YAMAHA</t>
  </si>
  <si>
    <t>1:37.410</t>
  </si>
  <si>
    <t>1:32.006</t>
  </si>
  <si>
    <t>1:31.362</t>
  </si>
  <si>
    <t>1:31.300</t>
  </si>
  <si>
    <t>1:31.213</t>
  </si>
  <si>
    <t>1:31.144</t>
  </si>
  <si>
    <t>1:31.030</t>
  </si>
  <si>
    <t>1:30.950</t>
  </si>
  <si>
    <t>1:30.802</t>
  </si>
  <si>
    <t>1:30.822</t>
  </si>
  <si>
    <t>1:30.999</t>
  </si>
  <si>
    <t>1:31.160</t>
  </si>
  <si>
    <t>1:30.901</t>
  </si>
  <si>
    <t>1:31.035</t>
  </si>
  <si>
    <t>1:31.170</t>
  </si>
  <si>
    <t>1:31.011</t>
  </si>
  <si>
    <t>1:31.231</t>
  </si>
  <si>
    <t>1:30.972</t>
  </si>
  <si>
    <t>1:31.031</t>
  </si>
  <si>
    <t>1:31.129</t>
  </si>
  <si>
    <t>1:31.057</t>
  </si>
  <si>
    <t>1:30.932</t>
  </si>
  <si>
    <t>1:31.267</t>
  </si>
  <si>
    <t>1:31.431</t>
  </si>
  <si>
    <t>1:31.418</t>
  </si>
  <si>
    <t>Enea BASTIANINI #23 - Position 10</t>
  </si>
  <si>
    <t>Red Bull KTM Tech3</t>
  </si>
  <si>
    <t>1:37.771</t>
  </si>
  <si>
    <t>1:32.141</t>
  </si>
  <si>
    <t>1:31.679</t>
  </si>
  <si>
    <t>1:31.131</t>
  </si>
  <si>
    <t>1:31.089</t>
  </si>
  <si>
    <t>1:31.265</t>
  </si>
  <si>
    <t>1:31.127</t>
  </si>
  <si>
    <t>1:30.958</t>
  </si>
  <si>
    <t>1:31.198</t>
  </si>
  <si>
    <t>1:31.153</t>
  </si>
  <si>
    <t>1:32.083</t>
  </si>
  <si>
    <t>1:31.210</t>
  </si>
  <si>
    <t>1:30.908</t>
  </si>
  <si>
    <t>1:31.395</t>
  </si>
  <si>
    <t>1:31.135</t>
  </si>
  <si>
    <t>1:30.981</t>
  </si>
  <si>
    <t>1:30.799</t>
  </si>
  <si>
    <t>1:30.593</t>
  </si>
  <si>
    <t>1:30.760</t>
  </si>
  <si>
    <t>1:30.835</t>
  </si>
  <si>
    <t>1:30.952</t>
  </si>
  <si>
    <t>1:30.937</t>
  </si>
  <si>
    <t>1:30.682</t>
  </si>
  <si>
    <t>1:31.733</t>
  </si>
  <si>
    <t>1:31.291</t>
  </si>
  <si>
    <t>1:31.151</t>
  </si>
  <si>
    <t>Brad BINDER #33 - Position 11</t>
  </si>
  <si>
    <t>1:37.605</t>
  </si>
  <si>
    <t>1:31.996</t>
  </si>
  <si>
    <t>1:31.349</t>
  </si>
  <si>
    <t>1:31.286</t>
  </si>
  <si>
    <t>1:31.207</t>
  </si>
  <si>
    <t>1:31.444</t>
  </si>
  <si>
    <t>1:30.955</t>
  </si>
  <si>
    <t>1:31.050</t>
  </si>
  <si>
    <t>1:30.916</t>
  </si>
  <si>
    <t>1:30.836</t>
  </si>
  <si>
    <t>1:31.058</t>
  </si>
  <si>
    <t>1:31.126</t>
  </si>
  <si>
    <t>1:31.141</t>
  </si>
  <si>
    <t>1:30.814</t>
  </si>
  <si>
    <t>1:30.987</t>
  </si>
  <si>
    <t>1:31.201</t>
  </si>
  <si>
    <t>1:31.237</t>
  </si>
  <si>
    <t>1:31.723</t>
  </si>
  <si>
    <t>1:31.116</t>
  </si>
  <si>
    <t>1:30.991</t>
  </si>
  <si>
    <t>1:31.004</t>
  </si>
  <si>
    <t>1:31.400</t>
  </si>
  <si>
    <t>1:31.003</t>
  </si>
  <si>
    <t>1:31.393</t>
  </si>
  <si>
    <t>1:31.467</t>
  </si>
  <si>
    <t>1:31.421</t>
  </si>
  <si>
    <t>Luca MARINI #10 - Position 12</t>
  </si>
  <si>
    <t>Honda HRC Castrol</t>
  </si>
  <si>
    <t>HONDA</t>
  </si>
  <si>
    <t>1:37.028</t>
  </si>
  <si>
    <t>1:31.595</t>
  </si>
  <si>
    <t>1:31.266</t>
  </si>
  <si>
    <t>1:30.914</t>
  </si>
  <si>
    <t>1:30.947</t>
  </si>
  <si>
    <t>1:31.051</t>
  </si>
  <si>
    <t>1:31.178</t>
  </si>
  <si>
    <t>1:31.140</t>
  </si>
  <si>
    <t>1:31.070</t>
  </si>
  <si>
    <t>1:31.190</t>
  </si>
  <si>
    <t>1:31.042</t>
  </si>
  <si>
    <t>1:31.005</t>
  </si>
  <si>
    <t>1:30.985</t>
  </si>
  <si>
    <t>1:31.157</t>
  </si>
  <si>
    <t>1:30.953</t>
  </si>
  <si>
    <t>1:31.636</t>
  </si>
  <si>
    <t>1:31.380</t>
  </si>
  <si>
    <t>1:31.128</t>
  </si>
  <si>
    <t>1:31.039</t>
  </si>
  <si>
    <t>1:30.998</t>
  </si>
  <si>
    <t>1:31.740</t>
  </si>
  <si>
    <t>1:32.495</t>
  </si>
  <si>
    <t>1:31.586</t>
  </si>
  <si>
    <t>Johann ZARCO #5 - Position 13</t>
  </si>
  <si>
    <t>Castrol Honda LCR</t>
  </si>
  <si>
    <t>1:37.852</t>
  </si>
  <si>
    <t>1:32.326</t>
  </si>
  <si>
    <t>1:31.689</t>
  </si>
  <si>
    <t>1:31.375</t>
  </si>
  <si>
    <t>1:31.059</t>
  </si>
  <si>
    <t>1:31.123</t>
  </si>
  <si>
    <t>1:31.403</t>
  </si>
  <si>
    <t>1:30.988</t>
  </si>
  <si>
    <t>1:31.078</t>
  </si>
  <si>
    <t>1:31.360</t>
  </si>
  <si>
    <t>1:31.165</t>
  </si>
  <si>
    <t>1:31.855</t>
  </si>
  <si>
    <t>1:31.034</t>
  </si>
  <si>
    <t>1:30.771</t>
  </si>
  <si>
    <t>1:30.904</t>
  </si>
  <si>
    <t>1:30.805</t>
  </si>
  <si>
    <t>1:31.115</t>
  </si>
  <si>
    <t>1:31.191</t>
  </si>
  <si>
    <t>1:32.546</t>
  </si>
  <si>
    <t>1:32.872</t>
  </si>
  <si>
    <t>1:32.662</t>
  </si>
  <si>
    <t>Franco MORBIDELLI #21 - Position 14</t>
  </si>
  <si>
    <t>1:38.936</t>
  </si>
  <si>
    <t>1:32.814</t>
  </si>
  <si>
    <t>1:31.826</t>
  </si>
  <si>
    <t>1:31.715</t>
  </si>
  <si>
    <t>1:31.334</t>
  </si>
  <si>
    <t>1:30.934</t>
  </si>
  <si>
    <t>1:30.938</t>
  </si>
  <si>
    <t>1:30.622</t>
  </si>
  <si>
    <t>1:30.812</t>
  </si>
  <si>
    <t>1:30.948</t>
  </si>
  <si>
    <t>1:31.523</t>
  </si>
  <si>
    <t>1:31.261</t>
  </si>
  <si>
    <t>1:31.521</t>
  </si>
  <si>
    <t>1:31.522</t>
  </si>
  <si>
    <t>1:31.525</t>
  </si>
  <si>
    <t>1:31.256</t>
  </si>
  <si>
    <t>1:31.706</t>
  </si>
  <si>
    <t>1:31.296</t>
  </si>
  <si>
    <t>1:31.279</t>
  </si>
  <si>
    <t>1:31.179</t>
  </si>
  <si>
    <t>1:31.438</t>
  </si>
  <si>
    <t>1:31.663</t>
  </si>
  <si>
    <t>1:31.069</t>
  </si>
  <si>
    <t>Alex RINS #42 - Position 15</t>
  </si>
  <si>
    <t>1:38.110</t>
  </si>
  <si>
    <t>1:31.983</t>
  </si>
  <si>
    <t>1:31.677</t>
  </si>
  <si>
    <t>1:31.149</t>
  </si>
  <si>
    <t>1:31.299</t>
  </si>
  <si>
    <t>1:30.963</t>
  </si>
  <si>
    <t>1:31.228</t>
  </si>
  <si>
    <t>1:30.954</t>
  </si>
  <si>
    <t>1:31.357</t>
  </si>
  <si>
    <t>1:32.417</t>
  </si>
  <si>
    <t>1:31.159</t>
  </si>
  <si>
    <t>1:31.234</t>
  </si>
  <si>
    <t>1:31.454</t>
  </si>
  <si>
    <t>1:31.482</t>
  </si>
  <si>
    <t>1:31.692</t>
  </si>
  <si>
    <t>1:32.010</t>
  </si>
  <si>
    <t>1:32.450</t>
  </si>
  <si>
    <t>1:31.753</t>
  </si>
  <si>
    <t>1:31.651</t>
  </si>
  <si>
    <t>1:31.977</t>
  </si>
  <si>
    <t>1:31.817</t>
  </si>
  <si>
    <t>1:32.000</t>
  </si>
  <si>
    <t>1:31.768</t>
  </si>
  <si>
    <t>Diogo MOREIRA #11 - Position 16</t>
  </si>
  <si>
    <t>Pro Honda LCR</t>
  </si>
  <si>
    <t>1:38.988</t>
  </si>
  <si>
    <t>1:32.032</t>
  </si>
  <si>
    <t>1:31.594</t>
  </si>
  <si>
    <t>1:31.254</t>
  </si>
  <si>
    <t>1:31.139</t>
  </si>
  <si>
    <t>1:30.970</t>
  </si>
  <si>
    <t>1:31.303</t>
  </si>
  <si>
    <t>1:31.104</t>
  </si>
  <si>
    <t>1:31.146</t>
  </si>
  <si>
    <t>1:31.471</t>
  </si>
  <si>
    <t>1:31.118</t>
  </si>
  <si>
    <t>1:31.477</t>
  </si>
  <si>
    <t>1:32.087</t>
  </si>
  <si>
    <t>1:31.700</t>
  </si>
  <si>
    <t>1:31.683</t>
  </si>
  <si>
    <t>1:31.564</t>
  </si>
  <si>
    <t>1:31.699</t>
  </si>
  <si>
    <t>1:31.759</t>
  </si>
  <si>
    <t>1:31.561</t>
  </si>
  <si>
    <t>1:31.569</t>
  </si>
  <si>
    <t>1:31.990</t>
  </si>
  <si>
    <t>1:32.008</t>
  </si>
  <si>
    <t>1:32.338</t>
  </si>
  <si>
    <t>1:32.895</t>
  </si>
  <si>
    <t>Maverick VIÑALES #12 - Position 17</t>
  </si>
  <si>
    <t>1:39.496</t>
  </si>
  <si>
    <t>1:34.989</t>
  </si>
  <si>
    <t>1:32.570</t>
  </si>
  <si>
    <t>1:32.162</t>
  </si>
  <si>
    <t>1:32.270</t>
  </si>
  <si>
    <t>1:32.617</t>
  </si>
  <si>
    <t>1:32.616</t>
  </si>
  <si>
    <t>1:31.905</t>
  </si>
  <si>
    <t>1:32.086</t>
  </si>
  <si>
    <t>1:31.660</t>
  </si>
  <si>
    <t>1:31.754</t>
  </si>
  <si>
    <t>1:31.690</t>
  </si>
  <si>
    <t>1:32.459</t>
  </si>
  <si>
    <t>1:32.537</t>
  </si>
  <si>
    <t>1:31.975</t>
  </si>
  <si>
    <t>1:31.575</t>
  </si>
  <si>
    <t>1:31.437</t>
  </si>
  <si>
    <t>1:31.582</t>
  </si>
  <si>
    <t>1:31.687</t>
  </si>
  <si>
    <t>1:32.392</t>
  </si>
  <si>
    <t>1:31.432</t>
  </si>
  <si>
    <t>1:31.483</t>
  </si>
  <si>
    <t>1:31.610</t>
  </si>
  <si>
    <t>1:32.109</t>
  </si>
  <si>
    <t>1:34.816</t>
  </si>
  <si>
    <t>1:37.633</t>
  </si>
  <si>
    <t>Toprak RAZGATLIOGLU #7 - Position 18</t>
  </si>
  <si>
    <t>Prima Pramac Yamaha MotoGP</t>
  </si>
  <si>
    <t>1:38.990</t>
  </si>
  <si>
    <t>1:32.334</t>
  </si>
  <si>
    <t>1:32.082</t>
  </si>
  <si>
    <t>1:32.053</t>
  </si>
  <si>
    <t>1:31.879</t>
  </si>
  <si>
    <t>1:32.021</t>
  </si>
  <si>
    <t>1:34.761</t>
  </si>
  <si>
    <t>Francesco BAGNAIA #63 - Position 19</t>
  </si>
  <si>
    <t>1:37.315</t>
  </si>
  <si>
    <t>1:31.946</t>
  </si>
  <si>
    <t>1:31.338</t>
  </si>
  <si>
    <t>1:31.277</t>
  </si>
  <si>
    <t>1:31.072</t>
  </si>
  <si>
    <t>Jack MILLER #43 - Position 20</t>
  </si>
  <si>
    <t>1:38.195</t>
  </si>
  <si>
    <t>1:32.129</t>
  </si>
  <si>
    <t>1:31.824</t>
  </si>
  <si>
    <t>1:31.398</t>
  </si>
  <si>
    <t>1:32.043</t>
  </si>
  <si>
    <t>Fermin ALDEGUER #54 - Position 21</t>
  </si>
  <si>
    <t>1:35.719</t>
  </si>
  <si>
    <t>Rider</t>
  </si>
  <si>
    <t>Number</t>
  </si>
  <si>
    <t>Position</t>
  </si>
  <si>
    <t>Cancelled</t>
  </si>
  <si>
    <t>Pit Lane</t>
  </si>
  <si>
    <t>Marco BEZZECCHI</t>
  </si>
  <si>
    <t>Raul FERNANDEZ</t>
  </si>
  <si>
    <t>Jorge MARTIN</t>
  </si>
  <si>
    <t>Ai OGURA</t>
  </si>
  <si>
    <t>Pedro ACOSTA</t>
  </si>
  <si>
    <t>Marc MARQUEZ</t>
  </si>
  <si>
    <t>Alex MARQUEZ</t>
  </si>
  <si>
    <t>Fabio DI GIANNANTONIO</t>
  </si>
  <si>
    <t>Fabio QUARTARARO</t>
  </si>
  <si>
    <t>Enea BASTIANINI</t>
  </si>
  <si>
    <t>Brad BINDER</t>
  </si>
  <si>
    <t>Luca MARINI</t>
  </si>
  <si>
    <t>Johann ZARCO</t>
  </si>
  <si>
    <t>Franco MORBIDELLI</t>
  </si>
  <si>
    <t>Alex RINS</t>
  </si>
  <si>
    <t>Diogo MOREIRA</t>
  </si>
  <si>
    <t>Maverick VIÑALES</t>
  </si>
  <si>
    <t>Toprak RAZGATLIOGLU</t>
  </si>
  <si>
    <t>Francesco BAGNAIA</t>
  </si>
  <si>
    <t>Jack MILLER</t>
  </si>
  <si>
    <t>Fermin ALDEGUER</t>
  </si>
  <si>
    <t>MotoGP - Rider Lap Time Analysis</t>
  </si>
  <si>
    <t>Show</t>
  </si>
  <si>
    <t>Color</t>
  </si>
  <si>
    <t>#0070C0</t>
  </si>
  <si>
    <t>#C00000</t>
  </si>
  <si>
    <t>#00A651</t>
  </si>
  <si>
    <t>#7030A0</t>
  </si>
  <si>
    <t>#ED7D31</t>
  </si>
  <si>
    <t>#5B9BD5</t>
  </si>
  <si>
    <t>#A5A5A5</t>
  </si>
  <si>
    <t>#FFC000</t>
  </si>
  <si>
    <t>#4472C4</t>
  </si>
  <si>
    <t>#70AD47</t>
  </si>
  <si>
    <t>#264478</t>
  </si>
  <si>
    <t>#9E480E</t>
  </si>
  <si>
    <t>#636363</t>
  </si>
  <si>
    <t>#997300</t>
  </si>
  <si>
    <t>#255E91</t>
  </si>
  <si>
    <t>#43682B</t>
  </si>
  <si>
    <t>#6A5ACD</t>
  </si>
  <si>
    <t>#DC143C</t>
  </si>
  <si>
    <t>#008B8B</t>
  </si>
  <si>
    <t>#FF1493</t>
  </si>
  <si>
    <t>#8B4513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</si>
</sst>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m:ss.00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Progress'!$F$4:$F$30</c:f>
              <c:numCache>
                <c:formatCode>m:ss.000</c:formatCode>
                <c:ptCount val="27"/>
                <c:pt idx="0">
                  <c:v>1.0943750000000001E-3</c:v>
                </c:pt>
                <c:pt idx="1">
                  <c:v>1.050578703703704E-3</c:v>
                </c:pt>
                <c:pt idx="2">
                  <c:v>1.046319444444445E-3</c:v>
                </c:pt>
                <c:pt idx="3">
                  <c:v>1.0459143518518519E-3</c:v>
                </c:pt>
                <c:pt idx="4">
                  <c:v>1.042673611111111E-3</c:v>
                </c:pt>
                <c:pt idx="5">
                  <c:v>1.046064814814815E-3</c:v>
                </c:pt>
                <c:pt idx="6">
                  <c:v>1.043865740740741E-3</c:v>
                </c:pt>
                <c:pt idx="7">
                  <c:v>1.043194444444444E-3</c:v>
                </c:pt>
                <c:pt idx="8">
                  <c:v>1.0438888888888889E-3</c:v>
                </c:pt>
                <c:pt idx="9">
                  <c:v>1.0452546296296299E-3</c:v>
                </c:pt>
                <c:pt idx="10">
                  <c:v>1.0415625E-3</c:v>
                </c:pt>
                <c:pt idx="11">
                  <c:v>1.0429398148148149E-3</c:v>
                </c:pt>
                <c:pt idx="12">
                  <c:v>1.04337962962963E-3</c:v>
                </c:pt>
                <c:pt idx="13">
                  <c:v>1.043819444444444E-3</c:v>
                </c:pt>
                <c:pt idx="14">
                  <c:v>1.042384259259259E-3</c:v>
                </c:pt>
                <c:pt idx="15">
                  <c:v>1.0483449074074069E-3</c:v>
                </c:pt>
                <c:pt idx="16">
                  <c:v>1.04400462962963E-3</c:v>
                </c:pt>
                <c:pt idx="17">
                  <c:v>1.047627314814815E-3</c:v>
                </c:pt>
                <c:pt idx="18">
                  <c:v>1.0412037037037039E-3</c:v>
                </c:pt>
                <c:pt idx="19">
                  <c:v>1.048414351851852E-3</c:v>
                </c:pt>
                <c:pt idx="20">
                  <c:v>1.0462500000000001E-3</c:v>
                </c:pt>
                <c:pt idx="21">
                  <c:v>1.0528472222222219E-3</c:v>
                </c:pt>
                <c:pt idx="22">
                  <c:v>1.0523958333333329E-3</c:v>
                </c:pt>
                <c:pt idx="23">
                  <c:v>1.0516203703703701E-3</c:v>
                </c:pt>
                <c:pt idx="24">
                  <c:v>1.0543865740740739E-3</c:v>
                </c:pt>
                <c:pt idx="25">
                  <c:v>1.0546527777777781E-3</c:v>
                </c:pt>
                <c:pt idx="26">
                  <c:v>1.058958333333333E-3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9-4AAC-AF3C-B21DD4503664}"/>
            </c:ext>
          </c:extLst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Progress'!$G$4:$G$30</c:f>
              <c:numCache>
                <c:formatCode>m:ss.000</c:formatCode>
                <c:ptCount val="27"/>
                <c:pt idx="0">
                  <c:v>1.0880092592592591E-3</c:v>
                </c:pt>
                <c:pt idx="1">
                  <c:v>1.0465393518518521E-3</c:v>
                </c:pt>
                <c:pt idx="2">
                  <c:v>1.048449074074074E-3</c:v>
                </c:pt>
                <c:pt idx="3">
                  <c:v>1.0455439814814811E-3</c:v>
                </c:pt>
                <c:pt idx="4">
                  <c:v>1.041979166666667E-3</c:v>
                </c:pt>
                <c:pt idx="5">
                  <c:v>1.045775462962963E-3</c:v>
                </c:pt>
                <c:pt idx="6">
                  <c:v>1.0480092592592589E-3</c:v>
                </c:pt>
                <c:pt idx="7">
                  <c:v>1.0424884259259261E-3</c:v>
                </c:pt>
                <c:pt idx="8">
                  <c:v>1.0448379629629629E-3</c:v>
                </c:pt>
                <c:pt idx="9">
                  <c:v>1.0444675925925929E-3</c:v>
                </c:pt>
                <c:pt idx="10">
                  <c:v>1.042534722222222E-3</c:v>
                </c:pt>
                <c:pt idx="11">
                  <c:v>1.0426851851851849E-3</c:v>
                </c:pt>
                <c:pt idx="12">
                  <c:v>1.04494212962963E-3</c:v>
                </c:pt>
                <c:pt idx="13">
                  <c:v>1.0419444444444449E-3</c:v>
                </c:pt>
                <c:pt idx="14">
                  <c:v>1.045844907407407E-3</c:v>
                </c:pt>
                <c:pt idx="15">
                  <c:v>1.0458564814814809E-3</c:v>
                </c:pt>
                <c:pt idx="16">
                  <c:v>1.046759259259259E-3</c:v>
                </c:pt>
                <c:pt idx="17">
                  <c:v>1.048368055555555E-3</c:v>
                </c:pt>
                <c:pt idx="18">
                  <c:v>1.058969907407408E-3</c:v>
                </c:pt>
                <c:pt idx="19">
                  <c:v>1.052800925925926E-3</c:v>
                </c:pt>
                <c:pt idx="20">
                  <c:v>1.053252314814815E-3</c:v>
                </c:pt>
                <c:pt idx="21">
                  <c:v>1.053263888888889E-3</c:v>
                </c:pt>
                <c:pt idx="22">
                  <c:v>1.051655092592593E-3</c:v>
                </c:pt>
                <c:pt idx="23">
                  <c:v>1.05375E-3</c:v>
                </c:pt>
                <c:pt idx="24">
                  <c:v>1.056481481481482E-3</c:v>
                </c:pt>
                <c:pt idx="25">
                  <c:v>1.0612962962962961E-3</c:v>
                </c:pt>
                <c:pt idx="26">
                  <c:v>1.0697222222222219E-3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F9-4AAC-AF3C-B21DD4503664}"/>
            </c:ext>
          </c:extLst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00A651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Progress'!$H$4:$H$30</c:f>
              <c:numCache>
                <c:formatCode>m:ss.000</c:formatCode>
                <c:ptCount val="27"/>
                <c:pt idx="0">
                  <c:v>1.110046296296296E-3</c:v>
                </c:pt>
                <c:pt idx="1">
                  <c:v>1.052928240740741E-3</c:v>
                </c:pt>
                <c:pt idx="2">
                  <c:v>1.045972222222222E-3</c:v>
                </c:pt>
                <c:pt idx="3">
                  <c:v>1.046712962962963E-3</c:v>
                </c:pt>
                <c:pt idx="4">
                  <c:v>1.0448495370370371E-3</c:v>
                </c:pt>
                <c:pt idx="5">
                  <c:v>1.043333333333333E-3</c:v>
                </c:pt>
                <c:pt idx="6">
                  <c:v>1.0443402777777779E-3</c:v>
                </c:pt>
                <c:pt idx="7">
                  <c:v>1.046967592592593E-3</c:v>
                </c:pt>
                <c:pt idx="8">
                  <c:v>1.045405092592593E-3</c:v>
                </c:pt>
                <c:pt idx="9">
                  <c:v>1.04412037037037E-3</c:v>
                </c:pt>
                <c:pt idx="10">
                  <c:v>1.0452314814814821E-3</c:v>
                </c:pt>
                <c:pt idx="11">
                  <c:v>1.04568287037037E-3</c:v>
                </c:pt>
                <c:pt idx="12">
                  <c:v>1.0450462962962961E-3</c:v>
                </c:pt>
                <c:pt idx="13">
                  <c:v>1.0447106481481479E-3</c:v>
                </c:pt>
                <c:pt idx="14">
                  <c:v>1.044537037037037E-3</c:v>
                </c:pt>
                <c:pt idx="15">
                  <c:v>1.045069444444444E-3</c:v>
                </c:pt>
                <c:pt idx="16">
                  <c:v>1.046423611111111E-3</c:v>
                </c:pt>
                <c:pt idx="17">
                  <c:v>1.0494675925925929E-3</c:v>
                </c:pt>
                <c:pt idx="18">
                  <c:v>1.0513773148148151E-3</c:v>
                </c:pt>
                <c:pt idx="19">
                  <c:v>1.0487615740740739E-3</c:v>
                </c:pt>
                <c:pt idx="20">
                  <c:v>1.0514120370370369E-3</c:v>
                </c:pt>
                <c:pt idx="21">
                  <c:v>1.0538888888888889E-3</c:v>
                </c:pt>
                <c:pt idx="22">
                  <c:v>1.052673611111111E-3</c:v>
                </c:pt>
                <c:pt idx="23">
                  <c:v>1.054895833333333E-3</c:v>
                </c:pt>
                <c:pt idx="24">
                  <c:v>1.056018518518518E-3</c:v>
                </c:pt>
                <c:pt idx="25">
                  <c:v>1.0608333333333329E-3</c:v>
                </c:pt>
                <c:pt idx="26">
                  <c:v>1.0759606481481479E-3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F9-4AAC-AF3C-B21DD4503664}"/>
            </c:ext>
          </c:extLst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Progress'!$I$4:$I$30</c:f>
              <c:numCache>
                <c:formatCode>m:ss.000</c:formatCode>
                <c:ptCount val="27"/>
                <c:pt idx="0">
                  <c:v>1.1211574074074071E-3</c:v>
                </c:pt>
                <c:pt idx="1">
                  <c:v>1.057013888888889E-3</c:v>
                </c:pt>
                <c:pt idx="2">
                  <c:v>1.052731481481482E-3</c:v>
                </c:pt>
                <c:pt idx="3">
                  <c:v>1.049293981481482E-3</c:v>
                </c:pt>
                <c:pt idx="4">
                  <c:v>1.049699074074074E-3</c:v>
                </c:pt>
                <c:pt idx="5">
                  <c:v>1.0466203703703701E-3</c:v>
                </c:pt>
                <c:pt idx="6">
                  <c:v>1.0470370370370371E-3</c:v>
                </c:pt>
                <c:pt idx="7">
                  <c:v>1.045150462962963E-3</c:v>
                </c:pt>
                <c:pt idx="8">
                  <c:v>1.050196759259259E-3</c:v>
                </c:pt>
                <c:pt idx="9">
                  <c:v>1.046956018518518E-3</c:v>
                </c:pt>
                <c:pt idx="10">
                  <c:v>1.0471874999999999E-3</c:v>
                </c:pt>
                <c:pt idx="11">
                  <c:v>1.045636574074074E-3</c:v>
                </c:pt>
                <c:pt idx="12">
                  <c:v>1.0524884259259259E-3</c:v>
                </c:pt>
                <c:pt idx="13">
                  <c:v>1.047511574074074E-3</c:v>
                </c:pt>
                <c:pt idx="14">
                  <c:v>1.0472337962962961E-3</c:v>
                </c:pt>
                <c:pt idx="15">
                  <c:v>1.0501388888888891E-3</c:v>
                </c:pt>
                <c:pt idx="16">
                  <c:v>1.053946759259259E-3</c:v>
                </c:pt>
                <c:pt idx="17">
                  <c:v>1.051597222222222E-3</c:v>
                </c:pt>
                <c:pt idx="18">
                  <c:v>1.0560532407407411E-3</c:v>
                </c:pt>
                <c:pt idx="19">
                  <c:v>1.048715277777778E-3</c:v>
                </c:pt>
                <c:pt idx="20">
                  <c:v>1.049293981481482E-3</c:v>
                </c:pt>
                <c:pt idx="21">
                  <c:v>1.049826388888889E-3</c:v>
                </c:pt>
                <c:pt idx="22">
                  <c:v>1.049907407407407E-3</c:v>
                </c:pt>
                <c:pt idx="23">
                  <c:v>1.049733796296296E-3</c:v>
                </c:pt>
                <c:pt idx="24">
                  <c:v>1.056793981481481E-3</c:v>
                </c:pt>
                <c:pt idx="25">
                  <c:v>1.052430555555556E-3</c:v>
                </c:pt>
                <c:pt idx="26">
                  <c:v>1.051111111111111E-3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F9-4AAC-AF3C-B21DD4503664}"/>
            </c:ext>
          </c:extLst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Progress'!$J$4:$J$30</c:f>
              <c:numCache>
                <c:formatCode>m:ss.000</c:formatCode>
                <c:ptCount val="27"/>
                <c:pt idx="0">
                  <c:v>1.1190972222222221E-3</c:v>
                </c:pt>
                <c:pt idx="1">
                  <c:v>1.0505555555555561E-3</c:v>
                </c:pt>
                <c:pt idx="2">
                  <c:v>1.0479861111111111E-3</c:v>
                </c:pt>
                <c:pt idx="3">
                  <c:v>1.0446064814814821E-3</c:v>
                </c:pt>
                <c:pt idx="4">
                  <c:v>1.045972222222222E-3</c:v>
                </c:pt>
                <c:pt idx="5">
                  <c:v>1.0446296296296299E-3</c:v>
                </c:pt>
                <c:pt idx="6">
                  <c:v>1.048287037037037E-3</c:v>
                </c:pt>
                <c:pt idx="7">
                  <c:v>1.0479745370370369E-3</c:v>
                </c:pt>
                <c:pt idx="8">
                  <c:v>1.045868055555556E-3</c:v>
                </c:pt>
                <c:pt idx="9">
                  <c:v>1.0449652777777779E-3</c:v>
                </c:pt>
                <c:pt idx="10">
                  <c:v>1.0454976851851849E-3</c:v>
                </c:pt>
                <c:pt idx="11">
                  <c:v>1.043657407407407E-3</c:v>
                </c:pt>
                <c:pt idx="12">
                  <c:v>1.0614583333333331E-3</c:v>
                </c:pt>
                <c:pt idx="13">
                  <c:v>1.050034722222222E-3</c:v>
                </c:pt>
                <c:pt idx="14">
                  <c:v>1.052222222222222E-3</c:v>
                </c:pt>
                <c:pt idx="15">
                  <c:v>1.0479745370370369E-3</c:v>
                </c:pt>
                <c:pt idx="16">
                  <c:v>1.065092592592593E-3</c:v>
                </c:pt>
                <c:pt idx="17">
                  <c:v>1.052962962962963E-3</c:v>
                </c:pt>
                <c:pt idx="18">
                  <c:v>1.0514120370370369E-3</c:v>
                </c:pt>
                <c:pt idx="19">
                  <c:v>1.051550925925926E-3</c:v>
                </c:pt>
                <c:pt idx="20">
                  <c:v>1.0481481481481481E-3</c:v>
                </c:pt>
                <c:pt idx="21">
                  <c:v>1.052060185185185E-3</c:v>
                </c:pt>
                <c:pt idx="22">
                  <c:v>1.049988425925926E-3</c:v>
                </c:pt>
                <c:pt idx="23">
                  <c:v>1.0501041666666671E-3</c:v>
                </c:pt>
                <c:pt idx="24">
                  <c:v>1.0607523148148149E-3</c:v>
                </c:pt>
                <c:pt idx="25">
                  <c:v>1.0550462962962959E-3</c:v>
                </c:pt>
                <c:pt idx="26">
                  <c:v>1.048877314814815E-3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F9-4AAC-AF3C-B21DD4503664}"/>
            </c:ext>
          </c:extLst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Progress'!$K$4:$K$30</c:f>
              <c:numCache>
                <c:formatCode>m:ss.000</c:formatCode>
                <c:ptCount val="27"/>
                <c:pt idx="0">
                  <c:v>1.10125E-3</c:v>
                </c:pt>
                <c:pt idx="1">
                  <c:v>1.0546759259259259E-3</c:v>
                </c:pt>
                <c:pt idx="2">
                  <c:v>1.0562962962962961E-3</c:v>
                </c:pt>
                <c:pt idx="3">
                  <c:v>1.047928240740741E-3</c:v>
                </c:pt>
                <c:pt idx="4">
                  <c:v>1.046354166666667E-3</c:v>
                </c:pt>
                <c:pt idx="5">
                  <c:v>1.0443171296296301E-3</c:v>
                </c:pt>
                <c:pt idx="6">
                  <c:v>1.054363425925926E-3</c:v>
                </c:pt>
                <c:pt idx="7">
                  <c:v>1.047222222222222E-3</c:v>
                </c:pt>
                <c:pt idx="8">
                  <c:v>1.0459490740740739E-3</c:v>
                </c:pt>
                <c:pt idx="9">
                  <c:v>1.0461805555555561E-3</c:v>
                </c:pt>
                <c:pt idx="10">
                  <c:v>1.0459606481481481E-3</c:v>
                </c:pt>
                <c:pt idx="11">
                  <c:v>1.046273148148148E-3</c:v>
                </c:pt>
                <c:pt idx="12">
                  <c:v>1.051516203703704E-3</c:v>
                </c:pt>
                <c:pt idx="13">
                  <c:v>1.051273148148148E-3</c:v>
                </c:pt>
                <c:pt idx="14">
                  <c:v>1.0580208333333329E-3</c:v>
                </c:pt>
                <c:pt idx="15">
                  <c:v>1.0507986111111111E-3</c:v>
                </c:pt>
                <c:pt idx="16">
                  <c:v>1.056111111111111E-3</c:v>
                </c:pt>
                <c:pt idx="17">
                  <c:v>1.0529398148148149E-3</c:v>
                </c:pt>
                <c:pt idx="18">
                  <c:v>1.0512962962962961E-3</c:v>
                </c:pt>
                <c:pt idx="19">
                  <c:v>1.0552199074074071E-3</c:v>
                </c:pt>
                <c:pt idx="20">
                  <c:v>1.053055555555556E-3</c:v>
                </c:pt>
                <c:pt idx="21">
                  <c:v>1.052731481481482E-3</c:v>
                </c:pt>
                <c:pt idx="22">
                  <c:v>1.0508796296296299E-3</c:v>
                </c:pt>
                <c:pt idx="23">
                  <c:v>1.0520370370370371E-3</c:v>
                </c:pt>
                <c:pt idx="24">
                  <c:v>1.057060185185185E-3</c:v>
                </c:pt>
                <c:pt idx="25">
                  <c:v>1.052546296296296E-3</c:v>
                </c:pt>
                <c:pt idx="26">
                  <c:v>1.059409722222222E-3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F9-4AAC-AF3C-B21DD4503664}"/>
            </c:ext>
          </c:extLst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Progress'!$L$4:$L$30</c:f>
              <c:numCache>
                <c:formatCode>m:ss.000</c:formatCode>
                <c:ptCount val="27"/>
                <c:pt idx="0">
                  <c:v>1.116134259259259E-3</c:v>
                </c:pt>
                <c:pt idx="1">
                  <c:v>1.0579166666666671E-3</c:v>
                </c:pt>
                <c:pt idx="2">
                  <c:v>1.051805555555556E-3</c:v>
                </c:pt>
                <c:pt idx="3">
                  <c:v>1.048576388888889E-3</c:v>
                </c:pt>
                <c:pt idx="4">
                  <c:v>1.0476157407407411E-3</c:v>
                </c:pt>
                <c:pt idx="5">
                  <c:v>1.0453009259259261E-3</c:v>
                </c:pt>
                <c:pt idx="6">
                  <c:v>1.0494212962962959E-3</c:v>
                </c:pt>
                <c:pt idx="7">
                  <c:v>1.0490625000000001E-3</c:v>
                </c:pt>
                <c:pt idx="8">
                  <c:v>1.048449074074074E-3</c:v>
                </c:pt>
                <c:pt idx="9">
                  <c:v>1.0449652777777779E-3</c:v>
                </c:pt>
                <c:pt idx="10">
                  <c:v>1.0504166666666669E-3</c:v>
                </c:pt>
                <c:pt idx="11">
                  <c:v>1.0468981481481479E-3</c:v>
                </c:pt>
                <c:pt idx="12">
                  <c:v>1.0562847222222219E-3</c:v>
                </c:pt>
                <c:pt idx="13">
                  <c:v>1.0534374999999999E-3</c:v>
                </c:pt>
                <c:pt idx="14">
                  <c:v>1.052997685185185E-3</c:v>
                </c:pt>
                <c:pt idx="15">
                  <c:v>1.0540625000000001E-3</c:v>
                </c:pt>
                <c:pt idx="16">
                  <c:v>1.0534722222222219E-3</c:v>
                </c:pt>
                <c:pt idx="17">
                  <c:v>1.0508912037037041E-3</c:v>
                </c:pt>
                <c:pt idx="18">
                  <c:v>1.0522337962962959E-3</c:v>
                </c:pt>
                <c:pt idx="19">
                  <c:v>1.055023148148148E-3</c:v>
                </c:pt>
                <c:pt idx="20">
                  <c:v>1.0582870370370371E-3</c:v>
                </c:pt>
                <c:pt idx="21">
                  <c:v>1.0629050925925929E-3</c:v>
                </c:pt>
                <c:pt idx="22">
                  <c:v>1.0568287037037039E-3</c:v>
                </c:pt>
                <c:pt idx="23">
                  <c:v>1.0571643518518521E-3</c:v>
                </c:pt>
                <c:pt idx="24">
                  <c:v>1.0576504629629629E-3</c:v>
                </c:pt>
                <c:pt idx="25">
                  <c:v>1.0656249999999999E-3</c:v>
                </c:pt>
                <c:pt idx="26">
                  <c:v>1.0681828703703699E-3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F9-4AAC-AF3C-B21DD4503664}"/>
            </c:ext>
          </c:extLst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Progress'!$M$4:$M$30</c:f>
              <c:numCache>
                <c:formatCode>m:ss.000</c:formatCode>
                <c:ptCount val="27"/>
                <c:pt idx="0">
                  <c:v>1.1085879629629629E-3</c:v>
                </c:pt>
                <c:pt idx="1">
                  <c:v>1.058923611111111E-3</c:v>
                </c:pt>
                <c:pt idx="2">
                  <c:v>1.0520023148148151E-3</c:v>
                </c:pt>
                <c:pt idx="3">
                  <c:v>1.0489699074074071E-3</c:v>
                </c:pt>
                <c:pt idx="4">
                  <c:v>1.047141203703704E-3</c:v>
                </c:pt>
                <c:pt idx="5">
                  <c:v>1.0463425925925931E-3</c:v>
                </c:pt>
                <c:pt idx="6">
                  <c:v>1.0461805555555561E-3</c:v>
                </c:pt>
                <c:pt idx="7">
                  <c:v>1.0493518518518521E-3</c:v>
                </c:pt>
                <c:pt idx="8">
                  <c:v>1.048090277777778E-3</c:v>
                </c:pt>
                <c:pt idx="9">
                  <c:v>1.0470023148148151E-3</c:v>
                </c:pt>
                <c:pt idx="10">
                  <c:v>1.0446296296296299E-3</c:v>
                </c:pt>
                <c:pt idx="11">
                  <c:v>1.044490740740741E-3</c:v>
                </c:pt>
                <c:pt idx="12">
                  <c:v>1.0617939814814811E-3</c:v>
                </c:pt>
                <c:pt idx="13">
                  <c:v>1.048217592592593E-3</c:v>
                </c:pt>
                <c:pt idx="14">
                  <c:v>1.049664351851852E-3</c:v>
                </c:pt>
                <c:pt idx="15">
                  <c:v>1.050185185185185E-3</c:v>
                </c:pt>
                <c:pt idx="16">
                  <c:v>1.057719907407407E-3</c:v>
                </c:pt>
                <c:pt idx="17">
                  <c:v>1.058518518518519E-3</c:v>
                </c:pt>
                <c:pt idx="18">
                  <c:v>1.0568287037037039E-3</c:v>
                </c:pt>
                <c:pt idx="19">
                  <c:v>1.0565046296296299E-3</c:v>
                </c:pt>
                <c:pt idx="20">
                  <c:v>1.0589814814814811E-3</c:v>
                </c:pt>
                <c:pt idx="21">
                  <c:v>1.0695254629629631E-3</c:v>
                </c:pt>
                <c:pt idx="22">
                  <c:v>1.0749537037037041E-3</c:v>
                </c:pt>
                <c:pt idx="23">
                  <c:v>1.0682060185185189E-3</c:v>
                </c:pt>
                <c:pt idx="24">
                  <c:v>1.061643518518518E-3</c:v>
                </c:pt>
                <c:pt idx="25">
                  <c:v>1.0674305555555561E-3</c:v>
                </c:pt>
                <c:pt idx="26">
                  <c:v>1.064664351851852E-3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F9-4AAC-AF3C-B21DD4503664}"/>
            </c:ext>
          </c:extLst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Progress'!$N$4:$N$30</c:f>
              <c:numCache>
                <c:formatCode>m:ss.000</c:formatCode>
                <c:ptCount val="27"/>
                <c:pt idx="0">
                  <c:v>1.127430555555556E-3</c:v>
                </c:pt>
                <c:pt idx="1">
                  <c:v>1.0648842592592589E-3</c:v>
                </c:pt>
                <c:pt idx="2">
                  <c:v>1.057430555555556E-3</c:v>
                </c:pt>
                <c:pt idx="3">
                  <c:v>1.0567129629629631E-3</c:v>
                </c:pt>
                <c:pt idx="4">
                  <c:v>1.055706018518519E-3</c:v>
                </c:pt>
                <c:pt idx="5">
                  <c:v>1.054907407407407E-3</c:v>
                </c:pt>
                <c:pt idx="6">
                  <c:v>1.053587962962963E-3</c:v>
                </c:pt>
                <c:pt idx="7">
                  <c:v>1.053252314814815E-3</c:v>
                </c:pt>
                <c:pt idx="8">
                  <c:v>1.0526620370370371E-3</c:v>
                </c:pt>
                <c:pt idx="9">
                  <c:v>1.0509490740740739E-3</c:v>
                </c:pt>
                <c:pt idx="10">
                  <c:v>1.0511805555555561E-3</c:v>
                </c:pt>
                <c:pt idx="11">
                  <c:v>1.0532291666666669E-3</c:v>
                </c:pt>
                <c:pt idx="12">
                  <c:v>1.0550925925925921E-3</c:v>
                </c:pt>
                <c:pt idx="13">
                  <c:v>1.052094907407407E-3</c:v>
                </c:pt>
                <c:pt idx="14">
                  <c:v>1.0508912037037041E-3</c:v>
                </c:pt>
                <c:pt idx="15">
                  <c:v>1.0536458333333331E-3</c:v>
                </c:pt>
                <c:pt idx="16">
                  <c:v>1.0552083333333329E-3</c:v>
                </c:pt>
                <c:pt idx="17">
                  <c:v>1.053368055555555E-3</c:v>
                </c:pt>
                <c:pt idx="18">
                  <c:v>1.0559143518518519E-3</c:v>
                </c:pt>
                <c:pt idx="19">
                  <c:v>1.0529166666666671E-3</c:v>
                </c:pt>
                <c:pt idx="20">
                  <c:v>1.0535995370370369E-3</c:v>
                </c:pt>
                <c:pt idx="21">
                  <c:v>1.054733796296296E-3</c:v>
                </c:pt>
                <c:pt idx="22">
                  <c:v>1.0539004629629631E-3</c:v>
                </c:pt>
                <c:pt idx="23">
                  <c:v>1.0524537037037041E-3</c:v>
                </c:pt>
                <c:pt idx="24">
                  <c:v>1.0563310185185189E-3</c:v>
                </c:pt>
                <c:pt idx="25">
                  <c:v>1.058229166666667E-3</c:v>
                </c:pt>
                <c:pt idx="26">
                  <c:v>1.0580787037037041E-3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F9-4AAC-AF3C-B21DD4503664}"/>
            </c:ext>
          </c:extLst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Progress'!$O$4:$O$30</c:f>
              <c:numCache>
                <c:formatCode>m:ss.000</c:formatCode>
                <c:ptCount val="27"/>
                <c:pt idx="0">
                  <c:v>1.1316087962962959E-3</c:v>
                </c:pt>
                <c:pt idx="1">
                  <c:v>1.066446759259259E-3</c:v>
                </c:pt>
                <c:pt idx="2">
                  <c:v>1.061099537037037E-3</c:v>
                </c:pt>
                <c:pt idx="3">
                  <c:v>1.054756944444445E-3</c:v>
                </c:pt>
                <c:pt idx="4">
                  <c:v>1.0542708333333331E-3</c:v>
                </c:pt>
                <c:pt idx="5">
                  <c:v>1.05630787037037E-3</c:v>
                </c:pt>
                <c:pt idx="6">
                  <c:v>1.0547106481481479E-3</c:v>
                </c:pt>
                <c:pt idx="7">
                  <c:v>1.05275462962963E-3</c:v>
                </c:pt>
                <c:pt idx="8">
                  <c:v>1.0555324074074069E-3</c:v>
                </c:pt>
                <c:pt idx="9">
                  <c:v>1.0550115740740741E-3</c:v>
                </c:pt>
                <c:pt idx="10">
                  <c:v>1.065775462962963E-3</c:v>
                </c:pt>
                <c:pt idx="11">
                  <c:v>1.0556712962962961E-3</c:v>
                </c:pt>
                <c:pt idx="12">
                  <c:v>1.052175925925926E-3</c:v>
                </c:pt>
                <c:pt idx="13">
                  <c:v>1.0578124999999999E-3</c:v>
                </c:pt>
                <c:pt idx="14">
                  <c:v>1.0548032407407409E-3</c:v>
                </c:pt>
                <c:pt idx="15">
                  <c:v>1.0530208333333329E-3</c:v>
                </c:pt>
                <c:pt idx="16">
                  <c:v>1.0509143518518519E-3</c:v>
                </c:pt>
                <c:pt idx="17">
                  <c:v>1.0485300925925931E-3</c:v>
                </c:pt>
                <c:pt idx="18">
                  <c:v>1.0504629629629629E-3</c:v>
                </c:pt>
                <c:pt idx="19">
                  <c:v>1.0513310185185181E-3</c:v>
                </c:pt>
                <c:pt idx="20">
                  <c:v>1.050185185185185E-3</c:v>
                </c:pt>
                <c:pt idx="21">
                  <c:v>1.0526851851851849E-3</c:v>
                </c:pt>
                <c:pt idx="22">
                  <c:v>1.052511574074074E-3</c:v>
                </c:pt>
                <c:pt idx="23">
                  <c:v>1.0495601851851851E-3</c:v>
                </c:pt>
                <c:pt idx="24">
                  <c:v>1.061724537037037E-3</c:v>
                </c:pt>
                <c:pt idx="25">
                  <c:v>1.0566087962962959E-3</c:v>
                </c:pt>
                <c:pt idx="26">
                  <c:v>1.054988425925926E-3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F9-4AAC-AF3C-B21DD4503664}"/>
            </c:ext>
          </c:extLst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264478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Progress'!$P$4:$P$30</c:f>
              <c:numCache>
                <c:formatCode>m:ss.000</c:formatCode>
                <c:ptCount val="27"/>
                <c:pt idx="0">
                  <c:v>1.1296875E-3</c:v>
                </c:pt>
                <c:pt idx="1">
                  <c:v>1.0647685185185181E-3</c:v>
                </c:pt>
                <c:pt idx="2">
                  <c:v>1.0572800925925929E-3</c:v>
                </c:pt>
                <c:pt idx="3">
                  <c:v>1.0565509259259261E-3</c:v>
                </c:pt>
                <c:pt idx="4">
                  <c:v>1.0556365740740741E-3</c:v>
                </c:pt>
                <c:pt idx="5">
                  <c:v>1.05837962962963E-3</c:v>
                </c:pt>
                <c:pt idx="6">
                  <c:v>1.0527199074074069E-3</c:v>
                </c:pt>
                <c:pt idx="7">
                  <c:v>1.053819444444444E-3</c:v>
                </c:pt>
                <c:pt idx="8">
                  <c:v>1.052268518518519E-3</c:v>
                </c:pt>
                <c:pt idx="9">
                  <c:v>1.0513425925925931E-3</c:v>
                </c:pt>
                <c:pt idx="10">
                  <c:v>1.0505555555555561E-3</c:v>
                </c:pt>
                <c:pt idx="11">
                  <c:v>1.053912037037037E-3</c:v>
                </c:pt>
                <c:pt idx="12">
                  <c:v>1.054699074074074E-3</c:v>
                </c:pt>
                <c:pt idx="13">
                  <c:v>1.0548726851851849E-3</c:v>
                </c:pt>
                <c:pt idx="14">
                  <c:v>1.0510879629629631E-3</c:v>
                </c:pt>
                <c:pt idx="15">
                  <c:v>1.053090277777778E-3</c:v>
                </c:pt>
                <c:pt idx="16">
                  <c:v>1.05556712962963E-3</c:v>
                </c:pt>
                <c:pt idx="17">
                  <c:v>1.055983796296296E-3</c:v>
                </c:pt>
                <c:pt idx="18">
                  <c:v>1.061608796296296E-3</c:v>
                </c:pt>
                <c:pt idx="19">
                  <c:v>1.0545833333333329E-3</c:v>
                </c:pt>
                <c:pt idx="20">
                  <c:v>1.053136574074074E-3</c:v>
                </c:pt>
                <c:pt idx="21">
                  <c:v>1.053287037037037E-3</c:v>
                </c:pt>
                <c:pt idx="22">
                  <c:v>1.05787037037037E-3</c:v>
                </c:pt>
                <c:pt idx="23">
                  <c:v>1.0532754629629631E-3</c:v>
                </c:pt>
                <c:pt idx="24">
                  <c:v>1.0577893518518521E-3</c:v>
                </c:pt>
                <c:pt idx="25">
                  <c:v>1.0586458333333331E-3</c:v>
                </c:pt>
                <c:pt idx="26">
                  <c:v>1.0581134259259261E-3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F9-4AAC-AF3C-B21DD4503664}"/>
            </c:ext>
          </c:extLst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9E480E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Progress'!$Q$4:$Q$30</c:f>
              <c:numCache>
                <c:formatCode>m:ss.000</c:formatCode>
                <c:ptCount val="27"/>
                <c:pt idx="0">
                  <c:v>1.1230092592592589E-3</c:v>
                </c:pt>
                <c:pt idx="1">
                  <c:v>1.060127314814815E-3</c:v>
                </c:pt>
                <c:pt idx="2">
                  <c:v>1.0552083333333329E-3</c:v>
                </c:pt>
                <c:pt idx="3">
                  <c:v>1.056319444444445E-3</c:v>
                </c:pt>
                <c:pt idx="4">
                  <c:v>1.0522453703703701E-3</c:v>
                </c:pt>
                <c:pt idx="5">
                  <c:v>1.052627314814815E-3</c:v>
                </c:pt>
                <c:pt idx="6">
                  <c:v>1.053831018518519E-3</c:v>
                </c:pt>
                <c:pt idx="7">
                  <c:v>1.053090277777778E-3</c:v>
                </c:pt>
                <c:pt idx="8">
                  <c:v>1.0553009259259259E-3</c:v>
                </c:pt>
                <c:pt idx="9">
                  <c:v>1.054861111111111E-3</c:v>
                </c:pt>
                <c:pt idx="10">
                  <c:v>1.0540509259259259E-3</c:v>
                </c:pt>
                <c:pt idx="11">
                  <c:v>1.055439814814815E-3</c:v>
                </c:pt>
                <c:pt idx="12">
                  <c:v>1.0537268518518519E-3</c:v>
                </c:pt>
                <c:pt idx="13">
                  <c:v>1.053298611111111E-3</c:v>
                </c:pt>
                <c:pt idx="14">
                  <c:v>1.0530671296296299E-3</c:v>
                </c:pt>
                <c:pt idx="15">
                  <c:v>1.05505787037037E-3</c:v>
                </c:pt>
                <c:pt idx="16">
                  <c:v>1.056111111111111E-3</c:v>
                </c:pt>
                <c:pt idx="17">
                  <c:v>1.0526967592592591E-3</c:v>
                </c:pt>
                <c:pt idx="18">
                  <c:v>1.0606018518518521E-3</c:v>
                </c:pt>
                <c:pt idx="19">
                  <c:v>1.057638888888889E-3</c:v>
                </c:pt>
                <c:pt idx="20">
                  <c:v>1.0547222222222221E-3</c:v>
                </c:pt>
                <c:pt idx="21">
                  <c:v>1.0536921296296299E-3</c:v>
                </c:pt>
                <c:pt idx="22">
                  <c:v>1.0568287037037039E-3</c:v>
                </c:pt>
                <c:pt idx="23">
                  <c:v>1.053217592592593E-3</c:v>
                </c:pt>
                <c:pt idx="24">
                  <c:v>1.061805555555555E-3</c:v>
                </c:pt>
                <c:pt idx="25">
                  <c:v>1.070543981481482E-3</c:v>
                </c:pt>
                <c:pt idx="26">
                  <c:v>1.060023148148148E-3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F9-4AAC-AF3C-B21DD4503664}"/>
            </c:ext>
          </c:extLst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636363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Progress'!$R$4:$R$30</c:f>
              <c:numCache>
                <c:formatCode>m:ss.000</c:formatCode>
                <c:ptCount val="27"/>
                <c:pt idx="0">
                  <c:v>1.132546296296296E-3</c:v>
                </c:pt>
                <c:pt idx="1">
                  <c:v>1.068587962962963E-3</c:v>
                </c:pt>
                <c:pt idx="2">
                  <c:v>1.0612152777777779E-3</c:v>
                </c:pt>
                <c:pt idx="3">
                  <c:v>1.057581018518518E-3</c:v>
                </c:pt>
                <c:pt idx="4">
                  <c:v>1.0539236111111109E-3</c:v>
                </c:pt>
                <c:pt idx="5">
                  <c:v>1.054664351851852E-3</c:v>
                </c:pt>
                <c:pt idx="6">
                  <c:v>1.0579050925925929E-3</c:v>
                </c:pt>
                <c:pt idx="7">
                  <c:v>1.0547106481481479E-3</c:v>
                </c:pt>
                <c:pt idx="8">
                  <c:v>1.0531018518518519E-3</c:v>
                </c:pt>
                <c:pt idx="9">
                  <c:v>1.0541435185185181E-3</c:v>
                </c:pt>
                <c:pt idx="10">
                  <c:v>1.0529398148148149E-3</c:v>
                </c:pt>
                <c:pt idx="11">
                  <c:v>1.0574074074074071E-3</c:v>
                </c:pt>
                <c:pt idx="12">
                  <c:v>1.055150462962963E-3</c:v>
                </c:pt>
                <c:pt idx="13">
                  <c:v>1.063136574074074E-3</c:v>
                </c:pt>
                <c:pt idx="14">
                  <c:v>1.0536342592592589E-3</c:v>
                </c:pt>
                <c:pt idx="15">
                  <c:v>1.0539004629629631E-3</c:v>
                </c:pt>
                <c:pt idx="16">
                  <c:v>1.0509143518518519E-3</c:v>
                </c:pt>
                <c:pt idx="17">
                  <c:v>1.0505902777777779E-3</c:v>
                </c:pt>
                <c:pt idx="18">
                  <c:v>1.051550925925926E-3</c:v>
                </c:pt>
                <c:pt idx="19">
                  <c:v>1.051597222222222E-3</c:v>
                </c:pt>
                <c:pt idx="20">
                  <c:v>1.0521296296296301E-3</c:v>
                </c:pt>
                <c:pt idx="21">
                  <c:v>1.050983796296296E-3</c:v>
                </c:pt>
                <c:pt idx="22">
                  <c:v>1.054571759259259E-3</c:v>
                </c:pt>
                <c:pt idx="23">
                  <c:v>1.055451388888889E-3</c:v>
                </c:pt>
                <c:pt idx="24">
                  <c:v>1.0711342592592591E-3</c:v>
                </c:pt>
                <c:pt idx="25">
                  <c:v>1.074907407407407E-3</c:v>
                </c:pt>
                <c:pt idx="26">
                  <c:v>1.072476851851852E-3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F9-4AAC-AF3C-B21DD4503664}"/>
            </c:ext>
          </c:extLst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997300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Progress'!$S$4:$S$30</c:f>
              <c:numCache>
                <c:formatCode>m:ss.000</c:formatCode>
                <c:ptCount val="27"/>
                <c:pt idx="0">
                  <c:v>1.1450925925925929E-3</c:v>
                </c:pt>
                <c:pt idx="1">
                  <c:v>1.0742361111111111E-3</c:v>
                </c:pt>
                <c:pt idx="2">
                  <c:v>1.062800925925926E-3</c:v>
                </c:pt>
                <c:pt idx="3">
                  <c:v>1.0615162037037041E-3</c:v>
                </c:pt>
                <c:pt idx="4">
                  <c:v>1.057106481481482E-3</c:v>
                </c:pt>
                <c:pt idx="5">
                  <c:v>1.052476851851852E-3</c:v>
                </c:pt>
                <c:pt idx="6">
                  <c:v>1.0525231481481479E-3</c:v>
                </c:pt>
                <c:pt idx="7">
                  <c:v>1.0488657407407411E-3</c:v>
                </c:pt>
                <c:pt idx="8">
                  <c:v>1.051064814814815E-3</c:v>
                </c:pt>
                <c:pt idx="9">
                  <c:v>1.052638888888889E-3</c:v>
                </c:pt>
                <c:pt idx="10">
                  <c:v>1.0592939814814809E-3</c:v>
                </c:pt>
                <c:pt idx="11">
                  <c:v>1.056261574074074E-3</c:v>
                </c:pt>
                <c:pt idx="12">
                  <c:v>1.0567129629629631E-3</c:v>
                </c:pt>
                <c:pt idx="13">
                  <c:v>1.0592708333333331E-3</c:v>
                </c:pt>
                <c:pt idx="14">
                  <c:v>1.059282407407407E-3</c:v>
                </c:pt>
                <c:pt idx="15">
                  <c:v>1.0593171296296301E-3</c:v>
                </c:pt>
                <c:pt idx="16">
                  <c:v>1.0555324074074069E-3</c:v>
                </c:pt>
                <c:pt idx="17">
                  <c:v>1.0562037037037039E-3</c:v>
                </c:pt>
                <c:pt idx="18">
                  <c:v>1.0562037037037039E-3</c:v>
                </c:pt>
                <c:pt idx="19">
                  <c:v>1.0614120370370369E-3</c:v>
                </c:pt>
                <c:pt idx="20">
                  <c:v>1.061608796296296E-3</c:v>
                </c:pt>
                <c:pt idx="21">
                  <c:v>1.0566666666666669E-3</c:v>
                </c:pt>
                <c:pt idx="22">
                  <c:v>1.056469907407407E-3</c:v>
                </c:pt>
                <c:pt idx="23">
                  <c:v>1.0553125E-3</c:v>
                </c:pt>
                <c:pt idx="24">
                  <c:v>1.0583101851851849E-3</c:v>
                </c:pt>
                <c:pt idx="25">
                  <c:v>1.0609143518518519E-3</c:v>
                </c:pt>
                <c:pt idx="26">
                  <c:v>1.054039351851852E-3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F9-4AAC-AF3C-B21DD4503664}"/>
            </c:ext>
          </c:extLst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255E91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Progress'!$T$4:$T$30</c:f>
              <c:numCache>
                <c:formatCode>m:ss.000</c:formatCode>
                <c:ptCount val="27"/>
                <c:pt idx="0">
                  <c:v>1.1355324074074069E-3</c:v>
                </c:pt>
                <c:pt idx="1">
                  <c:v>1.0646180555555561E-3</c:v>
                </c:pt>
                <c:pt idx="2">
                  <c:v>1.061076388888889E-3</c:v>
                </c:pt>
                <c:pt idx="3">
                  <c:v>1.054988425925926E-3</c:v>
                </c:pt>
                <c:pt idx="4">
                  <c:v>1.0548726851851849E-3</c:v>
                </c:pt>
                <c:pt idx="5">
                  <c:v>1.055439814814815E-3</c:v>
                </c:pt>
                <c:pt idx="6">
                  <c:v>1.0549652777777779E-3</c:v>
                </c:pt>
                <c:pt idx="7">
                  <c:v>1.0567013888888889E-3</c:v>
                </c:pt>
                <c:pt idx="8">
                  <c:v>1.0528124999999999E-3</c:v>
                </c:pt>
                <c:pt idx="9">
                  <c:v>1.0558796296296291E-3</c:v>
                </c:pt>
                <c:pt idx="10">
                  <c:v>1.052708333333333E-3</c:v>
                </c:pt>
                <c:pt idx="11">
                  <c:v>1.0553009259259259E-3</c:v>
                </c:pt>
                <c:pt idx="12">
                  <c:v>1.0573726851851851E-3</c:v>
                </c:pt>
                <c:pt idx="13">
                  <c:v>1.0696412037037039E-3</c:v>
                </c:pt>
                <c:pt idx="14">
                  <c:v>1.055081018518519E-3</c:v>
                </c:pt>
                <c:pt idx="15">
                  <c:v>1.055949074074074E-3</c:v>
                </c:pt>
                <c:pt idx="16">
                  <c:v>1.05849537037037E-3</c:v>
                </c:pt>
                <c:pt idx="17">
                  <c:v>1.058819444444444E-3</c:v>
                </c:pt>
                <c:pt idx="18">
                  <c:v>1.0612499999999999E-3</c:v>
                </c:pt>
                <c:pt idx="19">
                  <c:v>1.0649305555555559E-3</c:v>
                </c:pt>
                <c:pt idx="20">
                  <c:v>1.0700231481481481E-3</c:v>
                </c:pt>
                <c:pt idx="21">
                  <c:v>1.0619560185185189E-3</c:v>
                </c:pt>
                <c:pt idx="22">
                  <c:v>1.060775462962963E-3</c:v>
                </c:pt>
                <c:pt idx="23">
                  <c:v>1.0645486111111109E-3</c:v>
                </c:pt>
                <c:pt idx="24">
                  <c:v>1.0626967592592591E-3</c:v>
                </c:pt>
                <c:pt idx="25">
                  <c:v>1.0648148148148151E-3</c:v>
                </c:pt>
                <c:pt idx="26">
                  <c:v>1.0621296296296301E-3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F9-4AAC-AF3C-B21DD4503664}"/>
            </c:ext>
          </c:extLst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43682B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Progress'!$U$4:$U$30</c:f>
              <c:numCache>
                <c:formatCode>m:ss.000</c:formatCode>
                <c:ptCount val="27"/>
                <c:pt idx="0">
                  <c:v>1.145694444444444E-3</c:v>
                </c:pt>
                <c:pt idx="1">
                  <c:v>1.0651851851851851E-3</c:v>
                </c:pt>
                <c:pt idx="2">
                  <c:v>1.060115740740741E-3</c:v>
                </c:pt>
                <c:pt idx="3">
                  <c:v>1.0561805555555561E-3</c:v>
                </c:pt>
                <c:pt idx="4">
                  <c:v>1.0548495370370371E-3</c:v>
                </c:pt>
                <c:pt idx="5">
                  <c:v>1.052893518518519E-3</c:v>
                </c:pt>
                <c:pt idx="6">
                  <c:v>1.0567476851851851E-3</c:v>
                </c:pt>
                <c:pt idx="7">
                  <c:v>1.054444444444444E-3</c:v>
                </c:pt>
                <c:pt idx="8">
                  <c:v>1.054861111111111E-3</c:v>
                </c:pt>
                <c:pt idx="9">
                  <c:v>1.054930555555555E-3</c:v>
                </c:pt>
                <c:pt idx="10">
                  <c:v>1.0586921296296299E-3</c:v>
                </c:pt>
                <c:pt idx="11">
                  <c:v>1.054606481481481E-3</c:v>
                </c:pt>
                <c:pt idx="12">
                  <c:v>1.0587615740740739E-3</c:v>
                </c:pt>
                <c:pt idx="13">
                  <c:v>1.0593171296296301E-3</c:v>
                </c:pt>
                <c:pt idx="14">
                  <c:v>1.065821759259259E-3</c:v>
                </c:pt>
                <c:pt idx="15">
                  <c:v>1.0613425925925929E-3</c:v>
                </c:pt>
                <c:pt idx="16">
                  <c:v>1.0606018518518521E-3</c:v>
                </c:pt>
                <c:pt idx="17">
                  <c:v>1.061145833333333E-3</c:v>
                </c:pt>
                <c:pt idx="18">
                  <c:v>1.059768518518518E-3</c:v>
                </c:pt>
                <c:pt idx="19">
                  <c:v>1.061331018518519E-3</c:v>
                </c:pt>
                <c:pt idx="20">
                  <c:v>1.062025462962963E-3</c:v>
                </c:pt>
                <c:pt idx="21">
                  <c:v>1.059733796296296E-3</c:v>
                </c:pt>
                <c:pt idx="22">
                  <c:v>1.059826388888889E-3</c:v>
                </c:pt>
                <c:pt idx="23">
                  <c:v>1.064699074074074E-3</c:v>
                </c:pt>
                <c:pt idx="24">
                  <c:v>1.064907407407407E-3</c:v>
                </c:pt>
                <c:pt idx="25">
                  <c:v>1.068726851851852E-3</c:v>
                </c:pt>
                <c:pt idx="26">
                  <c:v>1.0751736111111109E-3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5F9-4AAC-AF3C-B21DD4503664}"/>
            </c:ext>
          </c:extLst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6A5ACD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Progress'!$V$4:$V$30</c:f>
              <c:numCache>
                <c:formatCode>m:ss.000</c:formatCode>
                <c:ptCount val="27"/>
                <c:pt idx="0">
                  <c:v>1.151574074074074E-3</c:v>
                </c:pt>
                <c:pt idx="1">
                  <c:v>1.0994097222222221E-3</c:v>
                </c:pt>
                <c:pt idx="2">
                  <c:v>1.071412037037037E-3</c:v>
                </c:pt>
                <c:pt idx="3">
                  <c:v>1.066689814814815E-3</c:v>
                </c:pt>
                <c:pt idx="4">
                  <c:v>1.067939814814815E-3</c:v>
                </c:pt>
                <c:pt idx="5">
                  <c:v>1.071956018518519E-3</c:v>
                </c:pt>
                <c:pt idx="6">
                  <c:v>1.0719444444444439E-3</c:v>
                </c:pt>
                <c:pt idx="7">
                  <c:v>1.063715277777778E-3</c:v>
                </c:pt>
                <c:pt idx="8">
                  <c:v>1.065810185185185E-3</c:v>
                </c:pt>
                <c:pt idx="9">
                  <c:v>1.0608796296296291E-3</c:v>
                </c:pt>
                <c:pt idx="10">
                  <c:v>1.0619675925925931E-3</c:v>
                </c:pt>
                <c:pt idx="11">
                  <c:v>1.061226851851852E-3</c:v>
                </c:pt>
                <c:pt idx="12">
                  <c:v>1.070127314814815E-3</c:v>
                </c:pt>
                <c:pt idx="13">
                  <c:v>1.071030092592593E-3</c:v>
                </c:pt>
                <c:pt idx="14">
                  <c:v>1.0645254629629631E-3</c:v>
                </c:pt>
                <c:pt idx="15">
                  <c:v>1.059895833333333E-3</c:v>
                </c:pt>
                <c:pt idx="16">
                  <c:v>1.058298611111111E-3</c:v>
                </c:pt>
                <c:pt idx="17">
                  <c:v>1.0599768518518521E-3</c:v>
                </c:pt>
                <c:pt idx="18">
                  <c:v>1.06119212962963E-3</c:v>
                </c:pt>
                <c:pt idx="19">
                  <c:v>1.0693518518518519E-3</c:v>
                </c:pt>
                <c:pt idx="20">
                  <c:v>1.0606018518518521E-3</c:v>
                </c:pt>
                <c:pt idx="21">
                  <c:v>1.0582407407407411E-3</c:v>
                </c:pt>
                <c:pt idx="22">
                  <c:v>1.0588310185185191E-3</c:v>
                </c:pt>
                <c:pt idx="23">
                  <c:v>1.0603009259259259E-3</c:v>
                </c:pt>
                <c:pt idx="24">
                  <c:v>1.066076388888889E-3</c:v>
                </c:pt>
                <c:pt idx="25">
                  <c:v>1.097407407407407E-3</c:v>
                </c:pt>
                <c:pt idx="26">
                  <c:v>1.1300115740740741E-3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F9-4AAC-AF3C-B21DD4503664}"/>
            </c:ext>
          </c:extLst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DC143C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Progress'!$W$4:$W$30</c:f>
              <c:numCache>
                <c:formatCode>m:ss.000</c:formatCode>
                <c:ptCount val="27"/>
                <c:pt idx="0">
                  <c:v>1.1457175925925921E-3</c:v>
                </c:pt>
                <c:pt idx="1">
                  <c:v>1.068680555555556E-3</c:v>
                </c:pt>
                <c:pt idx="2">
                  <c:v>1.0657638888888891E-3</c:v>
                </c:pt>
                <c:pt idx="3">
                  <c:v>1.060023148148148E-3</c:v>
                </c:pt>
                <c:pt idx="4">
                  <c:v>1.0654282407407409E-3</c:v>
                </c:pt>
                <c:pt idx="5">
                  <c:v>1.0634143518518521E-3</c:v>
                </c:pt>
                <c:pt idx="6">
                  <c:v>1.0650578703703701E-3</c:v>
                </c:pt>
                <c:pt idx="7">
                  <c:v>1.0967708333333331E-3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F9-4AAC-AF3C-B21DD4503664}"/>
            </c:ext>
          </c:extLst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008B8B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Progress'!$X$4:$X$30</c:f>
              <c:numCache>
                <c:formatCode>m:ss.000</c:formatCode>
                <c:ptCount val="27"/>
                <c:pt idx="0">
                  <c:v>1.126331018518518E-3</c:v>
                </c:pt>
                <c:pt idx="1">
                  <c:v>1.0641898148148149E-3</c:v>
                </c:pt>
                <c:pt idx="2">
                  <c:v>1.057152777777778E-3</c:v>
                </c:pt>
                <c:pt idx="3">
                  <c:v>1.0564467592592589E-3</c:v>
                </c:pt>
                <c:pt idx="4">
                  <c:v>1.054074074074074E-3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F9-4AAC-AF3C-B21DD4503664}"/>
            </c:ext>
          </c:extLst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FF1493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Progress'!$Y$4:$Y$30</c:f>
              <c:numCache>
                <c:formatCode>m:ss.000</c:formatCode>
                <c:ptCount val="27"/>
                <c:pt idx="0">
                  <c:v>1.136516203703704E-3</c:v>
                </c:pt>
                <c:pt idx="1">
                  <c:v>1.06630787037037E-3</c:v>
                </c:pt>
                <c:pt idx="2">
                  <c:v>1.0627777777777779E-3</c:v>
                </c:pt>
                <c:pt idx="3">
                  <c:v>1.057847222222222E-3</c:v>
                </c:pt>
                <c:pt idx="4">
                  <c:v>1.0653125000000001E-3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F9-4AAC-AF3C-B21DD4503664}"/>
            </c:ext>
          </c:extLst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'Race Progress'!$E$4:$E$30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cat>
          <c:val>
            <c:numRef>
              <c:f>'Race Progress'!$Z$4:$Z$30</c:f>
              <c:numCache>
                <c:formatCode>m:ss.000</c:formatCode>
                <c:ptCount val="27"/>
                <c:pt idx="0">
                  <c:v>1.107858796296296E-3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F9-4AAC-AF3C-B21DD4503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overlay val="0"/>
        </c:title>
        <c:numFmt formatCode="m:ss.00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174783</xdr:rowOff>
    </xdr:from>
    <xdr:to>
      <xdr:col>13</xdr:col>
      <xdr:colOff>988218</xdr:colOff>
      <xdr:row>79</xdr:row>
      <xdr:rowOff>59531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eData" displayName="RaceData" ref="A1:N479" totalsRowShown="0">
  <autoFilter ref="A1:N479" xr:uid="{00000000-0009-0000-0100-000001000000}"/>
  <tableColumns count="14">
    <tableColumn id="1" xr3:uid="{00000000-0010-0000-0000-000001000000}" name="Rider"/>
    <tableColumn id="2" xr3:uid="{00000000-0010-0000-0000-000002000000}" name="Number"/>
    <tableColumn id="3" xr3:uid="{00000000-0010-0000-0000-000003000000}" name="Position"/>
    <tableColumn id="4" xr3:uid="{00000000-0010-0000-0000-000004000000}" name="Lap"/>
    <tableColumn id="5" xr3:uid="{00000000-0010-0000-0000-000005000000}" name="Lap Time"/>
    <tableColumn id="6" xr3:uid="{00000000-0010-0000-0000-000006000000}" name="Lap Seconds"/>
    <tableColumn id="7" xr3:uid="{00000000-0010-0000-0000-000007000000}" name="T1"/>
    <tableColumn id="8" xr3:uid="{00000000-0010-0000-0000-000008000000}" name="T2"/>
    <tableColumn id="9" xr3:uid="{00000000-0010-0000-0000-000009000000}" name="T3"/>
    <tableColumn id="10" xr3:uid="{00000000-0010-0000-0000-00000A000000}" name="T4"/>
    <tableColumn id="11" xr3:uid="{00000000-0010-0000-0000-00000B000000}" name="Speed km/h"/>
    <tableColumn id="12" xr3:uid="{00000000-0010-0000-0000-00000C000000}" name="Cumulative Seconds"/>
    <tableColumn id="13" xr3:uid="{00000000-0010-0000-0000-00000D000000}" name="Cancelled"/>
    <tableColumn id="14" xr3:uid="{00000000-0010-0000-0000-00000E000000}" name="Pit La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17</v>
      </c>
      <c r="C6" s="5">
        <v>94.554000000000002</v>
      </c>
      <c r="D6" s="5">
        <v>29.024000000000001</v>
      </c>
      <c r="E6" s="5">
        <v>18.763999999999999</v>
      </c>
      <c r="F6" s="5">
        <v>19.477</v>
      </c>
      <c r="G6" s="5">
        <v>27.289000000000001</v>
      </c>
      <c r="H6" s="6">
        <v>252.9</v>
      </c>
      <c r="I6" s="5">
        <v>94.554000000000002</v>
      </c>
      <c r="J6" s="7">
        <v>1.0943750000000001E-3</v>
      </c>
    </row>
    <row r="7" spans="1:10" x14ac:dyDescent="0.3">
      <c r="A7" s="3">
        <v>2</v>
      </c>
      <c r="B7" s="4" t="s">
        <v>18</v>
      </c>
      <c r="C7" s="5">
        <v>90.77</v>
      </c>
      <c r="D7" s="5">
        <v>25.376999999999999</v>
      </c>
      <c r="E7" s="5">
        <v>18.654</v>
      </c>
      <c r="F7" s="5">
        <v>19.571000000000002</v>
      </c>
      <c r="G7" s="5">
        <v>27.167999999999999</v>
      </c>
      <c r="H7" s="6">
        <v>312.10000000000002</v>
      </c>
      <c r="I7" s="5">
        <v>185.32400000000001</v>
      </c>
      <c r="J7" s="7">
        <v>1.050578703703704E-3</v>
      </c>
    </row>
    <row r="8" spans="1:10" x14ac:dyDescent="0.3">
      <c r="A8" s="3">
        <v>3</v>
      </c>
      <c r="B8" s="4" t="s">
        <v>19</v>
      </c>
      <c r="C8" s="5">
        <v>90.402000000000001</v>
      </c>
      <c r="D8" s="5">
        <v>25.312999999999999</v>
      </c>
      <c r="E8" s="5">
        <v>18.579000000000001</v>
      </c>
      <c r="F8" s="5">
        <v>19.263999999999999</v>
      </c>
      <c r="G8" s="5">
        <v>27.245999999999999</v>
      </c>
      <c r="H8" s="6">
        <v>310.3</v>
      </c>
      <c r="I8" s="5">
        <v>275.726</v>
      </c>
      <c r="J8" s="7">
        <v>1.046319444444445E-3</v>
      </c>
    </row>
    <row r="9" spans="1:10" x14ac:dyDescent="0.3">
      <c r="A9" s="3">
        <v>4</v>
      </c>
      <c r="B9" s="4" t="s">
        <v>20</v>
      </c>
      <c r="C9" s="5">
        <v>90.367000000000004</v>
      </c>
      <c r="D9" s="5">
        <v>25.190999999999999</v>
      </c>
      <c r="E9" s="5">
        <v>18.654</v>
      </c>
      <c r="F9" s="5">
        <v>19.312999999999999</v>
      </c>
      <c r="G9" s="5">
        <v>27.209</v>
      </c>
      <c r="H9" s="6">
        <v>313.89999999999998</v>
      </c>
      <c r="I9" s="5">
        <v>366.09300000000002</v>
      </c>
      <c r="J9" s="7">
        <v>1.0459143518518519E-3</v>
      </c>
    </row>
    <row r="10" spans="1:10" x14ac:dyDescent="0.3">
      <c r="A10" s="3">
        <v>5</v>
      </c>
      <c r="B10" s="4" t="s">
        <v>21</v>
      </c>
      <c r="C10" s="5">
        <v>90.087000000000003</v>
      </c>
      <c r="D10" s="5">
        <v>25.146000000000001</v>
      </c>
      <c r="E10" s="5">
        <v>18.545999999999999</v>
      </c>
      <c r="F10" s="5">
        <v>19.201000000000001</v>
      </c>
      <c r="G10" s="5">
        <v>27.193999999999999</v>
      </c>
      <c r="H10" s="6">
        <v>314.8</v>
      </c>
      <c r="I10" s="5">
        <v>456.18</v>
      </c>
      <c r="J10" s="7">
        <v>1.042673611111111E-3</v>
      </c>
    </row>
    <row r="11" spans="1:10" x14ac:dyDescent="0.3">
      <c r="A11" s="3">
        <v>6</v>
      </c>
      <c r="B11" s="4" t="s">
        <v>22</v>
      </c>
      <c r="C11" s="5">
        <v>90.38</v>
      </c>
      <c r="D11" s="5">
        <v>25.245999999999999</v>
      </c>
      <c r="E11" s="5">
        <v>18.635000000000002</v>
      </c>
      <c r="F11" s="5">
        <v>19.241</v>
      </c>
      <c r="G11" s="5">
        <v>27.257999999999999</v>
      </c>
      <c r="H11" s="6">
        <v>311.2</v>
      </c>
      <c r="I11" s="5">
        <v>546.55999999999995</v>
      </c>
      <c r="J11" s="7">
        <v>1.046064814814815E-3</v>
      </c>
    </row>
    <row r="12" spans="1:10" x14ac:dyDescent="0.3">
      <c r="A12" s="3">
        <v>7</v>
      </c>
      <c r="B12" s="4" t="s">
        <v>23</v>
      </c>
      <c r="C12" s="5">
        <v>90.19</v>
      </c>
      <c r="D12" s="5">
        <v>25.088000000000001</v>
      </c>
      <c r="E12" s="5">
        <v>18.509</v>
      </c>
      <c r="F12" s="5">
        <v>19.321000000000002</v>
      </c>
      <c r="G12" s="5">
        <v>27.271999999999998</v>
      </c>
      <c r="H12" s="6">
        <v>313.89999999999998</v>
      </c>
      <c r="I12" s="5">
        <v>636.75</v>
      </c>
      <c r="J12" s="7">
        <v>1.043865740740741E-3</v>
      </c>
    </row>
    <row r="13" spans="1:10" x14ac:dyDescent="0.3">
      <c r="A13" s="3">
        <v>8</v>
      </c>
      <c r="B13" s="4" t="s">
        <v>24</v>
      </c>
      <c r="C13" s="5">
        <v>90.132000000000005</v>
      </c>
      <c r="D13" s="5">
        <v>25.141999999999999</v>
      </c>
      <c r="E13" s="5">
        <v>18.611999999999998</v>
      </c>
      <c r="F13" s="5">
        <v>19.286999999999999</v>
      </c>
      <c r="G13" s="5">
        <v>27.091000000000001</v>
      </c>
      <c r="H13" s="6">
        <v>314.8</v>
      </c>
      <c r="I13" s="5">
        <v>726.88199999999995</v>
      </c>
      <c r="J13" s="7">
        <v>1.043194444444444E-3</v>
      </c>
    </row>
    <row r="14" spans="1:10" x14ac:dyDescent="0.3">
      <c r="A14" s="3">
        <v>9</v>
      </c>
      <c r="B14" s="4" t="s">
        <v>25</v>
      </c>
      <c r="C14" s="5">
        <v>90.191999999999993</v>
      </c>
      <c r="D14" s="5">
        <v>25.109000000000002</v>
      </c>
      <c r="E14" s="5">
        <v>18.620999999999999</v>
      </c>
      <c r="F14" s="5">
        <v>19.259</v>
      </c>
      <c r="G14" s="5">
        <v>27.202999999999999</v>
      </c>
      <c r="H14" s="6">
        <v>313.89999999999998</v>
      </c>
      <c r="I14" s="5">
        <v>817.07399999999996</v>
      </c>
      <c r="J14" s="7">
        <v>1.0438888888888889E-3</v>
      </c>
    </row>
    <row r="15" spans="1:10" x14ac:dyDescent="0.3">
      <c r="A15" s="3">
        <v>10</v>
      </c>
      <c r="B15" s="4" t="s">
        <v>26</v>
      </c>
      <c r="C15" s="5">
        <v>90.31</v>
      </c>
      <c r="D15" s="5">
        <v>25.221</v>
      </c>
      <c r="E15" s="5">
        <v>18.594000000000001</v>
      </c>
      <c r="F15" s="5">
        <v>19.231999999999999</v>
      </c>
      <c r="G15" s="5">
        <v>27.263000000000002</v>
      </c>
      <c r="H15" s="6">
        <v>310.3</v>
      </c>
      <c r="I15" s="5">
        <v>907.38400000000001</v>
      </c>
      <c r="J15" s="7">
        <v>1.0452546296296299E-3</v>
      </c>
    </row>
    <row r="16" spans="1:10" x14ac:dyDescent="0.3">
      <c r="A16" s="3">
        <v>11</v>
      </c>
      <c r="B16" s="4" t="s">
        <v>27</v>
      </c>
      <c r="C16" s="5">
        <v>89.991</v>
      </c>
      <c r="D16" s="5">
        <v>25.035</v>
      </c>
      <c r="E16" s="5">
        <v>18.594999999999999</v>
      </c>
      <c r="F16" s="5">
        <v>19.178000000000001</v>
      </c>
      <c r="G16" s="5">
        <v>27.183</v>
      </c>
      <c r="H16" s="6">
        <v>313.89999999999998</v>
      </c>
      <c r="I16" s="5">
        <v>997.375</v>
      </c>
      <c r="J16" s="7">
        <v>1.0415625E-3</v>
      </c>
    </row>
    <row r="17" spans="1:10" x14ac:dyDescent="0.3">
      <c r="A17" s="3">
        <v>12</v>
      </c>
      <c r="B17" s="4" t="s">
        <v>28</v>
      </c>
      <c r="C17" s="5">
        <v>90.11</v>
      </c>
      <c r="D17" s="5">
        <v>25.091999999999999</v>
      </c>
      <c r="E17" s="5">
        <v>18.565000000000001</v>
      </c>
      <c r="F17" s="5">
        <v>19.280999999999999</v>
      </c>
      <c r="G17" s="5">
        <v>27.172000000000001</v>
      </c>
      <c r="H17" s="6">
        <v>312.10000000000002</v>
      </c>
      <c r="I17" s="5">
        <v>1087.4849999999999</v>
      </c>
      <c r="J17" s="7">
        <v>1.0429398148148149E-3</v>
      </c>
    </row>
    <row r="18" spans="1:10" x14ac:dyDescent="0.3">
      <c r="A18" s="3">
        <v>13</v>
      </c>
      <c r="B18" s="4" t="s">
        <v>29</v>
      </c>
      <c r="C18" s="5">
        <v>90.147999999999996</v>
      </c>
      <c r="D18" s="5">
        <v>25.088000000000001</v>
      </c>
      <c r="E18" s="5">
        <v>18.667000000000002</v>
      </c>
      <c r="F18" s="5">
        <v>19.225999999999999</v>
      </c>
      <c r="G18" s="5">
        <v>27.167000000000002</v>
      </c>
      <c r="H18" s="6">
        <v>312.10000000000002</v>
      </c>
      <c r="I18" s="5">
        <v>1177.633</v>
      </c>
      <c r="J18" s="7">
        <v>1.04337962962963E-3</v>
      </c>
    </row>
    <row r="19" spans="1:10" x14ac:dyDescent="0.3">
      <c r="A19" s="3">
        <v>14</v>
      </c>
      <c r="B19" s="4" t="s">
        <v>30</v>
      </c>
      <c r="C19" s="5">
        <v>90.186000000000007</v>
      </c>
      <c r="D19" s="5">
        <v>25.074999999999999</v>
      </c>
      <c r="E19" s="5">
        <v>18.550999999999998</v>
      </c>
      <c r="F19" s="5">
        <v>19.352</v>
      </c>
      <c r="G19" s="5">
        <v>27.207999999999998</v>
      </c>
      <c r="H19" s="6">
        <v>313</v>
      </c>
      <c r="I19" s="5">
        <v>1267.819</v>
      </c>
      <c r="J19" s="7">
        <v>1.043819444444444E-3</v>
      </c>
    </row>
    <row r="20" spans="1:10" x14ac:dyDescent="0.3">
      <c r="A20" s="3">
        <v>15</v>
      </c>
      <c r="B20" s="4" t="s">
        <v>31</v>
      </c>
      <c r="C20" s="5">
        <v>90.061999999999998</v>
      </c>
      <c r="D20" s="5">
        <v>25.116</v>
      </c>
      <c r="E20" s="5">
        <v>18.565000000000001</v>
      </c>
      <c r="F20" s="5">
        <v>19.178999999999998</v>
      </c>
      <c r="G20" s="5">
        <v>27.202000000000002</v>
      </c>
      <c r="H20" s="6">
        <v>313</v>
      </c>
      <c r="I20" s="5">
        <v>1357.8810000000001</v>
      </c>
      <c r="J20" s="7">
        <v>1.042384259259259E-3</v>
      </c>
    </row>
    <row r="21" spans="1:10" x14ac:dyDescent="0.3">
      <c r="A21" s="3">
        <v>16</v>
      </c>
      <c r="B21" s="4" t="s">
        <v>32</v>
      </c>
      <c r="C21" s="5">
        <v>90.576999999999998</v>
      </c>
      <c r="D21" s="5">
        <v>25.167000000000002</v>
      </c>
      <c r="E21" s="5">
        <v>18.722999999999999</v>
      </c>
      <c r="F21" s="5">
        <v>19.46</v>
      </c>
      <c r="G21" s="5">
        <v>27.227</v>
      </c>
      <c r="H21" s="6">
        <v>313</v>
      </c>
      <c r="I21" s="5">
        <v>1448.4580000000001</v>
      </c>
      <c r="J21" s="7">
        <v>1.0483449074074069E-3</v>
      </c>
    </row>
    <row r="22" spans="1:10" x14ac:dyDescent="0.3">
      <c r="A22" s="3">
        <v>17</v>
      </c>
      <c r="B22" s="4" t="s">
        <v>33</v>
      </c>
      <c r="C22" s="5">
        <v>90.201999999999998</v>
      </c>
      <c r="D22" s="5">
        <v>25.059000000000001</v>
      </c>
      <c r="E22" s="5">
        <v>18.571999999999999</v>
      </c>
      <c r="F22" s="5">
        <v>19.305</v>
      </c>
      <c r="G22" s="5">
        <v>27.265999999999998</v>
      </c>
      <c r="H22" s="6">
        <v>312.10000000000002</v>
      </c>
      <c r="I22" s="5">
        <v>1538.66</v>
      </c>
      <c r="J22" s="7">
        <v>1.04400462962963E-3</v>
      </c>
    </row>
    <row r="23" spans="1:10" x14ac:dyDescent="0.3">
      <c r="A23" s="3">
        <v>18</v>
      </c>
      <c r="B23" s="4" t="s">
        <v>34</v>
      </c>
      <c r="C23" s="5">
        <v>90.515000000000001</v>
      </c>
      <c r="D23" s="5">
        <v>25.152000000000001</v>
      </c>
      <c r="E23" s="5">
        <v>18.663</v>
      </c>
      <c r="F23" s="5">
        <v>19.335000000000001</v>
      </c>
      <c r="G23" s="5">
        <v>27.364999999999998</v>
      </c>
      <c r="H23" s="6">
        <v>314.8</v>
      </c>
      <c r="I23" s="5">
        <v>1629.175</v>
      </c>
      <c r="J23" s="7">
        <v>1.047627314814815E-3</v>
      </c>
    </row>
    <row r="24" spans="1:10" x14ac:dyDescent="0.3">
      <c r="A24" s="3">
        <v>19</v>
      </c>
      <c r="B24" s="4" t="s">
        <v>35</v>
      </c>
      <c r="C24" s="5">
        <v>89.96</v>
      </c>
      <c r="D24" s="5">
        <v>24.911999999999999</v>
      </c>
      <c r="E24" s="5">
        <v>18.507000000000001</v>
      </c>
      <c r="F24" s="5">
        <v>19.292000000000002</v>
      </c>
      <c r="G24" s="5">
        <v>27.248999999999999</v>
      </c>
      <c r="H24" s="6">
        <v>315.7</v>
      </c>
      <c r="I24" s="5">
        <v>1719.135</v>
      </c>
      <c r="J24" s="7">
        <v>1.0412037037037039E-3</v>
      </c>
    </row>
    <row r="25" spans="1:10" x14ac:dyDescent="0.3">
      <c r="A25" s="3">
        <v>20</v>
      </c>
      <c r="B25" s="4" t="s">
        <v>36</v>
      </c>
      <c r="C25" s="5">
        <v>90.582999999999998</v>
      </c>
      <c r="D25" s="5">
        <v>25.224</v>
      </c>
      <c r="E25" s="5">
        <v>18.678000000000001</v>
      </c>
      <c r="F25" s="5">
        <v>19.353000000000002</v>
      </c>
      <c r="G25" s="5">
        <v>27.327999999999999</v>
      </c>
      <c r="H25" s="6">
        <v>313</v>
      </c>
      <c r="I25" s="5">
        <v>1809.7180000000001</v>
      </c>
      <c r="J25" s="7">
        <v>1.048414351851852E-3</v>
      </c>
    </row>
    <row r="26" spans="1:10" x14ac:dyDescent="0.3">
      <c r="A26" s="3">
        <v>21</v>
      </c>
      <c r="B26" s="4" t="s">
        <v>37</v>
      </c>
      <c r="C26" s="5">
        <v>90.396000000000001</v>
      </c>
      <c r="D26" s="5">
        <v>25.18</v>
      </c>
      <c r="E26" s="5">
        <v>18.579000000000001</v>
      </c>
      <c r="F26" s="5">
        <v>19.364999999999998</v>
      </c>
      <c r="G26" s="5">
        <v>27.271999999999998</v>
      </c>
      <c r="H26" s="6">
        <v>313</v>
      </c>
      <c r="I26" s="5">
        <v>1900.114</v>
      </c>
      <c r="J26" s="7">
        <v>1.0462500000000001E-3</v>
      </c>
    </row>
    <row r="27" spans="1:10" x14ac:dyDescent="0.3">
      <c r="A27" s="3">
        <v>22</v>
      </c>
      <c r="B27" s="4" t="s">
        <v>38</v>
      </c>
      <c r="C27" s="5">
        <v>90.965999999999994</v>
      </c>
      <c r="D27" s="5">
        <v>25.2</v>
      </c>
      <c r="E27" s="5">
        <v>18.844000000000001</v>
      </c>
      <c r="F27" s="5">
        <v>19.465</v>
      </c>
      <c r="G27" s="5">
        <v>27.457000000000001</v>
      </c>
      <c r="H27" s="6">
        <v>313</v>
      </c>
      <c r="I27" s="5">
        <v>1991.08</v>
      </c>
      <c r="J27" s="7">
        <v>1.0528472222222219E-3</v>
      </c>
    </row>
    <row r="28" spans="1:10" x14ac:dyDescent="0.3">
      <c r="A28" s="3">
        <v>23</v>
      </c>
      <c r="B28" s="4" t="s">
        <v>39</v>
      </c>
      <c r="C28" s="5">
        <v>90.927000000000007</v>
      </c>
      <c r="D28" s="5">
        <v>25.158000000000001</v>
      </c>
      <c r="E28" s="5">
        <v>18.75</v>
      </c>
      <c r="F28" s="5">
        <v>19.475999999999999</v>
      </c>
      <c r="G28" s="5">
        <v>27.542999999999999</v>
      </c>
      <c r="H28" s="6">
        <v>313</v>
      </c>
      <c r="I28" s="5">
        <v>2082.0070000000001</v>
      </c>
      <c r="J28" s="7">
        <v>1.0523958333333329E-3</v>
      </c>
    </row>
    <row r="29" spans="1:10" x14ac:dyDescent="0.3">
      <c r="A29" s="3">
        <v>24</v>
      </c>
      <c r="B29" s="4" t="s">
        <v>40</v>
      </c>
      <c r="C29" s="5">
        <v>90.86</v>
      </c>
      <c r="D29" s="5">
        <v>25.227</v>
      </c>
      <c r="E29" s="5">
        <v>18.794</v>
      </c>
      <c r="F29" s="5">
        <v>19.452999999999999</v>
      </c>
      <c r="G29" s="5">
        <v>27.385999999999999</v>
      </c>
      <c r="H29" s="6">
        <v>312.10000000000002</v>
      </c>
      <c r="I29" s="5">
        <v>2172.8670000000002</v>
      </c>
      <c r="J29" s="7">
        <v>1.0516203703703701E-3</v>
      </c>
    </row>
    <row r="30" spans="1:10" x14ac:dyDescent="0.3">
      <c r="A30" s="3">
        <v>25</v>
      </c>
      <c r="B30" s="4" t="s">
        <v>41</v>
      </c>
      <c r="C30" s="5">
        <v>91.099000000000004</v>
      </c>
      <c r="D30" s="5">
        <v>25.324000000000002</v>
      </c>
      <c r="E30" s="5">
        <v>18.79</v>
      </c>
      <c r="F30" s="5">
        <v>19.46</v>
      </c>
      <c r="G30" s="5">
        <v>27.524999999999999</v>
      </c>
      <c r="H30" s="6">
        <v>313.89999999999998</v>
      </c>
      <c r="I30" s="5">
        <v>2263.9659999999999</v>
      </c>
      <c r="J30" s="7">
        <v>1.0543865740740739E-3</v>
      </c>
    </row>
    <row r="31" spans="1:10" x14ac:dyDescent="0.3">
      <c r="A31" s="3">
        <v>26</v>
      </c>
      <c r="B31" s="4" t="s">
        <v>42</v>
      </c>
      <c r="C31" s="5">
        <v>91.122</v>
      </c>
      <c r="D31" s="5">
        <v>25.271000000000001</v>
      </c>
      <c r="E31" s="5">
        <v>18.788</v>
      </c>
      <c r="F31" s="5">
        <v>19.510000000000002</v>
      </c>
      <c r="G31" s="5">
        <v>27.553000000000001</v>
      </c>
      <c r="H31" s="6">
        <v>313</v>
      </c>
      <c r="I31" s="5">
        <v>2355.0880000000002</v>
      </c>
      <c r="J31" s="7">
        <v>1.0546527777777781E-3</v>
      </c>
    </row>
    <row r="32" spans="1:10" x14ac:dyDescent="0.3">
      <c r="A32" s="3">
        <v>27</v>
      </c>
      <c r="B32" s="4" t="s">
        <v>43</v>
      </c>
      <c r="C32" s="5">
        <v>91.494</v>
      </c>
      <c r="D32" s="5">
        <v>25.318999999999999</v>
      </c>
      <c r="E32" s="5">
        <v>18.838000000000001</v>
      </c>
      <c r="F32" s="5">
        <v>19.54</v>
      </c>
      <c r="G32" s="5">
        <v>27.797000000000001</v>
      </c>
      <c r="H32" s="6">
        <v>313</v>
      </c>
      <c r="I32" s="5">
        <v>2446.5819999999999</v>
      </c>
      <c r="J32" s="7">
        <v>1.058958333333333E-3</v>
      </c>
    </row>
  </sheetData>
  <autoFilter ref="A5:J32" xr:uid="{00000000-0009-0000-0000-000000000000}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="80" zoomScaleNormal="80" workbookViewId="0">
      <pane ySplit="5" topLeftCell="A6" activePane="bottomLeft" state="frozen"/>
      <selection pane="bottomLeft" activeCell="H46" sqref="H46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44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45</v>
      </c>
      <c r="C3" s="1" t="s">
        <v>3</v>
      </c>
      <c r="D3" s="1" t="s">
        <v>4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46</v>
      </c>
      <c r="C6" s="5">
        <v>94.004000000000005</v>
      </c>
      <c r="D6" s="5">
        <v>28.681999999999999</v>
      </c>
      <c r="E6" s="5">
        <v>18.654</v>
      </c>
      <c r="F6" s="5">
        <v>19.393000000000001</v>
      </c>
      <c r="G6" s="5">
        <v>27.274999999999999</v>
      </c>
      <c r="H6" s="6">
        <v>252.3</v>
      </c>
      <c r="I6" s="5">
        <v>94.004000000000005</v>
      </c>
      <c r="J6" s="7">
        <v>1.0880092592592591E-3</v>
      </c>
    </row>
    <row r="7" spans="1:10" x14ac:dyDescent="0.3">
      <c r="A7" s="3">
        <v>2</v>
      </c>
      <c r="B7" s="4" t="s">
        <v>47</v>
      </c>
      <c r="C7" s="5">
        <v>90.421000000000006</v>
      </c>
      <c r="D7" s="5">
        <v>25.259</v>
      </c>
      <c r="E7" s="5">
        <v>18.545000000000002</v>
      </c>
      <c r="F7" s="5">
        <v>19.327999999999999</v>
      </c>
      <c r="G7" s="5">
        <v>27.289000000000001</v>
      </c>
      <c r="H7" s="6">
        <v>306.8</v>
      </c>
      <c r="I7" s="5">
        <v>184.42500000000001</v>
      </c>
      <c r="J7" s="7">
        <v>1.0465393518518521E-3</v>
      </c>
    </row>
    <row r="8" spans="1:10" x14ac:dyDescent="0.3">
      <c r="A8" s="3">
        <v>3</v>
      </c>
      <c r="B8" s="4" t="s">
        <v>48</v>
      </c>
      <c r="C8" s="5">
        <v>90.585999999999999</v>
      </c>
      <c r="D8" s="5">
        <v>25.283999999999999</v>
      </c>
      <c r="E8" s="5">
        <v>18.684999999999999</v>
      </c>
      <c r="F8" s="5">
        <v>19.204000000000001</v>
      </c>
      <c r="G8" s="5">
        <v>27.413</v>
      </c>
      <c r="H8" s="6">
        <v>308.5</v>
      </c>
      <c r="I8" s="5">
        <v>275.01100000000002</v>
      </c>
      <c r="J8" s="7">
        <v>1.048449074074074E-3</v>
      </c>
    </row>
    <row r="9" spans="1:10" x14ac:dyDescent="0.3">
      <c r="A9" s="3">
        <v>4</v>
      </c>
      <c r="B9" s="4" t="s">
        <v>49</v>
      </c>
      <c r="C9" s="5">
        <v>90.334999999999994</v>
      </c>
      <c r="D9" s="5">
        <v>25.2</v>
      </c>
      <c r="E9" s="5">
        <v>18.574000000000002</v>
      </c>
      <c r="F9" s="5">
        <v>19.274999999999999</v>
      </c>
      <c r="G9" s="5">
        <v>27.286000000000001</v>
      </c>
      <c r="H9" s="6">
        <v>308.5</v>
      </c>
      <c r="I9" s="5">
        <v>365.346</v>
      </c>
      <c r="J9" s="7">
        <v>1.0455439814814811E-3</v>
      </c>
    </row>
    <row r="10" spans="1:10" x14ac:dyDescent="0.3">
      <c r="A10" s="3">
        <v>5</v>
      </c>
      <c r="B10" s="4" t="s">
        <v>50</v>
      </c>
      <c r="C10" s="5">
        <v>90.027000000000001</v>
      </c>
      <c r="D10" s="5">
        <v>25.132000000000001</v>
      </c>
      <c r="E10" s="5">
        <v>18.545000000000002</v>
      </c>
      <c r="F10" s="5">
        <v>19.218</v>
      </c>
      <c r="G10" s="5">
        <v>27.132000000000001</v>
      </c>
      <c r="H10" s="6">
        <v>307.60000000000002</v>
      </c>
      <c r="I10" s="5">
        <v>455.37299999999999</v>
      </c>
      <c r="J10" s="7">
        <v>1.041979166666667E-3</v>
      </c>
    </row>
    <row r="11" spans="1:10" x14ac:dyDescent="0.3">
      <c r="A11" s="3">
        <v>6</v>
      </c>
      <c r="B11" s="4" t="s">
        <v>51</v>
      </c>
      <c r="C11" s="5">
        <v>90.355000000000004</v>
      </c>
      <c r="D11" s="5">
        <v>25.222999999999999</v>
      </c>
      <c r="E11" s="5">
        <v>18.62</v>
      </c>
      <c r="F11" s="5">
        <v>19.285</v>
      </c>
      <c r="G11" s="5">
        <v>27.227</v>
      </c>
      <c r="H11" s="6">
        <v>306.8</v>
      </c>
      <c r="I11" s="5">
        <v>545.72799999999995</v>
      </c>
      <c r="J11" s="7">
        <v>1.045775462962963E-3</v>
      </c>
    </row>
    <row r="12" spans="1:10" x14ac:dyDescent="0.3">
      <c r="A12" s="3">
        <v>7</v>
      </c>
      <c r="B12" s="4" t="s">
        <v>52</v>
      </c>
      <c r="C12" s="5">
        <v>90.548000000000002</v>
      </c>
      <c r="D12" s="5">
        <v>25.32</v>
      </c>
      <c r="E12" s="5">
        <v>18.588999999999999</v>
      </c>
      <c r="F12" s="5">
        <v>19.32</v>
      </c>
      <c r="G12" s="5">
        <v>27.318999999999999</v>
      </c>
      <c r="H12" s="6">
        <v>307.60000000000002</v>
      </c>
      <c r="I12" s="5">
        <v>636.27599999999995</v>
      </c>
      <c r="J12" s="7">
        <v>1.0480092592592589E-3</v>
      </c>
    </row>
    <row r="13" spans="1:10" x14ac:dyDescent="0.3">
      <c r="A13" s="3">
        <v>8</v>
      </c>
      <c r="B13" s="4" t="s">
        <v>53</v>
      </c>
      <c r="C13" s="5">
        <v>90.070999999999998</v>
      </c>
      <c r="D13" s="5">
        <v>25.189</v>
      </c>
      <c r="E13" s="5">
        <v>18.527999999999999</v>
      </c>
      <c r="F13" s="5">
        <v>19.202999999999999</v>
      </c>
      <c r="G13" s="5">
        <v>27.151</v>
      </c>
      <c r="H13" s="6">
        <v>308.5</v>
      </c>
      <c r="I13" s="5">
        <v>726.34699999999998</v>
      </c>
      <c r="J13" s="7">
        <v>1.0424884259259261E-3</v>
      </c>
    </row>
    <row r="14" spans="1:10" x14ac:dyDescent="0.3">
      <c r="A14" s="3">
        <v>9</v>
      </c>
      <c r="B14" s="4" t="s">
        <v>54</v>
      </c>
      <c r="C14" s="5">
        <v>90.274000000000001</v>
      </c>
      <c r="D14" s="5">
        <v>25.263999999999999</v>
      </c>
      <c r="E14" s="5">
        <v>18.545000000000002</v>
      </c>
      <c r="F14" s="5">
        <v>19.234000000000002</v>
      </c>
      <c r="G14" s="5">
        <v>27.231000000000002</v>
      </c>
      <c r="H14" s="6">
        <v>307.60000000000002</v>
      </c>
      <c r="I14" s="5">
        <v>816.62099999999998</v>
      </c>
      <c r="J14" s="7">
        <v>1.0448379629629629E-3</v>
      </c>
    </row>
    <row r="15" spans="1:10" x14ac:dyDescent="0.3">
      <c r="A15" s="3">
        <v>10</v>
      </c>
      <c r="B15" s="4" t="s">
        <v>55</v>
      </c>
      <c r="C15" s="5">
        <v>90.242000000000004</v>
      </c>
      <c r="D15" s="5">
        <v>25.154</v>
      </c>
      <c r="E15" s="5">
        <v>18.524999999999999</v>
      </c>
      <c r="F15" s="5">
        <v>19.265999999999998</v>
      </c>
      <c r="G15" s="5">
        <v>27.297000000000001</v>
      </c>
      <c r="H15" s="6">
        <v>306.8</v>
      </c>
      <c r="I15" s="5">
        <v>906.86300000000006</v>
      </c>
      <c r="J15" s="7">
        <v>1.0444675925925929E-3</v>
      </c>
    </row>
    <row r="16" spans="1:10" x14ac:dyDescent="0.3">
      <c r="A16" s="3">
        <v>11</v>
      </c>
      <c r="B16" s="4" t="s">
        <v>56</v>
      </c>
      <c r="C16" s="5">
        <v>90.075000000000003</v>
      </c>
      <c r="D16" s="5">
        <v>25.050999999999998</v>
      </c>
      <c r="E16" s="5">
        <v>18.637</v>
      </c>
      <c r="F16" s="5">
        <v>19.186</v>
      </c>
      <c r="G16" s="5">
        <v>27.201000000000001</v>
      </c>
      <c r="H16" s="6">
        <v>308.5</v>
      </c>
      <c r="I16" s="5">
        <v>996.93799999999999</v>
      </c>
      <c r="J16" s="7">
        <v>1.042534722222222E-3</v>
      </c>
    </row>
    <row r="17" spans="1:10" x14ac:dyDescent="0.3">
      <c r="A17" s="3">
        <v>12</v>
      </c>
      <c r="B17" s="4" t="s">
        <v>57</v>
      </c>
      <c r="C17" s="5">
        <v>90.087999999999994</v>
      </c>
      <c r="D17" s="5">
        <v>25.167000000000002</v>
      </c>
      <c r="E17" s="5">
        <v>18.521999999999998</v>
      </c>
      <c r="F17" s="5">
        <v>19.184000000000001</v>
      </c>
      <c r="G17" s="5">
        <v>27.215</v>
      </c>
      <c r="H17" s="6">
        <v>307.60000000000002</v>
      </c>
      <c r="I17" s="5">
        <v>1087.0260000000001</v>
      </c>
      <c r="J17" s="7">
        <v>1.0426851851851849E-3</v>
      </c>
    </row>
    <row r="18" spans="1:10" x14ac:dyDescent="0.3">
      <c r="A18" s="3">
        <v>13</v>
      </c>
      <c r="B18" s="4" t="s">
        <v>58</v>
      </c>
      <c r="C18" s="5">
        <v>90.283000000000001</v>
      </c>
      <c r="D18" s="5">
        <v>25.13</v>
      </c>
      <c r="E18" s="5">
        <v>18.655000000000001</v>
      </c>
      <c r="F18" s="5">
        <v>19.277000000000001</v>
      </c>
      <c r="G18" s="5">
        <v>27.221</v>
      </c>
      <c r="H18" s="6">
        <v>308.5</v>
      </c>
      <c r="I18" s="5">
        <v>1177.309</v>
      </c>
      <c r="J18" s="7">
        <v>1.04494212962963E-3</v>
      </c>
    </row>
    <row r="19" spans="1:10" x14ac:dyDescent="0.3">
      <c r="A19" s="3">
        <v>14</v>
      </c>
      <c r="B19" s="4" t="s">
        <v>59</v>
      </c>
      <c r="C19" s="5">
        <v>90.024000000000001</v>
      </c>
      <c r="D19" s="5">
        <v>25.177</v>
      </c>
      <c r="E19" s="5">
        <v>18.5</v>
      </c>
      <c r="F19" s="5">
        <v>19.198</v>
      </c>
      <c r="G19" s="5">
        <v>27.149000000000001</v>
      </c>
      <c r="H19" s="6">
        <v>308.5</v>
      </c>
      <c r="I19" s="5">
        <v>1267.3330000000001</v>
      </c>
      <c r="J19" s="7">
        <v>1.0419444444444449E-3</v>
      </c>
    </row>
    <row r="20" spans="1:10" x14ac:dyDescent="0.3">
      <c r="A20" s="3">
        <v>15</v>
      </c>
      <c r="B20" s="4" t="s">
        <v>60</v>
      </c>
      <c r="C20" s="5">
        <v>90.361000000000004</v>
      </c>
      <c r="D20" s="5">
        <v>25.152000000000001</v>
      </c>
      <c r="E20" s="5">
        <v>18.591000000000001</v>
      </c>
      <c r="F20" s="5">
        <v>19.228000000000002</v>
      </c>
      <c r="G20" s="5">
        <v>27.39</v>
      </c>
      <c r="H20" s="6">
        <v>307.60000000000002</v>
      </c>
      <c r="I20" s="5">
        <v>1357.694</v>
      </c>
      <c r="J20" s="7">
        <v>1.045844907407407E-3</v>
      </c>
    </row>
    <row r="21" spans="1:10" x14ac:dyDescent="0.3">
      <c r="A21" s="3">
        <v>16</v>
      </c>
      <c r="B21" s="4" t="s">
        <v>61</v>
      </c>
      <c r="C21" s="5">
        <v>90.361999999999995</v>
      </c>
      <c r="D21" s="5">
        <v>25.143000000000001</v>
      </c>
      <c r="E21" s="5">
        <v>18.57</v>
      </c>
      <c r="F21" s="5">
        <v>19.285</v>
      </c>
      <c r="G21" s="5">
        <v>27.364000000000001</v>
      </c>
      <c r="H21" s="6">
        <v>309.39999999999998</v>
      </c>
      <c r="I21" s="5">
        <v>1448.056</v>
      </c>
      <c r="J21" s="7">
        <v>1.0458564814814809E-3</v>
      </c>
    </row>
    <row r="22" spans="1:10" x14ac:dyDescent="0.3">
      <c r="A22" s="3">
        <v>17</v>
      </c>
      <c r="B22" s="4" t="s">
        <v>62</v>
      </c>
      <c r="C22" s="5">
        <v>90.44</v>
      </c>
      <c r="D22" s="5">
        <v>25.161999999999999</v>
      </c>
      <c r="E22" s="5">
        <v>18.584</v>
      </c>
      <c r="F22" s="5">
        <v>19.393999999999998</v>
      </c>
      <c r="G22" s="5">
        <v>27.3</v>
      </c>
      <c r="H22" s="6">
        <v>309.39999999999998</v>
      </c>
      <c r="I22" s="5">
        <v>1538.4960000000001</v>
      </c>
      <c r="J22" s="7">
        <v>1.046759259259259E-3</v>
      </c>
    </row>
    <row r="23" spans="1:10" x14ac:dyDescent="0.3">
      <c r="A23" s="3">
        <v>18</v>
      </c>
      <c r="B23" s="4" t="s">
        <v>63</v>
      </c>
      <c r="C23" s="5">
        <v>90.578999999999994</v>
      </c>
      <c r="D23" s="5">
        <v>25.137</v>
      </c>
      <c r="E23" s="5">
        <v>18.611000000000001</v>
      </c>
      <c r="F23" s="5">
        <v>19.451000000000001</v>
      </c>
      <c r="G23" s="5">
        <v>27.38</v>
      </c>
      <c r="H23" s="6">
        <v>308.5</v>
      </c>
      <c r="I23" s="5">
        <v>1629.075</v>
      </c>
      <c r="J23" s="7">
        <v>1.048368055555555E-3</v>
      </c>
    </row>
    <row r="24" spans="1:10" x14ac:dyDescent="0.3">
      <c r="A24" s="3">
        <v>19</v>
      </c>
      <c r="B24" s="4" t="s">
        <v>64</v>
      </c>
      <c r="C24" s="5">
        <v>91.495000000000005</v>
      </c>
      <c r="D24" s="5">
        <v>25.843</v>
      </c>
      <c r="E24" s="5">
        <v>18.792000000000002</v>
      </c>
      <c r="F24" s="5">
        <v>19.422999999999998</v>
      </c>
      <c r="G24" s="5">
        <v>27.437000000000001</v>
      </c>
      <c r="H24" s="6">
        <v>307.60000000000002</v>
      </c>
      <c r="I24" s="5">
        <v>1720.57</v>
      </c>
      <c r="J24" s="7">
        <v>1.058969907407408E-3</v>
      </c>
    </row>
    <row r="25" spans="1:10" x14ac:dyDescent="0.3">
      <c r="A25" s="3">
        <v>20</v>
      </c>
      <c r="B25" s="4" t="s">
        <v>65</v>
      </c>
      <c r="C25" s="5">
        <v>90.962000000000003</v>
      </c>
      <c r="D25" s="5">
        <v>25.294</v>
      </c>
      <c r="E25" s="5">
        <v>18.765999999999998</v>
      </c>
      <c r="F25" s="5">
        <v>19.384</v>
      </c>
      <c r="G25" s="5">
        <v>27.518000000000001</v>
      </c>
      <c r="H25" s="6">
        <v>308.5</v>
      </c>
      <c r="I25" s="5">
        <v>1811.5319999999999</v>
      </c>
      <c r="J25" s="7">
        <v>1.052800925925926E-3</v>
      </c>
    </row>
    <row r="26" spans="1:10" x14ac:dyDescent="0.3">
      <c r="A26" s="3">
        <v>21</v>
      </c>
      <c r="B26" s="4" t="s">
        <v>66</v>
      </c>
      <c r="C26" s="5">
        <v>91.001000000000005</v>
      </c>
      <c r="D26" s="5">
        <v>25.343</v>
      </c>
      <c r="E26" s="5">
        <v>18.756</v>
      </c>
      <c r="F26" s="5">
        <v>19.472000000000001</v>
      </c>
      <c r="G26" s="5">
        <v>27.43</v>
      </c>
      <c r="H26" s="6">
        <v>308.5</v>
      </c>
      <c r="I26" s="5">
        <v>1902.5329999999999</v>
      </c>
      <c r="J26" s="7">
        <v>1.053252314814815E-3</v>
      </c>
    </row>
    <row r="27" spans="1:10" x14ac:dyDescent="0.3">
      <c r="A27" s="3">
        <v>22</v>
      </c>
      <c r="B27" s="4" t="s">
        <v>67</v>
      </c>
      <c r="C27" s="5">
        <v>91.001999999999995</v>
      </c>
      <c r="D27" s="5">
        <v>25.286000000000001</v>
      </c>
      <c r="E27" s="5">
        <v>18.731999999999999</v>
      </c>
      <c r="F27" s="5">
        <v>19.506</v>
      </c>
      <c r="G27" s="5">
        <v>27.478000000000002</v>
      </c>
      <c r="H27" s="6">
        <v>309.39999999999998</v>
      </c>
      <c r="I27" s="5">
        <v>1993.5350000000001</v>
      </c>
      <c r="J27" s="7">
        <v>1.053263888888889E-3</v>
      </c>
    </row>
    <row r="28" spans="1:10" x14ac:dyDescent="0.3">
      <c r="A28" s="3">
        <v>23</v>
      </c>
      <c r="B28" s="4" t="s">
        <v>68</v>
      </c>
      <c r="C28" s="5">
        <v>90.863</v>
      </c>
      <c r="D28" s="5">
        <v>25.323</v>
      </c>
      <c r="E28" s="5">
        <v>18.702000000000002</v>
      </c>
      <c r="F28" s="5">
        <v>19.396999999999998</v>
      </c>
      <c r="G28" s="5">
        <v>27.440999999999999</v>
      </c>
      <c r="H28" s="6">
        <v>307.60000000000002</v>
      </c>
      <c r="I28" s="5">
        <v>2084.3980000000001</v>
      </c>
      <c r="J28" s="7">
        <v>1.051655092592593E-3</v>
      </c>
    </row>
    <row r="29" spans="1:10" x14ac:dyDescent="0.3">
      <c r="A29" s="3">
        <v>24</v>
      </c>
      <c r="B29" s="4" t="s">
        <v>69</v>
      </c>
      <c r="C29" s="5">
        <v>91.043999999999997</v>
      </c>
      <c r="D29" s="5">
        <v>25.363</v>
      </c>
      <c r="E29" s="5">
        <v>18.783000000000001</v>
      </c>
      <c r="F29" s="5">
        <v>19.452000000000002</v>
      </c>
      <c r="G29" s="5">
        <v>27.446000000000002</v>
      </c>
      <c r="H29" s="6">
        <v>308.5</v>
      </c>
      <c r="I29" s="5">
        <v>2175.442</v>
      </c>
      <c r="J29" s="7">
        <v>1.05375E-3</v>
      </c>
    </row>
    <row r="30" spans="1:10" x14ac:dyDescent="0.3">
      <c r="A30" s="3">
        <v>25</v>
      </c>
      <c r="B30" s="4" t="s">
        <v>70</v>
      </c>
      <c r="C30" s="5">
        <v>91.28</v>
      </c>
      <c r="D30" s="5">
        <v>25.335000000000001</v>
      </c>
      <c r="E30" s="5">
        <v>18.739999999999998</v>
      </c>
      <c r="F30" s="5">
        <v>19.498999999999999</v>
      </c>
      <c r="G30" s="5">
        <v>27.706</v>
      </c>
      <c r="H30" s="6">
        <v>309.39999999999998</v>
      </c>
      <c r="I30" s="5">
        <v>2266.7220000000002</v>
      </c>
      <c r="J30" s="7">
        <v>1.056481481481482E-3</v>
      </c>
    </row>
    <row r="31" spans="1:10" x14ac:dyDescent="0.3">
      <c r="A31" s="3">
        <v>26</v>
      </c>
      <c r="B31" s="4" t="s">
        <v>71</v>
      </c>
      <c r="C31" s="5">
        <v>91.695999999999998</v>
      </c>
      <c r="D31" s="5">
        <v>25.492000000000001</v>
      </c>
      <c r="E31" s="5">
        <v>18.981999999999999</v>
      </c>
      <c r="F31" s="5">
        <v>19.518999999999998</v>
      </c>
      <c r="G31" s="5">
        <v>27.702999999999999</v>
      </c>
      <c r="H31" s="6">
        <v>309.39999999999998</v>
      </c>
      <c r="I31" s="5">
        <v>2358.4180000000001</v>
      </c>
      <c r="J31" s="7">
        <v>1.0612962962962961E-3</v>
      </c>
    </row>
    <row r="32" spans="1:10" x14ac:dyDescent="0.3">
      <c r="A32" s="3">
        <v>27</v>
      </c>
      <c r="B32" s="4" t="s">
        <v>72</v>
      </c>
      <c r="C32" s="5">
        <v>92.424000000000007</v>
      </c>
      <c r="D32" s="5">
        <v>25.477</v>
      </c>
      <c r="E32" s="5">
        <v>18.992999999999999</v>
      </c>
      <c r="F32" s="5">
        <v>19.550999999999998</v>
      </c>
      <c r="G32" s="5">
        <v>28.402999999999999</v>
      </c>
      <c r="H32" s="6">
        <v>307.60000000000002</v>
      </c>
      <c r="I32" s="5">
        <v>2450.8420000000001</v>
      </c>
      <c r="J32" s="7">
        <v>1.0697222222222219E-3</v>
      </c>
    </row>
  </sheetData>
  <autoFilter ref="A5:J32" xr:uid="{00000000-0009-0000-0000-000001000000}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73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74</v>
      </c>
      <c r="C6" s="5">
        <v>95.908000000000001</v>
      </c>
      <c r="D6" s="5">
        <v>29.637</v>
      </c>
      <c r="E6" s="5">
        <v>19.113</v>
      </c>
      <c r="F6" s="5">
        <v>19.518000000000001</v>
      </c>
      <c r="G6" s="5">
        <v>27.64</v>
      </c>
      <c r="H6" s="6">
        <v>261.5</v>
      </c>
      <c r="I6" s="5">
        <v>95.908000000000001</v>
      </c>
      <c r="J6" s="7">
        <v>1.110046296296296E-3</v>
      </c>
    </row>
    <row r="7" spans="1:10" x14ac:dyDescent="0.3">
      <c r="A7" s="3">
        <v>2</v>
      </c>
      <c r="B7" s="4" t="s">
        <v>75</v>
      </c>
      <c r="C7" s="5">
        <v>90.972999999999999</v>
      </c>
      <c r="D7" s="5">
        <v>25.646999999999998</v>
      </c>
      <c r="E7" s="5">
        <v>18.571000000000002</v>
      </c>
      <c r="F7" s="5">
        <v>19.390999999999998</v>
      </c>
      <c r="G7" s="5">
        <v>27.364000000000001</v>
      </c>
      <c r="H7" s="6">
        <v>294.2</v>
      </c>
      <c r="I7" s="5">
        <v>186.881</v>
      </c>
      <c r="J7" s="7">
        <v>1.052928240740741E-3</v>
      </c>
    </row>
    <row r="8" spans="1:10" x14ac:dyDescent="0.3">
      <c r="A8" s="3">
        <v>3</v>
      </c>
      <c r="B8" s="4" t="s">
        <v>76</v>
      </c>
      <c r="C8" s="5">
        <v>90.372</v>
      </c>
      <c r="D8" s="5">
        <v>25.195</v>
      </c>
      <c r="E8" s="5">
        <v>18.472000000000001</v>
      </c>
      <c r="F8" s="5">
        <v>19.413</v>
      </c>
      <c r="G8" s="5">
        <v>27.292000000000002</v>
      </c>
      <c r="H8" s="6">
        <v>313.89999999999998</v>
      </c>
      <c r="I8" s="5">
        <v>277.25299999999999</v>
      </c>
      <c r="J8" s="7">
        <v>1.045972222222222E-3</v>
      </c>
    </row>
    <row r="9" spans="1:10" x14ac:dyDescent="0.3">
      <c r="A9" s="3">
        <v>4</v>
      </c>
      <c r="B9" s="4" t="s">
        <v>77</v>
      </c>
      <c r="C9" s="5">
        <v>90.436000000000007</v>
      </c>
      <c r="D9" s="5">
        <v>25.183</v>
      </c>
      <c r="E9" s="5">
        <v>18.696000000000002</v>
      </c>
      <c r="F9" s="5">
        <v>19.294</v>
      </c>
      <c r="G9" s="5">
        <v>27.263000000000002</v>
      </c>
      <c r="H9" s="6">
        <v>313.89999999999998</v>
      </c>
      <c r="I9" s="5">
        <v>367.68900000000002</v>
      </c>
      <c r="J9" s="7">
        <v>1.046712962962963E-3</v>
      </c>
    </row>
    <row r="10" spans="1:10" x14ac:dyDescent="0.3">
      <c r="A10" s="3">
        <v>5</v>
      </c>
      <c r="B10" s="4" t="s">
        <v>78</v>
      </c>
      <c r="C10" s="5">
        <v>90.275000000000006</v>
      </c>
      <c r="D10" s="5">
        <v>25.271000000000001</v>
      </c>
      <c r="E10" s="5">
        <v>18.52</v>
      </c>
      <c r="F10" s="5">
        <v>19.251999999999999</v>
      </c>
      <c r="G10" s="5">
        <v>27.231999999999999</v>
      </c>
      <c r="H10" s="6">
        <v>313.89999999999998</v>
      </c>
      <c r="I10" s="5">
        <v>457.964</v>
      </c>
      <c r="J10" s="7">
        <v>1.0448495370370371E-3</v>
      </c>
    </row>
    <row r="11" spans="1:10" x14ac:dyDescent="0.3">
      <c r="A11" s="3">
        <v>6</v>
      </c>
      <c r="B11" s="4" t="s">
        <v>79</v>
      </c>
      <c r="C11" s="5">
        <v>90.144000000000005</v>
      </c>
      <c r="D11" s="5">
        <v>25.097000000000001</v>
      </c>
      <c r="E11" s="5">
        <v>18.452999999999999</v>
      </c>
      <c r="F11" s="5">
        <v>19.382999999999999</v>
      </c>
      <c r="G11" s="5">
        <v>27.210999999999999</v>
      </c>
      <c r="H11" s="6">
        <v>313</v>
      </c>
      <c r="I11" s="5">
        <v>548.10799999999995</v>
      </c>
      <c r="J11" s="7">
        <v>1.043333333333333E-3</v>
      </c>
    </row>
    <row r="12" spans="1:10" x14ac:dyDescent="0.3">
      <c r="A12" s="3">
        <v>7</v>
      </c>
      <c r="B12" s="4" t="s">
        <v>80</v>
      </c>
      <c r="C12" s="5">
        <v>90.230999999999995</v>
      </c>
      <c r="D12" s="5">
        <v>25.061</v>
      </c>
      <c r="E12" s="5">
        <v>18.484999999999999</v>
      </c>
      <c r="F12" s="5">
        <v>19.273</v>
      </c>
      <c r="G12" s="5">
        <v>27.411999999999999</v>
      </c>
      <c r="H12" s="6">
        <v>314.8</v>
      </c>
      <c r="I12" s="5">
        <v>638.33900000000006</v>
      </c>
      <c r="J12" s="7">
        <v>1.0443402777777779E-3</v>
      </c>
    </row>
    <row r="13" spans="1:10" x14ac:dyDescent="0.3">
      <c r="A13" s="3">
        <v>8</v>
      </c>
      <c r="B13" s="4" t="s">
        <v>81</v>
      </c>
      <c r="C13" s="5">
        <v>90.457999999999998</v>
      </c>
      <c r="D13" s="5">
        <v>25.207999999999998</v>
      </c>
      <c r="E13" s="5">
        <v>18.579000000000001</v>
      </c>
      <c r="F13" s="5">
        <v>19.3</v>
      </c>
      <c r="G13" s="5">
        <v>27.370999999999999</v>
      </c>
      <c r="H13" s="6">
        <v>313</v>
      </c>
      <c r="I13" s="5">
        <v>728.79700000000003</v>
      </c>
      <c r="J13" s="7">
        <v>1.046967592592593E-3</v>
      </c>
    </row>
    <row r="14" spans="1:10" x14ac:dyDescent="0.3">
      <c r="A14" s="3">
        <v>9</v>
      </c>
      <c r="B14" s="4" t="s">
        <v>82</v>
      </c>
      <c r="C14" s="5">
        <v>90.322999999999993</v>
      </c>
      <c r="D14" s="5">
        <v>25.216999999999999</v>
      </c>
      <c r="E14" s="5">
        <v>18.492999999999999</v>
      </c>
      <c r="F14" s="5">
        <v>19.385000000000002</v>
      </c>
      <c r="G14" s="5">
        <v>27.228000000000002</v>
      </c>
      <c r="H14" s="6">
        <v>312.10000000000002</v>
      </c>
      <c r="I14" s="5">
        <v>819.12</v>
      </c>
      <c r="J14" s="7">
        <v>1.045405092592593E-3</v>
      </c>
    </row>
    <row r="15" spans="1:10" x14ac:dyDescent="0.3">
      <c r="A15" s="3">
        <v>10</v>
      </c>
      <c r="B15" s="4" t="s">
        <v>83</v>
      </c>
      <c r="C15" s="5">
        <v>90.212000000000003</v>
      </c>
      <c r="D15" s="5">
        <v>25.138999999999999</v>
      </c>
      <c r="E15" s="5">
        <v>18.523</v>
      </c>
      <c r="F15" s="5">
        <v>19.239999999999998</v>
      </c>
      <c r="G15" s="5">
        <v>27.31</v>
      </c>
      <c r="H15" s="6">
        <v>313.89999999999998</v>
      </c>
      <c r="I15" s="5">
        <v>909.33199999999999</v>
      </c>
      <c r="J15" s="7">
        <v>1.04412037037037E-3</v>
      </c>
    </row>
    <row r="16" spans="1:10" x14ac:dyDescent="0.3">
      <c r="A16" s="3">
        <v>11</v>
      </c>
      <c r="B16" s="4" t="s">
        <v>84</v>
      </c>
      <c r="C16" s="5">
        <v>90.308000000000007</v>
      </c>
      <c r="D16" s="5">
        <v>25.135999999999999</v>
      </c>
      <c r="E16" s="5">
        <v>18.521000000000001</v>
      </c>
      <c r="F16" s="5">
        <v>19.297000000000001</v>
      </c>
      <c r="G16" s="5">
        <v>27.353999999999999</v>
      </c>
      <c r="H16" s="6">
        <v>313.89999999999998</v>
      </c>
      <c r="I16" s="5">
        <v>999.64</v>
      </c>
      <c r="J16" s="7">
        <v>1.0452314814814821E-3</v>
      </c>
    </row>
    <row r="17" spans="1:10" x14ac:dyDescent="0.3">
      <c r="A17" s="3">
        <v>12</v>
      </c>
      <c r="B17" s="4" t="s">
        <v>85</v>
      </c>
      <c r="C17" s="5">
        <v>90.346999999999994</v>
      </c>
      <c r="D17" s="5">
        <v>25.157</v>
      </c>
      <c r="E17" s="5">
        <v>18.555</v>
      </c>
      <c r="F17" s="5">
        <v>19.302</v>
      </c>
      <c r="G17" s="5">
        <v>27.332999999999998</v>
      </c>
      <c r="H17" s="6">
        <v>312.10000000000002</v>
      </c>
      <c r="I17" s="5">
        <v>1089.9870000000001</v>
      </c>
      <c r="J17" s="7">
        <v>1.04568287037037E-3</v>
      </c>
    </row>
    <row r="18" spans="1:10" x14ac:dyDescent="0.3">
      <c r="A18" s="3">
        <v>13</v>
      </c>
      <c r="B18" s="4" t="s">
        <v>86</v>
      </c>
      <c r="C18" s="5">
        <v>90.292000000000002</v>
      </c>
      <c r="D18" s="5">
        <v>25.106000000000002</v>
      </c>
      <c r="E18" s="5">
        <v>18.567</v>
      </c>
      <c r="F18" s="5">
        <v>19.315000000000001</v>
      </c>
      <c r="G18" s="5">
        <v>27.303999999999998</v>
      </c>
      <c r="H18" s="6">
        <v>313.89999999999998</v>
      </c>
      <c r="I18" s="5">
        <v>1180.279</v>
      </c>
      <c r="J18" s="7">
        <v>1.0450462962962961E-3</v>
      </c>
    </row>
    <row r="19" spans="1:10" x14ac:dyDescent="0.3">
      <c r="A19" s="3">
        <v>14</v>
      </c>
      <c r="B19" s="4" t="s">
        <v>87</v>
      </c>
      <c r="C19" s="5">
        <v>90.263000000000005</v>
      </c>
      <c r="D19" s="5">
        <v>25.155999999999999</v>
      </c>
      <c r="E19" s="5">
        <v>18.588999999999999</v>
      </c>
      <c r="F19" s="5">
        <v>19.308</v>
      </c>
      <c r="G19" s="5">
        <v>27.21</v>
      </c>
      <c r="H19" s="6">
        <v>313.89999999999998</v>
      </c>
      <c r="I19" s="5">
        <v>1270.5419999999999</v>
      </c>
      <c r="J19" s="7">
        <v>1.0447106481481479E-3</v>
      </c>
    </row>
    <row r="20" spans="1:10" x14ac:dyDescent="0.3">
      <c r="A20" s="3">
        <v>15</v>
      </c>
      <c r="B20" s="4" t="s">
        <v>88</v>
      </c>
      <c r="C20" s="5">
        <v>90.248000000000005</v>
      </c>
      <c r="D20" s="5">
        <v>25.148</v>
      </c>
      <c r="E20" s="5">
        <v>18.501999999999999</v>
      </c>
      <c r="F20" s="5">
        <v>19.302</v>
      </c>
      <c r="G20" s="5">
        <v>27.295999999999999</v>
      </c>
      <c r="H20" s="6">
        <v>313</v>
      </c>
      <c r="I20" s="5">
        <v>1360.79</v>
      </c>
      <c r="J20" s="7">
        <v>1.044537037037037E-3</v>
      </c>
    </row>
    <row r="21" spans="1:10" x14ac:dyDescent="0.3">
      <c r="A21" s="3">
        <v>16</v>
      </c>
      <c r="B21" s="4" t="s">
        <v>89</v>
      </c>
      <c r="C21" s="5">
        <v>90.293999999999997</v>
      </c>
      <c r="D21" s="5">
        <v>25.108000000000001</v>
      </c>
      <c r="E21" s="5">
        <v>18.571999999999999</v>
      </c>
      <c r="F21" s="5">
        <v>19.311</v>
      </c>
      <c r="G21" s="5">
        <v>27.303000000000001</v>
      </c>
      <c r="H21" s="6">
        <v>313.89999999999998</v>
      </c>
      <c r="I21" s="5">
        <v>1451.0840000000001</v>
      </c>
      <c r="J21" s="7">
        <v>1.045069444444444E-3</v>
      </c>
    </row>
    <row r="22" spans="1:10" x14ac:dyDescent="0.3">
      <c r="A22" s="3">
        <v>17</v>
      </c>
      <c r="B22" s="4" t="s">
        <v>90</v>
      </c>
      <c r="C22" s="5">
        <v>90.411000000000001</v>
      </c>
      <c r="D22" s="5">
        <v>25.173999999999999</v>
      </c>
      <c r="E22" s="5">
        <v>18.539000000000001</v>
      </c>
      <c r="F22" s="5">
        <v>19.361999999999998</v>
      </c>
      <c r="G22" s="5">
        <v>27.335999999999999</v>
      </c>
      <c r="H22" s="6">
        <v>313.89999999999998</v>
      </c>
      <c r="I22" s="5">
        <v>1541.4949999999999</v>
      </c>
      <c r="J22" s="7">
        <v>1.046423611111111E-3</v>
      </c>
    </row>
    <row r="23" spans="1:10" x14ac:dyDescent="0.3">
      <c r="A23" s="3">
        <v>18</v>
      </c>
      <c r="B23" s="4" t="s">
        <v>91</v>
      </c>
      <c r="C23" s="5">
        <v>90.674000000000007</v>
      </c>
      <c r="D23" s="5">
        <v>25.192</v>
      </c>
      <c r="E23" s="5">
        <v>18.579999999999998</v>
      </c>
      <c r="F23" s="5">
        <v>19.422999999999998</v>
      </c>
      <c r="G23" s="5">
        <v>27.478999999999999</v>
      </c>
      <c r="H23" s="6">
        <v>313.89999999999998</v>
      </c>
      <c r="I23" s="5">
        <v>1632.1690000000001</v>
      </c>
      <c r="J23" s="7">
        <v>1.0494675925925929E-3</v>
      </c>
    </row>
    <row r="24" spans="1:10" x14ac:dyDescent="0.3">
      <c r="A24" s="3">
        <v>19</v>
      </c>
      <c r="B24" s="4" t="s">
        <v>92</v>
      </c>
      <c r="C24" s="5">
        <v>90.838999999999999</v>
      </c>
      <c r="D24" s="5">
        <v>25.268999999999998</v>
      </c>
      <c r="E24" s="5">
        <v>18.745999999999999</v>
      </c>
      <c r="F24" s="5">
        <v>19.431000000000001</v>
      </c>
      <c r="G24" s="5">
        <v>27.393000000000001</v>
      </c>
      <c r="H24" s="6">
        <v>313.89999999999998</v>
      </c>
      <c r="I24" s="5">
        <v>1723.008</v>
      </c>
      <c r="J24" s="7">
        <v>1.0513773148148151E-3</v>
      </c>
    </row>
    <row r="25" spans="1:10" x14ac:dyDescent="0.3">
      <c r="A25" s="3">
        <v>20</v>
      </c>
      <c r="B25" s="4" t="s">
        <v>93</v>
      </c>
      <c r="C25" s="5">
        <v>90.613</v>
      </c>
      <c r="D25" s="5">
        <v>25.21</v>
      </c>
      <c r="E25" s="5">
        <v>18.611000000000001</v>
      </c>
      <c r="F25" s="5">
        <v>19.408000000000001</v>
      </c>
      <c r="G25" s="5">
        <v>27.384</v>
      </c>
      <c r="H25" s="6">
        <v>313.89999999999998</v>
      </c>
      <c r="I25" s="5">
        <v>1813.6210000000001</v>
      </c>
      <c r="J25" s="7">
        <v>1.0487615740740739E-3</v>
      </c>
    </row>
    <row r="26" spans="1:10" x14ac:dyDescent="0.3">
      <c r="A26" s="3">
        <v>21</v>
      </c>
      <c r="B26" s="4" t="s">
        <v>94</v>
      </c>
      <c r="C26" s="5">
        <v>90.841999999999999</v>
      </c>
      <c r="D26" s="5">
        <v>25.189</v>
      </c>
      <c r="E26" s="5">
        <v>18.736000000000001</v>
      </c>
      <c r="F26" s="5">
        <v>19.515000000000001</v>
      </c>
      <c r="G26" s="5">
        <v>27.402000000000001</v>
      </c>
      <c r="H26" s="6">
        <v>314.8</v>
      </c>
      <c r="I26" s="5">
        <v>1904.463</v>
      </c>
      <c r="J26" s="7">
        <v>1.0514120370370369E-3</v>
      </c>
    </row>
    <row r="27" spans="1:10" x14ac:dyDescent="0.3">
      <c r="A27" s="3">
        <v>22</v>
      </c>
      <c r="B27" s="4" t="s">
        <v>95</v>
      </c>
      <c r="C27" s="5">
        <v>91.055999999999997</v>
      </c>
      <c r="D27" s="5">
        <v>25.303000000000001</v>
      </c>
      <c r="E27" s="5">
        <v>18.704999999999998</v>
      </c>
      <c r="F27" s="5">
        <v>19.53</v>
      </c>
      <c r="G27" s="5">
        <v>27.518000000000001</v>
      </c>
      <c r="H27" s="6">
        <v>313.89999999999998</v>
      </c>
      <c r="I27" s="5">
        <v>1995.519</v>
      </c>
      <c r="J27" s="7">
        <v>1.0538888888888889E-3</v>
      </c>
    </row>
    <row r="28" spans="1:10" x14ac:dyDescent="0.3">
      <c r="A28" s="3">
        <v>23</v>
      </c>
      <c r="B28" s="4" t="s">
        <v>96</v>
      </c>
      <c r="C28" s="5">
        <v>90.950999999999993</v>
      </c>
      <c r="D28" s="5">
        <v>25.283999999999999</v>
      </c>
      <c r="E28" s="5">
        <v>18.763999999999999</v>
      </c>
      <c r="F28" s="5">
        <v>19.489000000000001</v>
      </c>
      <c r="G28" s="5">
        <v>27.414000000000001</v>
      </c>
      <c r="H28" s="6">
        <v>313</v>
      </c>
      <c r="I28" s="5">
        <v>2086.4699999999998</v>
      </c>
      <c r="J28" s="7">
        <v>1.052673611111111E-3</v>
      </c>
    </row>
    <row r="29" spans="1:10" x14ac:dyDescent="0.3">
      <c r="A29" s="3">
        <v>24</v>
      </c>
      <c r="B29" s="4" t="s">
        <v>97</v>
      </c>
      <c r="C29" s="5">
        <v>91.143000000000001</v>
      </c>
      <c r="D29" s="5">
        <v>25.469000000000001</v>
      </c>
      <c r="E29" s="5">
        <v>18.73</v>
      </c>
      <c r="F29" s="5">
        <v>19.422999999999998</v>
      </c>
      <c r="G29" s="5">
        <v>27.521000000000001</v>
      </c>
      <c r="H29" s="6">
        <v>313.89999999999998</v>
      </c>
      <c r="I29" s="5">
        <v>2177.6129999999998</v>
      </c>
      <c r="J29" s="7">
        <v>1.054895833333333E-3</v>
      </c>
    </row>
    <row r="30" spans="1:10" x14ac:dyDescent="0.3">
      <c r="A30" s="3">
        <v>25</v>
      </c>
      <c r="B30" s="4" t="s">
        <v>98</v>
      </c>
      <c r="C30" s="5">
        <v>91.24</v>
      </c>
      <c r="D30" s="5">
        <v>25.277000000000001</v>
      </c>
      <c r="E30" s="5">
        <v>18.776</v>
      </c>
      <c r="F30" s="5">
        <v>19.597999999999999</v>
      </c>
      <c r="G30" s="5">
        <v>27.588999999999999</v>
      </c>
      <c r="H30" s="6">
        <v>316.7</v>
      </c>
      <c r="I30" s="5">
        <v>2268.8530000000001</v>
      </c>
      <c r="J30" s="7">
        <v>1.056018518518518E-3</v>
      </c>
    </row>
    <row r="31" spans="1:10" x14ac:dyDescent="0.3">
      <c r="A31" s="3">
        <v>26</v>
      </c>
      <c r="B31" s="4" t="s">
        <v>99</v>
      </c>
      <c r="C31" s="5">
        <v>91.656000000000006</v>
      </c>
      <c r="D31" s="5">
        <v>25.547999999999998</v>
      </c>
      <c r="E31" s="5">
        <v>18.927</v>
      </c>
      <c r="F31" s="5">
        <v>19.547999999999998</v>
      </c>
      <c r="G31" s="5">
        <v>27.632999999999999</v>
      </c>
      <c r="H31" s="6">
        <v>314.8</v>
      </c>
      <c r="I31" s="5">
        <v>2360.509</v>
      </c>
      <c r="J31" s="7">
        <v>1.0608333333333329E-3</v>
      </c>
    </row>
    <row r="32" spans="1:10" x14ac:dyDescent="0.3">
      <c r="A32" s="3">
        <v>27</v>
      </c>
      <c r="B32" s="4" t="s">
        <v>100</v>
      </c>
      <c r="C32" s="5">
        <v>92.962999999999994</v>
      </c>
      <c r="D32" s="5">
        <v>25.565999999999999</v>
      </c>
      <c r="E32" s="5">
        <v>19.132000000000001</v>
      </c>
      <c r="F32" s="5">
        <v>19.738</v>
      </c>
      <c r="G32" s="5">
        <v>28.527000000000001</v>
      </c>
      <c r="H32" s="6">
        <v>314.8</v>
      </c>
      <c r="I32" s="5">
        <v>2453.4720000000002</v>
      </c>
      <c r="J32" s="7">
        <v>1.0759606481481479E-3</v>
      </c>
    </row>
  </sheetData>
  <autoFilter ref="A5:J32" xr:uid="{00000000-0009-0000-0000-000002000000}"/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101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45</v>
      </c>
      <c r="C3" s="1" t="s">
        <v>3</v>
      </c>
      <c r="D3" s="1" t="s">
        <v>4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102</v>
      </c>
      <c r="C6" s="5">
        <v>96.867999999999995</v>
      </c>
      <c r="D6" s="5">
        <v>29.963999999999999</v>
      </c>
      <c r="E6" s="5">
        <v>19.068999999999999</v>
      </c>
      <c r="F6" s="5">
        <v>19.757000000000001</v>
      </c>
      <c r="G6" s="5">
        <v>28.077999999999999</v>
      </c>
      <c r="H6" s="6">
        <v>262.7</v>
      </c>
      <c r="I6" s="5">
        <v>96.867999999999995</v>
      </c>
      <c r="J6" s="7">
        <v>1.1211574074074071E-3</v>
      </c>
    </row>
    <row r="7" spans="1:10" x14ac:dyDescent="0.3">
      <c r="A7" s="3">
        <v>2</v>
      </c>
      <c r="B7" s="4" t="s">
        <v>103</v>
      </c>
      <c r="C7" s="5">
        <v>91.325999999999993</v>
      </c>
      <c r="D7" s="5">
        <v>25.573</v>
      </c>
      <c r="E7" s="5">
        <v>18.686</v>
      </c>
      <c r="F7" s="5">
        <v>19.559999999999999</v>
      </c>
      <c r="G7" s="5">
        <v>27.507000000000001</v>
      </c>
      <c r="H7" s="6">
        <v>302.5</v>
      </c>
      <c r="I7" s="5">
        <v>188.19399999999999</v>
      </c>
      <c r="J7" s="7">
        <v>1.057013888888889E-3</v>
      </c>
    </row>
    <row r="8" spans="1:10" x14ac:dyDescent="0.3">
      <c r="A8" s="3">
        <v>3</v>
      </c>
      <c r="B8" s="4" t="s">
        <v>104</v>
      </c>
      <c r="C8" s="5">
        <v>90.956000000000003</v>
      </c>
      <c r="D8" s="5">
        <v>25.440999999999999</v>
      </c>
      <c r="E8" s="5">
        <v>18.684000000000001</v>
      </c>
      <c r="F8" s="5">
        <v>19.408999999999999</v>
      </c>
      <c r="G8" s="5">
        <v>27.422000000000001</v>
      </c>
      <c r="H8" s="6">
        <v>310.3</v>
      </c>
      <c r="I8" s="5">
        <v>279.14999999999998</v>
      </c>
      <c r="J8" s="7">
        <v>1.052731481481482E-3</v>
      </c>
    </row>
    <row r="9" spans="1:10" x14ac:dyDescent="0.3">
      <c r="A9" s="3">
        <v>4</v>
      </c>
      <c r="B9" s="4" t="s">
        <v>105</v>
      </c>
      <c r="C9" s="5">
        <v>90.659000000000006</v>
      </c>
      <c r="D9" s="5">
        <v>25.324000000000002</v>
      </c>
      <c r="E9" s="5">
        <v>18.555</v>
      </c>
      <c r="F9" s="5">
        <v>19.358000000000001</v>
      </c>
      <c r="G9" s="5">
        <v>27.422000000000001</v>
      </c>
      <c r="H9" s="6">
        <v>306.8</v>
      </c>
      <c r="I9" s="5">
        <v>369.80900000000003</v>
      </c>
      <c r="J9" s="7">
        <v>1.049293981481482E-3</v>
      </c>
    </row>
    <row r="10" spans="1:10" x14ac:dyDescent="0.3">
      <c r="A10" s="3">
        <v>5</v>
      </c>
      <c r="B10" s="4" t="s">
        <v>106</v>
      </c>
      <c r="C10" s="5">
        <v>90.694000000000003</v>
      </c>
      <c r="D10" s="5">
        <v>25.306999999999999</v>
      </c>
      <c r="E10" s="5">
        <v>18.655999999999999</v>
      </c>
      <c r="F10" s="5">
        <v>19.382000000000001</v>
      </c>
      <c r="G10" s="5">
        <v>27.349</v>
      </c>
      <c r="H10" s="6">
        <v>310.3</v>
      </c>
      <c r="I10" s="5">
        <v>460.50299999999999</v>
      </c>
      <c r="J10" s="7">
        <v>1.049699074074074E-3</v>
      </c>
    </row>
    <row r="11" spans="1:10" x14ac:dyDescent="0.3">
      <c r="A11" s="3">
        <v>6</v>
      </c>
      <c r="B11" s="4" t="s">
        <v>107</v>
      </c>
      <c r="C11" s="5">
        <v>90.427999999999997</v>
      </c>
      <c r="D11" s="5">
        <v>25.327999999999999</v>
      </c>
      <c r="E11" s="5">
        <v>18.562000000000001</v>
      </c>
      <c r="F11" s="5">
        <v>19.332000000000001</v>
      </c>
      <c r="G11" s="5">
        <v>27.206</v>
      </c>
      <c r="H11" s="6">
        <v>311.2</v>
      </c>
      <c r="I11" s="5">
        <v>550.93100000000004</v>
      </c>
      <c r="J11" s="7">
        <v>1.0466203703703701E-3</v>
      </c>
    </row>
    <row r="12" spans="1:10" x14ac:dyDescent="0.3">
      <c r="A12" s="3">
        <v>7</v>
      </c>
      <c r="B12" s="4" t="s">
        <v>108</v>
      </c>
      <c r="C12" s="5">
        <v>90.463999999999999</v>
      </c>
      <c r="D12" s="5">
        <v>25.21</v>
      </c>
      <c r="E12" s="5">
        <v>18.548999999999999</v>
      </c>
      <c r="F12" s="5">
        <v>19.391999999999999</v>
      </c>
      <c r="G12" s="5">
        <v>27.312999999999999</v>
      </c>
      <c r="H12" s="6">
        <v>313.89999999999998</v>
      </c>
      <c r="I12" s="5">
        <v>641.39499999999998</v>
      </c>
      <c r="J12" s="7">
        <v>1.0470370370370371E-3</v>
      </c>
    </row>
    <row r="13" spans="1:10" x14ac:dyDescent="0.3">
      <c r="A13" s="3">
        <v>8</v>
      </c>
      <c r="B13" s="4" t="s">
        <v>109</v>
      </c>
      <c r="C13" s="5">
        <v>90.301000000000002</v>
      </c>
      <c r="D13" s="5">
        <v>25.234000000000002</v>
      </c>
      <c r="E13" s="5">
        <v>18.545000000000002</v>
      </c>
      <c r="F13" s="5">
        <v>19.321999999999999</v>
      </c>
      <c r="G13" s="5">
        <v>27.2</v>
      </c>
      <c r="H13" s="6">
        <v>313</v>
      </c>
      <c r="I13" s="5">
        <v>731.69600000000003</v>
      </c>
      <c r="J13" s="7">
        <v>1.045150462962963E-3</v>
      </c>
    </row>
    <row r="14" spans="1:10" x14ac:dyDescent="0.3">
      <c r="A14" s="3">
        <v>9</v>
      </c>
      <c r="B14" s="4" t="s">
        <v>110</v>
      </c>
      <c r="C14" s="5">
        <v>90.736999999999995</v>
      </c>
      <c r="D14" s="5">
        <v>25.297999999999998</v>
      </c>
      <c r="E14" s="5">
        <v>18.532</v>
      </c>
      <c r="F14" s="5">
        <v>19.588999999999999</v>
      </c>
      <c r="G14" s="5">
        <v>27.318000000000001</v>
      </c>
      <c r="H14" s="6">
        <v>311.2</v>
      </c>
      <c r="I14" s="5">
        <v>822.43299999999999</v>
      </c>
      <c r="J14" s="7">
        <v>1.050196759259259E-3</v>
      </c>
    </row>
    <row r="15" spans="1:10" x14ac:dyDescent="0.3">
      <c r="A15" s="3">
        <v>10</v>
      </c>
      <c r="B15" s="4" t="s">
        <v>111</v>
      </c>
      <c r="C15" s="5">
        <v>90.456999999999994</v>
      </c>
      <c r="D15" s="5">
        <v>25.285</v>
      </c>
      <c r="E15" s="5">
        <v>18.486000000000001</v>
      </c>
      <c r="F15" s="5">
        <v>19.34</v>
      </c>
      <c r="G15" s="5">
        <v>27.346</v>
      </c>
      <c r="H15" s="6">
        <v>313.89999999999998</v>
      </c>
      <c r="I15" s="5">
        <v>912.89</v>
      </c>
      <c r="J15" s="7">
        <v>1.046956018518518E-3</v>
      </c>
    </row>
    <row r="16" spans="1:10" x14ac:dyDescent="0.3">
      <c r="A16" s="3">
        <v>11</v>
      </c>
      <c r="B16" s="4" t="s">
        <v>112</v>
      </c>
      <c r="C16" s="5">
        <v>90.477000000000004</v>
      </c>
      <c r="D16" s="5">
        <v>25.172999999999998</v>
      </c>
      <c r="E16" s="5">
        <v>18.545000000000002</v>
      </c>
      <c r="F16" s="5">
        <v>19.427</v>
      </c>
      <c r="G16" s="5">
        <v>27.332000000000001</v>
      </c>
      <c r="H16" s="6">
        <v>313</v>
      </c>
      <c r="I16" s="5">
        <v>1003.367</v>
      </c>
      <c r="J16" s="7">
        <v>1.0471874999999999E-3</v>
      </c>
    </row>
    <row r="17" spans="1:10" x14ac:dyDescent="0.3">
      <c r="A17" s="3">
        <v>12</v>
      </c>
      <c r="B17" s="4" t="s">
        <v>113</v>
      </c>
      <c r="C17" s="5">
        <v>90.343000000000004</v>
      </c>
      <c r="D17" s="5">
        <v>25.256</v>
      </c>
      <c r="E17" s="5">
        <v>18.463999999999999</v>
      </c>
      <c r="F17" s="5">
        <v>19.308</v>
      </c>
      <c r="G17" s="5">
        <v>27.315000000000001</v>
      </c>
      <c r="H17" s="6">
        <v>313</v>
      </c>
      <c r="I17" s="5">
        <v>1093.71</v>
      </c>
      <c r="J17" s="7">
        <v>1.045636574074074E-3</v>
      </c>
    </row>
    <row r="18" spans="1:10" x14ac:dyDescent="0.3">
      <c r="A18" s="3">
        <v>13</v>
      </c>
      <c r="B18" s="4" t="s">
        <v>114</v>
      </c>
      <c r="C18" s="5">
        <v>90.935000000000002</v>
      </c>
      <c r="D18" s="5">
        <v>25.231000000000002</v>
      </c>
      <c r="E18" s="5">
        <v>18.552</v>
      </c>
      <c r="F18" s="5">
        <v>19.684000000000001</v>
      </c>
      <c r="G18" s="5">
        <v>27.468</v>
      </c>
      <c r="H18" s="6">
        <v>311.2</v>
      </c>
      <c r="I18" s="5">
        <v>1184.645</v>
      </c>
      <c r="J18" s="7">
        <v>1.0524884259259259E-3</v>
      </c>
    </row>
    <row r="19" spans="1:10" x14ac:dyDescent="0.3">
      <c r="A19" s="3">
        <v>14</v>
      </c>
      <c r="B19" s="4" t="s">
        <v>115</v>
      </c>
      <c r="C19" s="5">
        <v>90.504999999999995</v>
      </c>
      <c r="D19" s="5">
        <v>25.314</v>
      </c>
      <c r="E19" s="5">
        <v>18.552</v>
      </c>
      <c r="F19" s="5">
        <v>19.433</v>
      </c>
      <c r="G19" s="5">
        <v>27.206</v>
      </c>
      <c r="H19" s="6">
        <v>314.8</v>
      </c>
      <c r="I19" s="5">
        <v>1275.1500000000001</v>
      </c>
      <c r="J19" s="7">
        <v>1.047511574074074E-3</v>
      </c>
    </row>
    <row r="20" spans="1:10" x14ac:dyDescent="0.3">
      <c r="A20" s="3">
        <v>15</v>
      </c>
      <c r="B20" s="4" t="s">
        <v>116</v>
      </c>
      <c r="C20" s="5">
        <v>90.480999999999995</v>
      </c>
      <c r="D20" s="5">
        <v>25.276</v>
      </c>
      <c r="E20" s="5">
        <v>18.545999999999999</v>
      </c>
      <c r="F20" s="5">
        <v>19.353999999999999</v>
      </c>
      <c r="G20" s="5">
        <v>27.305</v>
      </c>
      <c r="H20" s="6">
        <v>314.8</v>
      </c>
      <c r="I20" s="5">
        <v>1365.6310000000001</v>
      </c>
      <c r="J20" s="7">
        <v>1.0472337962962961E-3</v>
      </c>
    </row>
    <row r="21" spans="1:10" x14ac:dyDescent="0.3">
      <c r="A21" s="3">
        <v>16</v>
      </c>
      <c r="B21" s="4" t="s">
        <v>117</v>
      </c>
      <c r="C21" s="5">
        <v>90.731999999999999</v>
      </c>
      <c r="D21" s="5">
        <v>25.331</v>
      </c>
      <c r="E21" s="5">
        <v>18.696000000000002</v>
      </c>
      <c r="F21" s="5">
        <v>19.378</v>
      </c>
      <c r="G21" s="5">
        <v>27.327000000000002</v>
      </c>
      <c r="H21" s="6">
        <v>309.39999999999998</v>
      </c>
      <c r="I21" s="5">
        <v>1456.3630000000001</v>
      </c>
      <c r="J21" s="7">
        <v>1.0501388888888891E-3</v>
      </c>
    </row>
    <row r="22" spans="1:10" x14ac:dyDescent="0.3">
      <c r="A22" s="3">
        <v>17</v>
      </c>
      <c r="B22" s="4" t="s">
        <v>118</v>
      </c>
      <c r="C22" s="5">
        <v>91.061000000000007</v>
      </c>
      <c r="D22" s="5">
        <v>25.247</v>
      </c>
      <c r="E22" s="5">
        <v>18.827000000000002</v>
      </c>
      <c r="F22" s="5">
        <v>19.405999999999999</v>
      </c>
      <c r="G22" s="5">
        <v>27.581</v>
      </c>
      <c r="H22" s="6">
        <v>313.89999999999998</v>
      </c>
      <c r="I22" s="5">
        <v>1547.424</v>
      </c>
      <c r="J22" s="7">
        <v>1.053946759259259E-3</v>
      </c>
    </row>
    <row r="23" spans="1:10" x14ac:dyDescent="0.3">
      <c r="A23" s="3">
        <v>18</v>
      </c>
      <c r="B23" s="4" t="s">
        <v>119</v>
      </c>
      <c r="C23" s="5">
        <v>90.858000000000004</v>
      </c>
      <c r="D23" s="5">
        <v>25.46</v>
      </c>
      <c r="E23" s="5">
        <v>18.558</v>
      </c>
      <c r="F23" s="5">
        <v>19.437000000000001</v>
      </c>
      <c r="G23" s="5">
        <v>27.402999999999999</v>
      </c>
      <c r="H23" s="6">
        <v>310.3</v>
      </c>
      <c r="I23" s="5">
        <v>1638.2819999999999</v>
      </c>
      <c r="J23" s="7">
        <v>1.051597222222222E-3</v>
      </c>
    </row>
    <row r="24" spans="1:10" x14ac:dyDescent="0.3">
      <c r="A24" s="3">
        <v>19</v>
      </c>
      <c r="B24" s="4" t="s">
        <v>120</v>
      </c>
      <c r="C24" s="5">
        <v>91.242999999999995</v>
      </c>
      <c r="D24" s="5">
        <v>25.257000000000001</v>
      </c>
      <c r="E24" s="5">
        <v>18.562000000000001</v>
      </c>
      <c r="F24" s="5">
        <v>20.113</v>
      </c>
      <c r="G24" s="5">
        <v>27.311</v>
      </c>
      <c r="H24" s="6">
        <v>306.8</v>
      </c>
      <c r="I24" s="5">
        <v>1729.5250000000001</v>
      </c>
      <c r="J24" s="7">
        <v>1.0560532407407411E-3</v>
      </c>
    </row>
    <row r="25" spans="1:10" x14ac:dyDescent="0.3">
      <c r="A25" s="3">
        <v>20</v>
      </c>
      <c r="B25" s="4" t="s">
        <v>121</v>
      </c>
      <c r="C25" s="5">
        <v>90.608999999999995</v>
      </c>
      <c r="D25" s="5">
        <v>25.253</v>
      </c>
      <c r="E25" s="5">
        <v>18.646000000000001</v>
      </c>
      <c r="F25" s="5">
        <v>19.364000000000001</v>
      </c>
      <c r="G25" s="5">
        <v>27.346</v>
      </c>
      <c r="H25" s="6">
        <v>312.10000000000002</v>
      </c>
      <c r="I25" s="5">
        <v>1820.134</v>
      </c>
      <c r="J25" s="7">
        <v>1.048715277777778E-3</v>
      </c>
    </row>
    <row r="26" spans="1:10" x14ac:dyDescent="0.3">
      <c r="A26" s="3">
        <v>21</v>
      </c>
      <c r="B26" s="4" t="s">
        <v>105</v>
      </c>
      <c r="C26" s="5">
        <v>90.659000000000006</v>
      </c>
      <c r="D26" s="5">
        <v>25.32</v>
      </c>
      <c r="E26" s="5">
        <v>18.617999999999999</v>
      </c>
      <c r="F26" s="5">
        <v>19.363</v>
      </c>
      <c r="G26" s="5">
        <v>27.358000000000001</v>
      </c>
      <c r="H26" s="6">
        <v>309.39999999999998</v>
      </c>
      <c r="I26" s="5">
        <v>1910.7929999999999</v>
      </c>
      <c r="J26" s="7">
        <v>1.049293981481482E-3</v>
      </c>
    </row>
    <row r="27" spans="1:10" x14ac:dyDescent="0.3">
      <c r="A27" s="3">
        <v>22</v>
      </c>
      <c r="B27" s="4" t="s">
        <v>122</v>
      </c>
      <c r="C27" s="5">
        <v>90.704999999999998</v>
      </c>
      <c r="D27" s="5">
        <v>25.173999999999999</v>
      </c>
      <c r="E27" s="5">
        <v>18.75</v>
      </c>
      <c r="F27" s="5">
        <v>19.428999999999998</v>
      </c>
      <c r="G27" s="5">
        <v>27.352</v>
      </c>
      <c r="H27" s="6">
        <v>312.10000000000002</v>
      </c>
      <c r="I27" s="5">
        <v>2001.498</v>
      </c>
      <c r="J27" s="7">
        <v>1.049826388888889E-3</v>
      </c>
    </row>
    <row r="28" spans="1:10" x14ac:dyDescent="0.3">
      <c r="A28" s="3">
        <v>23</v>
      </c>
      <c r="B28" s="4" t="s">
        <v>123</v>
      </c>
      <c r="C28" s="5">
        <v>90.712000000000003</v>
      </c>
      <c r="D28" s="5">
        <v>25.248000000000001</v>
      </c>
      <c r="E28" s="5">
        <v>18.744</v>
      </c>
      <c r="F28" s="5">
        <v>19.338999999999999</v>
      </c>
      <c r="G28" s="5">
        <v>27.381</v>
      </c>
      <c r="H28" s="6">
        <v>313</v>
      </c>
      <c r="I28" s="5">
        <v>2092.21</v>
      </c>
      <c r="J28" s="7">
        <v>1.049907407407407E-3</v>
      </c>
    </row>
    <row r="29" spans="1:10" x14ac:dyDescent="0.3">
      <c r="A29" s="3">
        <v>24</v>
      </c>
      <c r="B29" s="4" t="s">
        <v>124</v>
      </c>
      <c r="C29" s="5">
        <v>90.697000000000003</v>
      </c>
      <c r="D29" s="5">
        <v>25.251999999999999</v>
      </c>
      <c r="E29" s="5">
        <v>18.706</v>
      </c>
      <c r="F29" s="5">
        <v>19.402000000000001</v>
      </c>
      <c r="G29" s="5">
        <v>27.337</v>
      </c>
      <c r="H29" s="6">
        <v>307.60000000000002</v>
      </c>
      <c r="I29" s="5">
        <v>2182.9070000000002</v>
      </c>
      <c r="J29" s="7">
        <v>1.049733796296296E-3</v>
      </c>
    </row>
    <row r="30" spans="1:10" x14ac:dyDescent="0.3">
      <c r="A30" s="3">
        <v>25</v>
      </c>
      <c r="B30" s="4" t="s">
        <v>125</v>
      </c>
      <c r="C30" s="5">
        <v>91.307000000000002</v>
      </c>
      <c r="D30" s="5">
        <v>25.216999999999999</v>
      </c>
      <c r="E30" s="5">
        <v>18.731999999999999</v>
      </c>
      <c r="F30" s="5">
        <v>19.379000000000001</v>
      </c>
      <c r="G30" s="5">
        <v>27.978999999999999</v>
      </c>
      <c r="H30" s="6">
        <v>310.3</v>
      </c>
      <c r="I30" s="5">
        <v>2274.2139999999999</v>
      </c>
      <c r="J30" s="7">
        <v>1.056793981481481E-3</v>
      </c>
    </row>
    <row r="31" spans="1:10" x14ac:dyDescent="0.3">
      <c r="A31" s="3">
        <v>26</v>
      </c>
      <c r="B31" s="4" t="s">
        <v>126</v>
      </c>
      <c r="C31" s="5">
        <v>90.93</v>
      </c>
      <c r="D31" s="5">
        <v>25.324000000000002</v>
      </c>
      <c r="E31" s="5">
        <v>18.713000000000001</v>
      </c>
      <c r="F31" s="5">
        <v>19.420000000000002</v>
      </c>
      <c r="G31" s="5">
        <v>27.472999999999999</v>
      </c>
      <c r="H31" s="6">
        <v>313.89999999999998</v>
      </c>
      <c r="I31" s="5">
        <v>2365.1439999999998</v>
      </c>
      <c r="J31" s="7">
        <v>1.052430555555556E-3</v>
      </c>
    </row>
    <row r="32" spans="1:10" x14ac:dyDescent="0.3">
      <c r="A32" s="3">
        <v>27</v>
      </c>
      <c r="B32" s="4" t="s">
        <v>127</v>
      </c>
      <c r="C32" s="5">
        <v>90.816000000000003</v>
      </c>
      <c r="D32" s="5">
        <v>25.251000000000001</v>
      </c>
      <c r="E32" s="5">
        <v>18.646999999999998</v>
      </c>
      <c r="F32" s="5">
        <v>19.454999999999998</v>
      </c>
      <c r="G32" s="5">
        <v>27.463000000000001</v>
      </c>
      <c r="H32" s="6">
        <v>314.8</v>
      </c>
      <c r="I32" s="5">
        <v>2455.96</v>
      </c>
      <c r="J32" s="7">
        <v>1.051111111111111E-3</v>
      </c>
    </row>
  </sheetData>
  <autoFilter ref="A5:J32" xr:uid="{00000000-0009-0000-0000-000003000000}"/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128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129</v>
      </c>
      <c r="C3" s="1" t="s">
        <v>3</v>
      </c>
      <c r="D3" s="1" t="s">
        <v>130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131</v>
      </c>
      <c r="C6" s="5">
        <v>96.69</v>
      </c>
      <c r="D6" s="5">
        <v>30.242000000000001</v>
      </c>
      <c r="E6" s="5">
        <v>19.202000000000002</v>
      </c>
      <c r="F6" s="5">
        <v>19.608000000000001</v>
      </c>
      <c r="G6" s="5">
        <v>27.638000000000002</v>
      </c>
      <c r="H6" s="6">
        <v>266.60000000000002</v>
      </c>
      <c r="I6" s="5">
        <v>96.69</v>
      </c>
      <c r="J6" s="7">
        <v>1.1190972222222221E-3</v>
      </c>
    </row>
    <row r="7" spans="1:10" x14ac:dyDescent="0.3">
      <c r="A7" s="3">
        <v>2</v>
      </c>
      <c r="B7" s="4" t="s">
        <v>132</v>
      </c>
      <c r="C7" s="5">
        <v>90.768000000000001</v>
      </c>
      <c r="D7" s="5">
        <v>25.347999999999999</v>
      </c>
      <c r="E7" s="5">
        <v>18.783000000000001</v>
      </c>
      <c r="F7" s="5">
        <v>19.434999999999999</v>
      </c>
      <c r="G7" s="5">
        <v>27.202000000000002</v>
      </c>
      <c r="H7" s="6">
        <v>306.8</v>
      </c>
      <c r="I7" s="5">
        <v>187.458</v>
      </c>
      <c r="J7" s="7">
        <v>1.0505555555555561E-3</v>
      </c>
    </row>
    <row r="8" spans="1:10" x14ac:dyDescent="0.3">
      <c r="A8" s="3">
        <v>3</v>
      </c>
      <c r="B8" s="4" t="s">
        <v>133</v>
      </c>
      <c r="C8" s="5">
        <v>90.546000000000006</v>
      </c>
      <c r="D8" s="5">
        <v>25.297999999999998</v>
      </c>
      <c r="E8" s="5">
        <v>18.751000000000001</v>
      </c>
      <c r="F8" s="5">
        <v>19.276</v>
      </c>
      <c r="G8" s="5">
        <v>27.221</v>
      </c>
      <c r="H8" s="6">
        <v>311.2</v>
      </c>
      <c r="I8" s="5">
        <v>278.00400000000002</v>
      </c>
      <c r="J8" s="7">
        <v>1.0479861111111111E-3</v>
      </c>
    </row>
    <row r="9" spans="1:10" x14ac:dyDescent="0.3">
      <c r="A9" s="3">
        <v>4</v>
      </c>
      <c r="B9" s="4" t="s">
        <v>134</v>
      </c>
      <c r="C9" s="5">
        <v>90.254000000000005</v>
      </c>
      <c r="D9" s="5">
        <v>25.126000000000001</v>
      </c>
      <c r="E9" s="5">
        <v>18.77</v>
      </c>
      <c r="F9" s="5">
        <v>19.204000000000001</v>
      </c>
      <c r="G9" s="5">
        <v>27.154</v>
      </c>
      <c r="H9" s="6">
        <v>314.8</v>
      </c>
      <c r="I9" s="5">
        <v>368.25799999999998</v>
      </c>
      <c r="J9" s="7">
        <v>1.0446064814814821E-3</v>
      </c>
    </row>
    <row r="10" spans="1:10" x14ac:dyDescent="0.3">
      <c r="A10" s="3">
        <v>5</v>
      </c>
      <c r="B10" s="4" t="s">
        <v>76</v>
      </c>
      <c r="C10" s="5">
        <v>90.372</v>
      </c>
      <c r="D10" s="5">
        <v>25.151</v>
      </c>
      <c r="E10" s="5">
        <v>18.745000000000001</v>
      </c>
      <c r="F10" s="5">
        <v>19.273</v>
      </c>
      <c r="G10" s="5">
        <v>27.202999999999999</v>
      </c>
      <c r="H10" s="6">
        <v>307.60000000000002</v>
      </c>
      <c r="I10" s="5">
        <v>458.63</v>
      </c>
      <c r="J10" s="7">
        <v>1.045972222222222E-3</v>
      </c>
    </row>
    <row r="11" spans="1:10" x14ac:dyDescent="0.3">
      <c r="A11" s="3">
        <v>6</v>
      </c>
      <c r="B11" s="4" t="s">
        <v>135</v>
      </c>
      <c r="C11" s="5">
        <v>90.256</v>
      </c>
      <c r="D11" s="5">
        <v>25.198</v>
      </c>
      <c r="E11" s="5">
        <v>18.675999999999998</v>
      </c>
      <c r="F11" s="5">
        <v>19.190000000000001</v>
      </c>
      <c r="G11" s="5">
        <v>27.192</v>
      </c>
      <c r="H11" s="6">
        <v>311.2</v>
      </c>
      <c r="I11" s="5">
        <v>548.88599999999997</v>
      </c>
      <c r="J11" s="7">
        <v>1.0446296296296299E-3</v>
      </c>
    </row>
    <row r="12" spans="1:10" x14ac:dyDescent="0.3">
      <c r="A12" s="3">
        <v>7</v>
      </c>
      <c r="B12" s="4" t="s">
        <v>136</v>
      </c>
      <c r="C12" s="5">
        <v>90.572000000000003</v>
      </c>
      <c r="D12" s="5">
        <v>25.105</v>
      </c>
      <c r="E12" s="5">
        <v>18.629000000000001</v>
      </c>
      <c r="F12" s="5">
        <v>19.635999999999999</v>
      </c>
      <c r="G12" s="5">
        <v>27.202000000000002</v>
      </c>
      <c r="H12" s="6">
        <v>311.2</v>
      </c>
      <c r="I12" s="5">
        <v>639.45799999999997</v>
      </c>
      <c r="J12" s="7">
        <v>1.048287037037037E-3</v>
      </c>
    </row>
    <row r="13" spans="1:10" x14ac:dyDescent="0.3">
      <c r="A13" s="3">
        <v>8</v>
      </c>
      <c r="B13" s="4" t="s">
        <v>137</v>
      </c>
      <c r="C13" s="5">
        <v>90.545000000000002</v>
      </c>
      <c r="D13" s="5">
        <v>25.096</v>
      </c>
      <c r="E13" s="5">
        <v>18.899999999999999</v>
      </c>
      <c r="F13" s="5">
        <v>19.334</v>
      </c>
      <c r="G13" s="5">
        <v>27.215</v>
      </c>
      <c r="H13" s="6">
        <v>314.8</v>
      </c>
      <c r="I13" s="5">
        <v>730.00300000000004</v>
      </c>
      <c r="J13" s="7">
        <v>1.0479745370370369E-3</v>
      </c>
    </row>
    <row r="14" spans="1:10" x14ac:dyDescent="0.3">
      <c r="A14" s="3">
        <v>9</v>
      </c>
      <c r="B14" s="4" t="s">
        <v>138</v>
      </c>
      <c r="C14" s="5">
        <v>90.363</v>
      </c>
      <c r="D14" s="5">
        <v>25.114000000000001</v>
      </c>
      <c r="E14" s="5">
        <v>18.777000000000001</v>
      </c>
      <c r="F14" s="5">
        <v>19.253</v>
      </c>
      <c r="G14" s="5">
        <v>27.219000000000001</v>
      </c>
      <c r="H14" s="6">
        <v>315.7</v>
      </c>
      <c r="I14" s="5">
        <v>820.36599999999999</v>
      </c>
      <c r="J14" s="7">
        <v>1.045868055555556E-3</v>
      </c>
    </row>
    <row r="15" spans="1:10" x14ac:dyDescent="0.3">
      <c r="A15" s="3">
        <v>10</v>
      </c>
      <c r="B15" s="4" t="s">
        <v>139</v>
      </c>
      <c r="C15" s="5">
        <v>90.284999999999997</v>
      </c>
      <c r="D15" s="5">
        <v>25.077999999999999</v>
      </c>
      <c r="E15" s="5">
        <v>18.760000000000002</v>
      </c>
      <c r="F15" s="5">
        <v>19.222000000000001</v>
      </c>
      <c r="G15" s="5">
        <v>27.225000000000001</v>
      </c>
      <c r="H15" s="6">
        <v>313</v>
      </c>
      <c r="I15" s="5">
        <v>910.65099999999995</v>
      </c>
      <c r="J15" s="7">
        <v>1.0449652777777779E-3</v>
      </c>
    </row>
    <row r="16" spans="1:10" x14ac:dyDescent="0.3">
      <c r="A16" s="3">
        <v>11</v>
      </c>
      <c r="B16" s="4" t="s">
        <v>140</v>
      </c>
      <c r="C16" s="5">
        <v>90.331000000000003</v>
      </c>
      <c r="D16" s="5">
        <v>25.096</v>
      </c>
      <c r="E16" s="5">
        <v>18.934999999999999</v>
      </c>
      <c r="F16" s="5">
        <v>19.23</v>
      </c>
      <c r="G16" s="5">
        <v>27.07</v>
      </c>
      <c r="H16" s="6">
        <v>315.7</v>
      </c>
      <c r="I16" s="5">
        <v>1000.982</v>
      </c>
      <c r="J16" s="7">
        <v>1.0454976851851849E-3</v>
      </c>
    </row>
    <row r="17" spans="1:10" x14ac:dyDescent="0.3">
      <c r="A17" s="3">
        <v>12</v>
      </c>
      <c r="B17" s="4" t="s">
        <v>141</v>
      </c>
      <c r="C17" s="5">
        <v>90.171999999999997</v>
      </c>
      <c r="D17" s="5">
        <v>24.943999999999999</v>
      </c>
      <c r="E17" s="5">
        <v>18.800999999999998</v>
      </c>
      <c r="F17" s="5">
        <v>19.204999999999998</v>
      </c>
      <c r="G17" s="5">
        <v>27.222000000000001</v>
      </c>
      <c r="H17" s="6">
        <v>314.8</v>
      </c>
      <c r="I17" s="5">
        <v>1091.154</v>
      </c>
      <c r="J17" s="7">
        <v>1.043657407407407E-3</v>
      </c>
    </row>
    <row r="18" spans="1:10" x14ac:dyDescent="0.3">
      <c r="A18" s="3">
        <v>13</v>
      </c>
      <c r="B18" s="4" t="s">
        <v>142</v>
      </c>
      <c r="C18" s="5">
        <v>91.71</v>
      </c>
      <c r="D18" s="5">
        <v>25.326000000000001</v>
      </c>
      <c r="E18" s="5">
        <v>19.015000000000001</v>
      </c>
      <c r="F18" s="5">
        <v>19.62</v>
      </c>
      <c r="G18" s="5">
        <v>27.748999999999999</v>
      </c>
      <c r="H18" s="6">
        <v>314.8</v>
      </c>
      <c r="I18" s="5">
        <v>1182.864</v>
      </c>
      <c r="J18" s="7">
        <v>1.0614583333333331E-3</v>
      </c>
    </row>
    <row r="19" spans="1:10" x14ac:dyDescent="0.3">
      <c r="A19" s="3">
        <v>14</v>
      </c>
      <c r="B19" s="4" t="s">
        <v>143</v>
      </c>
      <c r="C19" s="5">
        <v>90.722999999999999</v>
      </c>
      <c r="D19" s="5">
        <v>25.172000000000001</v>
      </c>
      <c r="E19" s="5">
        <v>18.817</v>
      </c>
      <c r="F19" s="5">
        <v>19.375</v>
      </c>
      <c r="G19" s="5">
        <v>27.359000000000002</v>
      </c>
      <c r="H19" s="6">
        <v>313</v>
      </c>
      <c r="I19" s="5">
        <v>1273.587</v>
      </c>
      <c r="J19" s="7">
        <v>1.050034722222222E-3</v>
      </c>
    </row>
    <row r="20" spans="1:10" x14ac:dyDescent="0.3">
      <c r="A20" s="3">
        <v>15</v>
      </c>
      <c r="B20" s="4" t="s">
        <v>144</v>
      </c>
      <c r="C20" s="5">
        <v>90.912000000000006</v>
      </c>
      <c r="D20" s="5">
        <v>25.189</v>
      </c>
      <c r="E20" s="5">
        <v>19.024999999999999</v>
      </c>
      <c r="F20" s="5">
        <v>19.414999999999999</v>
      </c>
      <c r="G20" s="5">
        <v>27.283000000000001</v>
      </c>
      <c r="H20" s="6">
        <v>313</v>
      </c>
      <c r="I20" s="5">
        <v>1364.499</v>
      </c>
      <c r="J20" s="7">
        <v>1.052222222222222E-3</v>
      </c>
    </row>
    <row r="21" spans="1:10" x14ac:dyDescent="0.3">
      <c r="A21" s="3">
        <v>16</v>
      </c>
      <c r="B21" s="4" t="s">
        <v>137</v>
      </c>
      <c r="C21" s="5">
        <v>90.545000000000002</v>
      </c>
      <c r="D21" s="5">
        <v>25.036000000000001</v>
      </c>
      <c r="E21" s="5">
        <v>19.018999999999998</v>
      </c>
      <c r="F21" s="5">
        <v>19.3</v>
      </c>
      <c r="G21" s="5">
        <v>27.19</v>
      </c>
      <c r="H21" s="6">
        <v>314.8</v>
      </c>
      <c r="I21" s="5">
        <v>1455.0440000000001</v>
      </c>
      <c r="J21" s="7">
        <v>1.0479745370370369E-3</v>
      </c>
    </row>
    <row r="22" spans="1:10" x14ac:dyDescent="0.3">
      <c r="A22" s="3">
        <v>17</v>
      </c>
      <c r="B22" s="4" t="s">
        <v>145</v>
      </c>
      <c r="C22" s="5">
        <v>92.024000000000001</v>
      </c>
      <c r="D22" s="5">
        <v>25.411000000000001</v>
      </c>
      <c r="E22" s="5">
        <v>19.257000000000001</v>
      </c>
      <c r="F22" s="5">
        <v>19.427</v>
      </c>
      <c r="G22" s="5">
        <v>27.928999999999998</v>
      </c>
      <c r="H22" s="6">
        <v>314.8</v>
      </c>
      <c r="I22" s="5">
        <v>1547.068</v>
      </c>
      <c r="J22" s="7">
        <v>1.065092592592593E-3</v>
      </c>
    </row>
    <row r="23" spans="1:10" x14ac:dyDescent="0.3">
      <c r="A23" s="3">
        <v>18</v>
      </c>
      <c r="B23" s="4" t="s">
        <v>146</v>
      </c>
      <c r="C23" s="5">
        <v>90.975999999999999</v>
      </c>
      <c r="D23" s="5">
        <v>25.239000000000001</v>
      </c>
      <c r="E23" s="5">
        <v>18.93</v>
      </c>
      <c r="F23" s="5">
        <v>19.402999999999999</v>
      </c>
      <c r="G23" s="5">
        <v>27.404</v>
      </c>
      <c r="H23" s="6">
        <v>315.7</v>
      </c>
      <c r="I23" s="5">
        <v>1638.0440000000001</v>
      </c>
      <c r="J23" s="7">
        <v>1.052962962962963E-3</v>
      </c>
    </row>
    <row r="24" spans="1:10" x14ac:dyDescent="0.3">
      <c r="A24" s="3">
        <v>19</v>
      </c>
      <c r="B24" s="4" t="s">
        <v>94</v>
      </c>
      <c r="C24" s="5">
        <v>90.841999999999999</v>
      </c>
      <c r="D24" s="5">
        <v>25.141999999999999</v>
      </c>
      <c r="E24" s="5">
        <v>18.88</v>
      </c>
      <c r="F24" s="5">
        <v>19.344999999999999</v>
      </c>
      <c r="G24" s="5">
        <v>27.475000000000001</v>
      </c>
      <c r="H24" s="6">
        <v>313.89999999999998</v>
      </c>
      <c r="I24" s="5">
        <v>1728.886</v>
      </c>
      <c r="J24" s="7">
        <v>1.0514120370370369E-3</v>
      </c>
    </row>
    <row r="25" spans="1:10" x14ac:dyDescent="0.3">
      <c r="A25" s="3">
        <v>20</v>
      </c>
      <c r="B25" s="4" t="s">
        <v>147</v>
      </c>
      <c r="C25" s="5">
        <v>90.853999999999999</v>
      </c>
      <c r="D25" s="5">
        <v>25.221</v>
      </c>
      <c r="E25" s="5">
        <v>18.709</v>
      </c>
      <c r="F25" s="5">
        <v>19.532</v>
      </c>
      <c r="G25" s="5">
        <v>27.391999999999999</v>
      </c>
      <c r="H25" s="6">
        <v>313.89999999999998</v>
      </c>
      <c r="I25" s="5">
        <v>1819.74</v>
      </c>
      <c r="J25" s="7">
        <v>1.051550925925926E-3</v>
      </c>
    </row>
    <row r="26" spans="1:10" x14ac:dyDescent="0.3">
      <c r="A26" s="3">
        <v>21</v>
      </c>
      <c r="B26" s="4" t="s">
        <v>148</v>
      </c>
      <c r="C26" s="5">
        <v>90.56</v>
      </c>
      <c r="D26" s="5">
        <v>25.056000000000001</v>
      </c>
      <c r="E26" s="5">
        <v>18.861000000000001</v>
      </c>
      <c r="F26" s="5">
        <v>19.350999999999999</v>
      </c>
      <c r="G26" s="5">
        <v>27.292000000000002</v>
      </c>
      <c r="H26" s="6">
        <v>313.89999999999998</v>
      </c>
      <c r="I26" s="5">
        <v>1910.3</v>
      </c>
      <c r="J26" s="7">
        <v>1.0481481481481481E-3</v>
      </c>
    </row>
    <row r="27" spans="1:10" x14ac:dyDescent="0.3">
      <c r="A27" s="3">
        <v>22</v>
      </c>
      <c r="B27" s="4" t="s">
        <v>149</v>
      </c>
      <c r="C27" s="5">
        <v>90.897999999999996</v>
      </c>
      <c r="D27" s="5">
        <v>25.132000000000001</v>
      </c>
      <c r="E27" s="5">
        <v>19.036999999999999</v>
      </c>
      <c r="F27" s="5">
        <v>19.372</v>
      </c>
      <c r="G27" s="5">
        <v>27.356999999999999</v>
      </c>
      <c r="H27" s="6">
        <v>313.89999999999998</v>
      </c>
      <c r="I27" s="5">
        <v>2001.1980000000001</v>
      </c>
      <c r="J27" s="7">
        <v>1.052060185185185E-3</v>
      </c>
    </row>
    <row r="28" spans="1:10" x14ac:dyDescent="0.3">
      <c r="A28" s="3">
        <v>23</v>
      </c>
      <c r="B28" s="4" t="s">
        <v>150</v>
      </c>
      <c r="C28" s="5">
        <v>90.718999999999994</v>
      </c>
      <c r="D28" s="5">
        <v>25.25</v>
      </c>
      <c r="E28" s="5">
        <v>18.884</v>
      </c>
      <c r="F28" s="5">
        <v>19.260000000000002</v>
      </c>
      <c r="G28" s="5">
        <v>27.324999999999999</v>
      </c>
      <c r="H28" s="6">
        <v>313</v>
      </c>
      <c r="I28" s="5">
        <v>2091.9169999999999</v>
      </c>
      <c r="J28" s="7">
        <v>1.049988425925926E-3</v>
      </c>
    </row>
    <row r="29" spans="1:10" x14ac:dyDescent="0.3">
      <c r="A29" s="3">
        <v>24</v>
      </c>
      <c r="B29" s="4" t="s">
        <v>151</v>
      </c>
      <c r="C29" s="5">
        <v>90.728999999999999</v>
      </c>
      <c r="D29" s="5">
        <v>25.202000000000002</v>
      </c>
      <c r="E29" s="5">
        <v>18.916</v>
      </c>
      <c r="F29" s="5">
        <v>19.329000000000001</v>
      </c>
      <c r="G29" s="5">
        <v>27.282</v>
      </c>
      <c r="H29" s="6">
        <v>313.89999999999998</v>
      </c>
      <c r="I29" s="5">
        <v>2182.6460000000002</v>
      </c>
      <c r="J29" s="7">
        <v>1.0501041666666671E-3</v>
      </c>
    </row>
    <row r="30" spans="1:10" x14ac:dyDescent="0.3">
      <c r="A30" s="3">
        <v>25</v>
      </c>
      <c r="B30" s="4" t="s">
        <v>152</v>
      </c>
      <c r="C30" s="5">
        <v>91.649000000000001</v>
      </c>
      <c r="D30" s="5">
        <v>25.163</v>
      </c>
      <c r="E30" s="5">
        <v>18.899999999999999</v>
      </c>
      <c r="F30" s="5">
        <v>19.538</v>
      </c>
      <c r="G30" s="5">
        <v>28.047999999999998</v>
      </c>
      <c r="H30" s="6">
        <v>314.8</v>
      </c>
      <c r="I30" s="5">
        <v>2274.2950000000001</v>
      </c>
      <c r="J30" s="7">
        <v>1.0607523148148149E-3</v>
      </c>
    </row>
    <row r="31" spans="1:10" x14ac:dyDescent="0.3">
      <c r="A31" s="3">
        <v>26</v>
      </c>
      <c r="B31" s="4" t="s">
        <v>153</v>
      </c>
      <c r="C31" s="5">
        <v>91.156000000000006</v>
      </c>
      <c r="D31" s="5">
        <v>25.356000000000002</v>
      </c>
      <c r="E31" s="5">
        <v>18.943999999999999</v>
      </c>
      <c r="F31" s="5">
        <v>19.486000000000001</v>
      </c>
      <c r="G31" s="5">
        <v>27.37</v>
      </c>
      <c r="H31" s="6">
        <v>313.89999999999998</v>
      </c>
      <c r="I31" s="5">
        <v>2365.451</v>
      </c>
      <c r="J31" s="7">
        <v>1.0550462962962959E-3</v>
      </c>
    </row>
    <row r="32" spans="1:10" x14ac:dyDescent="0.3">
      <c r="A32" s="3">
        <v>27</v>
      </c>
      <c r="B32" s="4" t="s">
        <v>154</v>
      </c>
      <c r="C32" s="5">
        <v>90.623000000000005</v>
      </c>
      <c r="D32" s="5">
        <v>25.085000000000001</v>
      </c>
      <c r="E32" s="5">
        <v>18.798999999999999</v>
      </c>
      <c r="F32" s="5">
        <v>19.343</v>
      </c>
      <c r="G32" s="5">
        <v>27.396000000000001</v>
      </c>
      <c r="H32" s="6">
        <v>314.8</v>
      </c>
      <c r="I32" s="5">
        <v>2456.0740000000001</v>
      </c>
      <c r="J32" s="7">
        <v>1.048877314814815E-3</v>
      </c>
    </row>
  </sheetData>
  <autoFilter ref="A5:J32" xr:uid="{00000000-0009-0000-0000-000004000000}"/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155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156</v>
      </c>
      <c r="C3" s="1" t="s">
        <v>3</v>
      </c>
      <c r="D3" s="1" t="s">
        <v>157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158</v>
      </c>
      <c r="C6" s="5">
        <v>95.147999999999996</v>
      </c>
      <c r="D6" s="5">
        <v>29.178999999999998</v>
      </c>
      <c r="E6" s="5">
        <v>19.065999999999999</v>
      </c>
      <c r="F6" s="5">
        <v>19.542999999999999</v>
      </c>
      <c r="G6" s="5">
        <v>27.36</v>
      </c>
      <c r="H6" s="6">
        <v>263.39999999999998</v>
      </c>
      <c r="I6" s="5">
        <v>95.147999999999996</v>
      </c>
      <c r="J6" s="7">
        <v>1.10125E-3</v>
      </c>
    </row>
    <row r="7" spans="1:10" x14ac:dyDescent="0.3">
      <c r="A7" s="3">
        <v>2</v>
      </c>
      <c r="B7" s="4" t="s">
        <v>159</v>
      </c>
      <c r="C7" s="5">
        <v>91.123999999999995</v>
      </c>
      <c r="D7" s="5">
        <v>25.341000000000001</v>
      </c>
      <c r="E7" s="5">
        <v>18.951000000000001</v>
      </c>
      <c r="F7" s="5">
        <v>19.416</v>
      </c>
      <c r="G7" s="5">
        <v>27.416</v>
      </c>
      <c r="H7" s="6">
        <v>313</v>
      </c>
      <c r="I7" s="5">
        <v>186.27199999999999</v>
      </c>
      <c r="J7" s="7">
        <v>1.0546759259259259E-3</v>
      </c>
    </row>
    <row r="8" spans="1:10" x14ac:dyDescent="0.3">
      <c r="A8" s="3">
        <v>3</v>
      </c>
      <c r="B8" s="4" t="s">
        <v>160</v>
      </c>
      <c r="C8" s="5">
        <v>91.263999999999996</v>
      </c>
      <c r="D8" s="5">
        <v>25.34</v>
      </c>
      <c r="E8" s="5">
        <v>18.899000000000001</v>
      </c>
      <c r="F8" s="5">
        <v>19.635999999999999</v>
      </c>
      <c r="G8" s="5">
        <v>27.388999999999999</v>
      </c>
      <c r="H8" s="6">
        <v>313</v>
      </c>
      <c r="I8" s="5">
        <v>277.536</v>
      </c>
      <c r="J8" s="7">
        <v>1.0562962962962961E-3</v>
      </c>
    </row>
    <row r="9" spans="1:10" x14ac:dyDescent="0.3">
      <c r="A9" s="3">
        <v>4</v>
      </c>
      <c r="B9" s="4" t="s">
        <v>161</v>
      </c>
      <c r="C9" s="5">
        <v>90.540999999999997</v>
      </c>
      <c r="D9" s="5">
        <v>25.209</v>
      </c>
      <c r="E9" s="5">
        <v>18.785</v>
      </c>
      <c r="F9" s="5">
        <v>19.298999999999999</v>
      </c>
      <c r="G9" s="5">
        <v>27.248000000000001</v>
      </c>
      <c r="H9" s="6">
        <v>310.3</v>
      </c>
      <c r="I9" s="5">
        <v>368.077</v>
      </c>
      <c r="J9" s="7">
        <v>1.047928240740741E-3</v>
      </c>
    </row>
    <row r="10" spans="1:10" x14ac:dyDescent="0.3">
      <c r="A10" s="3">
        <v>5</v>
      </c>
      <c r="B10" s="4" t="s">
        <v>162</v>
      </c>
      <c r="C10" s="5">
        <v>90.405000000000001</v>
      </c>
      <c r="D10" s="5">
        <v>25.15</v>
      </c>
      <c r="E10" s="5">
        <v>18.716000000000001</v>
      </c>
      <c r="F10" s="5">
        <v>19.231000000000002</v>
      </c>
      <c r="G10" s="5">
        <v>27.308</v>
      </c>
      <c r="H10" s="6">
        <v>313.89999999999998</v>
      </c>
      <c r="I10" s="5">
        <v>458.48200000000003</v>
      </c>
      <c r="J10" s="7">
        <v>1.046354166666667E-3</v>
      </c>
    </row>
    <row r="11" spans="1:10" x14ac:dyDescent="0.3">
      <c r="A11" s="3">
        <v>6</v>
      </c>
      <c r="B11" s="4" t="s">
        <v>163</v>
      </c>
      <c r="C11" s="5">
        <v>90.228999999999999</v>
      </c>
      <c r="D11" s="5">
        <v>25.084</v>
      </c>
      <c r="E11" s="5">
        <v>18.713000000000001</v>
      </c>
      <c r="F11" s="5">
        <v>19.183</v>
      </c>
      <c r="G11" s="5">
        <v>27.248999999999999</v>
      </c>
      <c r="H11" s="6">
        <v>314.8</v>
      </c>
      <c r="I11" s="5">
        <v>548.71100000000001</v>
      </c>
      <c r="J11" s="7">
        <v>1.0443171296296301E-3</v>
      </c>
    </row>
    <row r="12" spans="1:10" x14ac:dyDescent="0.3">
      <c r="A12" s="3">
        <v>7</v>
      </c>
      <c r="B12" s="4" t="s">
        <v>164</v>
      </c>
      <c r="C12" s="5">
        <v>91.096999999999994</v>
      </c>
      <c r="D12" s="5">
        <v>25.109000000000002</v>
      </c>
      <c r="E12" s="5">
        <v>18.754000000000001</v>
      </c>
      <c r="F12" s="5">
        <v>19.821999999999999</v>
      </c>
      <c r="G12" s="5">
        <v>27.411999999999999</v>
      </c>
      <c r="H12" s="6">
        <v>315.7</v>
      </c>
      <c r="I12" s="5">
        <v>639.80799999999999</v>
      </c>
      <c r="J12" s="7">
        <v>1.054363425925926E-3</v>
      </c>
    </row>
    <row r="13" spans="1:10" x14ac:dyDescent="0.3">
      <c r="A13" s="3">
        <v>8</v>
      </c>
      <c r="B13" s="4" t="s">
        <v>165</v>
      </c>
      <c r="C13" s="5">
        <v>90.48</v>
      </c>
      <c r="D13" s="5">
        <v>25.231999999999999</v>
      </c>
      <c r="E13" s="5">
        <v>18.704000000000001</v>
      </c>
      <c r="F13" s="5">
        <v>19.323</v>
      </c>
      <c r="G13" s="5">
        <v>27.221</v>
      </c>
      <c r="H13" s="6">
        <v>313</v>
      </c>
      <c r="I13" s="5">
        <v>730.28800000000001</v>
      </c>
      <c r="J13" s="7">
        <v>1.047222222222222E-3</v>
      </c>
    </row>
    <row r="14" spans="1:10" x14ac:dyDescent="0.3">
      <c r="A14" s="3">
        <v>9</v>
      </c>
      <c r="B14" s="4" t="s">
        <v>166</v>
      </c>
      <c r="C14" s="5">
        <v>90.37</v>
      </c>
      <c r="D14" s="5">
        <v>25.16</v>
      </c>
      <c r="E14" s="5">
        <v>18.716999999999999</v>
      </c>
      <c r="F14" s="5">
        <v>19.338999999999999</v>
      </c>
      <c r="G14" s="5">
        <v>27.154</v>
      </c>
      <c r="H14" s="6">
        <v>313.89999999999998</v>
      </c>
      <c r="I14" s="5">
        <v>820.65800000000002</v>
      </c>
      <c r="J14" s="7">
        <v>1.0459490740740739E-3</v>
      </c>
    </row>
    <row r="15" spans="1:10" x14ac:dyDescent="0.3">
      <c r="A15" s="3">
        <v>10</v>
      </c>
      <c r="B15" s="4" t="s">
        <v>167</v>
      </c>
      <c r="C15" s="5">
        <v>90.39</v>
      </c>
      <c r="D15" s="5">
        <v>25.07</v>
      </c>
      <c r="E15" s="5">
        <v>18.731000000000002</v>
      </c>
      <c r="F15" s="5">
        <v>19.279</v>
      </c>
      <c r="G15" s="5">
        <v>27.31</v>
      </c>
      <c r="H15" s="6">
        <v>312.10000000000002</v>
      </c>
      <c r="I15" s="5">
        <v>911.048</v>
      </c>
      <c r="J15" s="7">
        <v>1.0461805555555561E-3</v>
      </c>
    </row>
    <row r="16" spans="1:10" x14ac:dyDescent="0.3">
      <c r="A16" s="3">
        <v>11</v>
      </c>
      <c r="B16" s="4" t="s">
        <v>168</v>
      </c>
      <c r="C16" s="5">
        <v>90.370999999999995</v>
      </c>
      <c r="D16" s="5">
        <v>25.135999999999999</v>
      </c>
      <c r="E16" s="5">
        <v>18.739999999999998</v>
      </c>
      <c r="F16" s="5">
        <v>19.303000000000001</v>
      </c>
      <c r="G16" s="5">
        <v>27.192</v>
      </c>
      <c r="H16" s="6">
        <v>313</v>
      </c>
      <c r="I16" s="5">
        <v>1001.419</v>
      </c>
      <c r="J16" s="7">
        <v>1.0459606481481481E-3</v>
      </c>
    </row>
    <row r="17" spans="1:10" x14ac:dyDescent="0.3">
      <c r="A17" s="3">
        <v>12</v>
      </c>
      <c r="B17" s="4" t="s">
        <v>169</v>
      </c>
      <c r="C17" s="5">
        <v>90.397999999999996</v>
      </c>
      <c r="D17" s="5">
        <v>25.138000000000002</v>
      </c>
      <c r="E17" s="5">
        <v>18.722999999999999</v>
      </c>
      <c r="F17" s="5">
        <v>19.256</v>
      </c>
      <c r="G17" s="5">
        <v>27.280999999999999</v>
      </c>
      <c r="H17" s="6">
        <v>313.89999999999998</v>
      </c>
      <c r="I17" s="5">
        <v>1091.817</v>
      </c>
      <c r="J17" s="7">
        <v>1.046273148148148E-3</v>
      </c>
    </row>
    <row r="18" spans="1:10" x14ac:dyDescent="0.3">
      <c r="A18" s="3">
        <v>13</v>
      </c>
      <c r="B18" s="4" t="s">
        <v>170</v>
      </c>
      <c r="C18" s="5">
        <v>90.850999999999999</v>
      </c>
      <c r="D18" s="5">
        <v>25.239000000000001</v>
      </c>
      <c r="E18" s="5">
        <v>18.829000000000001</v>
      </c>
      <c r="F18" s="5">
        <v>19.327999999999999</v>
      </c>
      <c r="G18" s="5">
        <v>27.454999999999998</v>
      </c>
      <c r="H18" s="6">
        <v>317.60000000000002</v>
      </c>
      <c r="I18" s="5">
        <v>1182.6679999999999</v>
      </c>
      <c r="J18" s="7">
        <v>1.051516203703704E-3</v>
      </c>
    </row>
    <row r="19" spans="1:10" x14ac:dyDescent="0.3">
      <c r="A19" s="3">
        <v>14</v>
      </c>
      <c r="B19" s="4" t="s">
        <v>171</v>
      </c>
      <c r="C19" s="5">
        <v>90.83</v>
      </c>
      <c r="D19" s="5">
        <v>25.25</v>
      </c>
      <c r="E19" s="5">
        <v>18.786000000000001</v>
      </c>
      <c r="F19" s="5">
        <v>19.419</v>
      </c>
      <c r="G19" s="5">
        <v>27.375</v>
      </c>
      <c r="H19" s="6">
        <v>314.8</v>
      </c>
      <c r="I19" s="5">
        <v>1273.498</v>
      </c>
      <c r="J19" s="7">
        <v>1.051273148148148E-3</v>
      </c>
    </row>
    <row r="20" spans="1:10" x14ac:dyDescent="0.3">
      <c r="A20" s="3">
        <v>15</v>
      </c>
      <c r="B20" s="4" t="s">
        <v>172</v>
      </c>
      <c r="C20" s="5">
        <v>91.412999999999997</v>
      </c>
      <c r="D20" s="5">
        <v>25.167000000000002</v>
      </c>
      <c r="E20" s="5">
        <v>18.952000000000002</v>
      </c>
      <c r="F20" s="5">
        <v>19.832000000000001</v>
      </c>
      <c r="G20" s="5">
        <v>27.462</v>
      </c>
      <c r="H20" s="6">
        <v>315.7</v>
      </c>
      <c r="I20" s="5">
        <v>1364.9110000000001</v>
      </c>
      <c r="J20" s="7">
        <v>1.0580208333333329E-3</v>
      </c>
    </row>
    <row r="21" spans="1:10" x14ac:dyDescent="0.3">
      <c r="A21" s="3">
        <v>16</v>
      </c>
      <c r="B21" s="4" t="s">
        <v>173</v>
      </c>
      <c r="C21" s="5">
        <v>90.789000000000001</v>
      </c>
      <c r="D21" s="5">
        <v>25.196000000000002</v>
      </c>
      <c r="E21" s="5">
        <v>18.911000000000001</v>
      </c>
      <c r="F21" s="5">
        <v>19.292999999999999</v>
      </c>
      <c r="G21" s="5">
        <v>27.388999999999999</v>
      </c>
      <c r="H21" s="6">
        <v>313.89999999999998</v>
      </c>
      <c r="I21" s="5">
        <v>1455.7</v>
      </c>
      <c r="J21" s="7">
        <v>1.0507986111111111E-3</v>
      </c>
    </row>
    <row r="22" spans="1:10" x14ac:dyDescent="0.3">
      <c r="A22" s="3">
        <v>17</v>
      </c>
      <c r="B22" s="4" t="s">
        <v>174</v>
      </c>
      <c r="C22" s="5">
        <v>91.248000000000005</v>
      </c>
      <c r="D22" s="5">
        <v>25.292999999999999</v>
      </c>
      <c r="E22" s="5">
        <v>18.978000000000002</v>
      </c>
      <c r="F22" s="5">
        <v>19.388999999999999</v>
      </c>
      <c r="G22" s="5">
        <v>27.588000000000001</v>
      </c>
      <c r="H22" s="6">
        <v>311.2</v>
      </c>
      <c r="I22" s="5">
        <v>1546.9480000000001</v>
      </c>
      <c r="J22" s="7">
        <v>1.056111111111111E-3</v>
      </c>
    </row>
    <row r="23" spans="1:10" x14ac:dyDescent="0.3">
      <c r="A23" s="3">
        <v>18</v>
      </c>
      <c r="B23" s="4" t="s">
        <v>175</v>
      </c>
      <c r="C23" s="5">
        <v>90.974000000000004</v>
      </c>
      <c r="D23" s="5">
        <v>25.228000000000002</v>
      </c>
      <c r="E23" s="5">
        <v>18.946000000000002</v>
      </c>
      <c r="F23" s="5">
        <v>19.399000000000001</v>
      </c>
      <c r="G23" s="5">
        <v>27.401</v>
      </c>
      <c r="H23" s="6">
        <v>314.8</v>
      </c>
      <c r="I23" s="5">
        <v>1637.922</v>
      </c>
      <c r="J23" s="7">
        <v>1.0529398148148149E-3</v>
      </c>
    </row>
    <row r="24" spans="1:10" x14ac:dyDescent="0.3">
      <c r="A24" s="3">
        <v>19</v>
      </c>
      <c r="B24" s="4" t="s">
        <v>176</v>
      </c>
      <c r="C24" s="5">
        <v>90.831999999999994</v>
      </c>
      <c r="D24" s="5">
        <v>25.161000000000001</v>
      </c>
      <c r="E24" s="5">
        <v>18.835999999999999</v>
      </c>
      <c r="F24" s="5">
        <v>19.378</v>
      </c>
      <c r="G24" s="5">
        <v>27.457000000000001</v>
      </c>
      <c r="H24" s="6">
        <v>315.7</v>
      </c>
      <c r="I24" s="5">
        <v>1728.7539999999999</v>
      </c>
      <c r="J24" s="7">
        <v>1.0512962962962961E-3</v>
      </c>
    </row>
    <row r="25" spans="1:10" x14ac:dyDescent="0.3">
      <c r="A25" s="3">
        <v>20</v>
      </c>
      <c r="B25" s="4" t="s">
        <v>177</v>
      </c>
      <c r="C25" s="5">
        <v>91.171000000000006</v>
      </c>
      <c r="D25" s="5">
        <v>25.253</v>
      </c>
      <c r="E25" s="5">
        <v>18.797999999999998</v>
      </c>
      <c r="F25" s="5">
        <v>19.420999999999999</v>
      </c>
      <c r="G25" s="5">
        <v>27.699000000000002</v>
      </c>
      <c r="H25" s="6">
        <v>315.7</v>
      </c>
      <c r="I25" s="5">
        <v>1819.925</v>
      </c>
      <c r="J25" s="7">
        <v>1.0552199074074071E-3</v>
      </c>
    </row>
    <row r="26" spans="1:10" x14ac:dyDescent="0.3">
      <c r="A26" s="3">
        <v>21</v>
      </c>
      <c r="B26" s="4" t="s">
        <v>178</v>
      </c>
      <c r="C26" s="5">
        <v>90.983999999999995</v>
      </c>
      <c r="D26" s="5">
        <v>25.251000000000001</v>
      </c>
      <c r="E26" s="5">
        <v>18.760000000000002</v>
      </c>
      <c r="F26" s="5">
        <v>19.334</v>
      </c>
      <c r="G26" s="5">
        <v>27.638999999999999</v>
      </c>
      <c r="H26" s="6">
        <v>312.10000000000002</v>
      </c>
      <c r="I26" s="5">
        <v>1910.9090000000001</v>
      </c>
      <c r="J26" s="7">
        <v>1.053055555555556E-3</v>
      </c>
    </row>
    <row r="27" spans="1:10" x14ac:dyDescent="0.3">
      <c r="A27" s="3">
        <v>22</v>
      </c>
      <c r="B27" s="4" t="s">
        <v>104</v>
      </c>
      <c r="C27" s="5">
        <v>90.956000000000003</v>
      </c>
      <c r="D27" s="5">
        <v>25.41</v>
      </c>
      <c r="E27" s="5">
        <v>18.896000000000001</v>
      </c>
      <c r="F27" s="5">
        <v>19.367999999999999</v>
      </c>
      <c r="G27" s="5">
        <v>27.282</v>
      </c>
      <c r="H27" s="6">
        <v>313</v>
      </c>
      <c r="I27" s="5">
        <v>2001.865</v>
      </c>
      <c r="J27" s="7">
        <v>1.052731481481482E-3</v>
      </c>
    </row>
    <row r="28" spans="1:10" x14ac:dyDescent="0.3">
      <c r="A28" s="3">
        <v>23</v>
      </c>
      <c r="B28" s="4" t="s">
        <v>179</v>
      </c>
      <c r="C28" s="5">
        <v>90.796000000000006</v>
      </c>
      <c r="D28" s="5">
        <v>25.234000000000002</v>
      </c>
      <c r="E28" s="5">
        <v>18.817</v>
      </c>
      <c r="F28" s="5">
        <v>19.321000000000002</v>
      </c>
      <c r="G28" s="5">
        <v>27.423999999999999</v>
      </c>
      <c r="H28" s="6">
        <v>307.60000000000002</v>
      </c>
      <c r="I28" s="5">
        <v>2092.6610000000001</v>
      </c>
      <c r="J28" s="7">
        <v>1.0508796296296299E-3</v>
      </c>
    </row>
    <row r="29" spans="1:10" x14ac:dyDescent="0.3">
      <c r="A29" s="3">
        <v>24</v>
      </c>
      <c r="B29" s="4" t="s">
        <v>180</v>
      </c>
      <c r="C29" s="5">
        <v>90.896000000000001</v>
      </c>
      <c r="D29" s="5">
        <v>25.241</v>
      </c>
      <c r="E29" s="5">
        <v>18.925999999999998</v>
      </c>
      <c r="F29" s="5">
        <v>19.341000000000001</v>
      </c>
      <c r="G29" s="5">
        <v>27.388000000000002</v>
      </c>
      <c r="H29" s="6">
        <v>311.2</v>
      </c>
      <c r="I29" s="5">
        <v>2183.5569999999998</v>
      </c>
      <c r="J29" s="7">
        <v>1.0520370370370371E-3</v>
      </c>
    </row>
    <row r="30" spans="1:10" x14ac:dyDescent="0.3">
      <c r="A30" s="3">
        <v>25</v>
      </c>
      <c r="B30" s="4" t="s">
        <v>181</v>
      </c>
      <c r="C30" s="5">
        <v>91.33</v>
      </c>
      <c r="D30" s="5">
        <v>25.277999999999999</v>
      </c>
      <c r="E30" s="5">
        <v>18.995999999999999</v>
      </c>
      <c r="F30" s="5">
        <v>19.53</v>
      </c>
      <c r="G30" s="5">
        <v>27.526</v>
      </c>
      <c r="H30" s="6">
        <v>314.8</v>
      </c>
      <c r="I30" s="5">
        <v>2274.8870000000002</v>
      </c>
      <c r="J30" s="7">
        <v>1.057060185185185E-3</v>
      </c>
    </row>
    <row r="31" spans="1:10" x14ac:dyDescent="0.3">
      <c r="A31" s="3">
        <v>26</v>
      </c>
      <c r="B31" s="4" t="s">
        <v>182</v>
      </c>
      <c r="C31" s="5">
        <v>90.94</v>
      </c>
      <c r="D31" s="5">
        <v>25.234000000000002</v>
      </c>
      <c r="E31" s="5">
        <v>18.89</v>
      </c>
      <c r="F31" s="5">
        <v>19.408000000000001</v>
      </c>
      <c r="G31" s="5">
        <v>27.408000000000001</v>
      </c>
      <c r="H31" s="6">
        <v>315.7</v>
      </c>
      <c r="I31" s="5">
        <v>2365.8270000000002</v>
      </c>
      <c r="J31" s="7">
        <v>1.052546296296296E-3</v>
      </c>
    </row>
    <row r="32" spans="1:10" x14ac:dyDescent="0.3">
      <c r="A32" s="3">
        <v>27</v>
      </c>
      <c r="B32" s="4" t="s">
        <v>183</v>
      </c>
      <c r="C32" s="5">
        <v>91.533000000000001</v>
      </c>
      <c r="D32" s="5">
        <v>25.28</v>
      </c>
      <c r="E32" s="5">
        <v>18.896999999999998</v>
      </c>
      <c r="F32" s="5">
        <v>19.533999999999999</v>
      </c>
      <c r="G32" s="5">
        <v>27.821999999999999</v>
      </c>
      <c r="H32" s="6">
        <v>308.5</v>
      </c>
      <c r="I32" s="5">
        <v>2457.36</v>
      </c>
      <c r="J32" s="7">
        <v>1.059409722222222E-3</v>
      </c>
    </row>
  </sheetData>
  <autoFilter ref="A5:J32" xr:uid="{00000000-0009-0000-0000-000005000000}"/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184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185</v>
      </c>
      <c r="C3" s="1" t="s">
        <v>3</v>
      </c>
      <c r="D3" s="1" t="s">
        <v>157</v>
      </c>
      <c r="E3" s="1" t="s">
        <v>5</v>
      </c>
      <c r="F3" s="1">
        <v>27</v>
      </c>
      <c r="G3" s="1" t="s">
        <v>6</v>
      </c>
      <c r="H3" s="1">
        <v>25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186</v>
      </c>
      <c r="C6" s="5">
        <v>96.433999999999997</v>
      </c>
      <c r="D6" s="5">
        <v>30.045999999999999</v>
      </c>
      <c r="E6" s="5">
        <v>19.129000000000001</v>
      </c>
      <c r="F6" s="5">
        <v>19.608000000000001</v>
      </c>
      <c r="G6" s="5">
        <v>27.651</v>
      </c>
      <c r="H6" s="6">
        <v>265.3</v>
      </c>
      <c r="I6" s="5">
        <v>96.433999999999997</v>
      </c>
      <c r="J6" s="7">
        <v>1.116134259259259E-3</v>
      </c>
    </row>
    <row r="7" spans="1:10" x14ac:dyDescent="0.3">
      <c r="A7" s="3">
        <v>2</v>
      </c>
      <c r="B7" s="4" t="s">
        <v>187</v>
      </c>
      <c r="C7" s="5">
        <v>91.403999999999996</v>
      </c>
      <c r="D7" s="5">
        <v>25.443000000000001</v>
      </c>
      <c r="E7" s="5">
        <v>18.902999999999999</v>
      </c>
      <c r="F7" s="5">
        <v>19.655999999999999</v>
      </c>
      <c r="G7" s="5">
        <v>27.402000000000001</v>
      </c>
      <c r="H7" s="6">
        <v>309.39999999999998</v>
      </c>
      <c r="I7" s="5">
        <v>187.83799999999999</v>
      </c>
      <c r="J7" s="7">
        <v>1.0579166666666671E-3</v>
      </c>
    </row>
    <row r="8" spans="1:10" x14ac:dyDescent="0.3">
      <c r="A8" s="3">
        <v>3</v>
      </c>
      <c r="B8" s="4" t="s">
        <v>188</v>
      </c>
      <c r="C8" s="5">
        <v>90.876000000000005</v>
      </c>
      <c r="D8" s="5">
        <v>25.297000000000001</v>
      </c>
      <c r="E8" s="5">
        <v>18.818999999999999</v>
      </c>
      <c r="F8" s="5">
        <v>19.332999999999998</v>
      </c>
      <c r="G8" s="5">
        <v>27.427</v>
      </c>
      <c r="H8" s="6">
        <v>312.10000000000002</v>
      </c>
      <c r="I8" s="5">
        <v>278.714</v>
      </c>
      <c r="J8" s="7">
        <v>1.051805555555556E-3</v>
      </c>
    </row>
    <row r="9" spans="1:10" x14ac:dyDescent="0.3">
      <c r="A9" s="3">
        <v>4</v>
      </c>
      <c r="B9" s="4" t="s">
        <v>189</v>
      </c>
      <c r="C9" s="5">
        <v>90.596999999999994</v>
      </c>
      <c r="D9" s="5">
        <v>25.277000000000001</v>
      </c>
      <c r="E9" s="5">
        <v>18.773</v>
      </c>
      <c r="F9" s="5">
        <v>19.28</v>
      </c>
      <c r="G9" s="5">
        <v>27.266999999999999</v>
      </c>
      <c r="H9" s="6">
        <v>311.2</v>
      </c>
      <c r="I9" s="5">
        <v>369.31099999999998</v>
      </c>
      <c r="J9" s="7">
        <v>1.048576388888889E-3</v>
      </c>
    </row>
    <row r="10" spans="1:10" x14ac:dyDescent="0.3">
      <c r="A10" s="3">
        <v>5</v>
      </c>
      <c r="B10" s="4" t="s">
        <v>190</v>
      </c>
      <c r="C10" s="5">
        <v>90.513999999999996</v>
      </c>
      <c r="D10" s="5">
        <v>25.170999999999999</v>
      </c>
      <c r="E10" s="5">
        <v>18.792000000000002</v>
      </c>
      <c r="F10" s="5">
        <v>19.219000000000001</v>
      </c>
      <c r="G10" s="5">
        <v>27.332000000000001</v>
      </c>
      <c r="H10" s="6">
        <v>313.89999999999998</v>
      </c>
      <c r="I10" s="5">
        <v>459.82499999999999</v>
      </c>
      <c r="J10" s="7">
        <v>1.0476157407407411E-3</v>
      </c>
    </row>
    <row r="11" spans="1:10" x14ac:dyDescent="0.3">
      <c r="A11" s="3">
        <v>6</v>
      </c>
      <c r="B11" s="4" t="s">
        <v>191</v>
      </c>
      <c r="C11" s="5">
        <v>90.313999999999993</v>
      </c>
      <c r="D11" s="5">
        <v>25.212</v>
      </c>
      <c r="E11" s="5">
        <v>18.596</v>
      </c>
      <c r="F11" s="5">
        <v>19.184999999999999</v>
      </c>
      <c r="G11" s="5">
        <v>27.321000000000002</v>
      </c>
      <c r="H11" s="6">
        <v>312.10000000000002</v>
      </c>
      <c r="I11" s="5">
        <v>550.13900000000001</v>
      </c>
      <c r="J11" s="7">
        <v>1.0453009259259261E-3</v>
      </c>
    </row>
    <row r="12" spans="1:10" x14ac:dyDescent="0.3">
      <c r="A12" s="3">
        <v>7</v>
      </c>
      <c r="B12" s="4" t="s">
        <v>192</v>
      </c>
      <c r="C12" s="5">
        <v>90.67</v>
      </c>
      <c r="D12" s="5">
        <v>25.24</v>
      </c>
      <c r="E12" s="5">
        <v>18.681000000000001</v>
      </c>
      <c r="F12" s="5">
        <v>19.346</v>
      </c>
      <c r="G12" s="5">
        <v>27.402999999999999</v>
      </c>
      <c r="H12" s="6">
        <v>305.89999999999998</v>
      </c>
      <c r="I12" s="5">
        <v>640.80899999999997</v>
      </c>
      <c r="J12" s="7">
        <v>1.0494212962962959E-3</v>
      </c>
    </row>
    <row r="13" spans="1:10" x14ac:dyDescent="0.3">
      <c r="A13" s="3">
        <v>8</v>
      </c>
      <c r="B13" s="4" t="s">
        <v>193</v>
      </c>
      <c r="C13" s="5">
        <v>90.638999999999996</v>
      </c>
      <c r="D13" s="5">
        <v>25.326000000000001</v>
      </c>
      <c r="E13" s="5">
        <v>18.654</v>
      </c>
      <c r="F13" s="5">
        <v>19.257000000000001</v>
      </c>
      <c r="G13" s="5">
        <v>27.402000000000001</v>
      </c>
      <c r="H13" s="6">
        <v>311.2</v>
      </c>
      <c r="I13" s="5">
        <v>731.44799999999998</v>
      </c>
      <c r="J13" s="7">
        <v>1.0490625000000001E-3</v>
      </c>
    </row>
    <row r="14" spans="1:10" x14ac:dyDescent="0.3">
      <c r="A14" s="3">
        <v>9</v>
      </c>
      <c r="B14" s="4" t="s">
        <v>48</v>
      </c>
      <c r="C14" s="5">
        <v>90.585999999999999</v>
      </c>
      <c r="D14" s="5">
        <v>25.245999999999999</v>
      </c>
      <c r="E14" s="5">
        <v>18.701000000000001</v>
      </c>
      <c r="F14" s="5">
        <v>19.341000000000001</v>
      </c>
      <c r="G14" s="5">
        <v>27.297999999999998</v>
      </c>
      <c r="H14" s="6">
        <v>316.7</v>
      </c>
      <c r="I14" s="5">
        <v>822.03399999999999</v>
      </c>
      <c r="J14" s="7">
        <v>1.048449074074074E-3</v>
      </c>
    </row>
    <row r="15" spans="1:10" x14ac:dyDescent="0.3">
      <c r="A15" s="3">
        <v>10</v>
      </c>
      <c r="B15" s="4" t="s">
        <v>139</v>
      </c>
      <c r="C15" s="5">
        <v>90.284999999999997</v>
      </c>
      <c r="D15" s="5">
        <v>25.117999999999999</v>
      </c>
      <c r="E15" s="5">
        <v>18.542999999999999</v>
      </c>
      <c r="F15" s="5">
        <v>19.22</v>
      </c>
      <c r="G15" s="5">
        <v>27.404</v>
      </c>
      <c r="H15" s="6">
        <v>312.10000000000002</v>
      </c>
      <c r="I15" s="5">
        <v>912.31899999999996</v>
      </c>
      <c r="J15" s="7">
        <v>1.0449652777777779E-3</v>
      </c>
    </row>
    <row r="16" spans="1:10" x14ac:dyDescent="0.3">
      <c r="A16" s="3">
        <v>11</v>
      </c>
      <c r="B16" s="4" t="s">
        <v>194</v>
      </c>
      <c r="C16" s="5">
        <v>90.756</v>
      </c>
      <c r="D16" s="5">
        <v>25.145</v>
      </c>
      <c r="E16" s="5">
        <v>18.739000000000001</v>
      </c>
      <c r="F16" s="5">
        <v>19.355</v>
      </c>
      <c r="G16" s="5">
        <v>27.516999999999999</v>
      </c>
      <c r="H16" s="6">
        <v>313.89999999999998</v>
      </c>
      <c r="I16" s="5">
        <v>1003.075</v>
      </c>
      <c r="J16" s="7">
        <v>1.0504166666666669E-3</v>
      </c>
    </row>
    <row r="17" spans="1:10" x14ac:dyDescent="0.3">
      <c r="A17" s="3">
        <v>12</v>
      </c>
      <c r="B17" s="4" t="s">
        <v>195</v>
      </c>
      <c r="C17" s="5">
        <v>90.451999999999998</v>
      </c>
      <c r="D17" s="5">
        <v>25.103000000000002</v>
      </c>
      <c r="E17" s="5">
        <v>18.637</v>
      </c>
      <c r="F17" s="5">
        <v>19.321999999999999</v>
      </c>
      <c r="G17" s="5">
        <v>27.39</v>
      </c>
      <c r="H17" s="6">
        <v>314.8</v>
      </c>
      <c r="I17" s="5">
        <v>1093.527</v>
      </c>
      <c r="J17" s="7">
        <v>1.0468981481481479E-3</v>
      </c>
    </row>
    <row r="18" spans="1:10" x14ac:dyDescent="0.3">
      <c r="A18" s="3">
        <v>13</v>
      </c>
      <c r="B18" s="4" t="s">
        <v>196</v>
      </c>
      <c r="C18" s="5">
        <v>91.263000000000005</v>
      </c>
      <c r="D18" s="5">
        <v>25.222999999999999</v>
      </c>
      <c r="E18" s="5">
        <v>18.699000000000002</v>
      </c>
      <c r="F18" s="5">
        <v>19.515000000000001</v>
      </c>
      <c r="G18" s="5">
        <v>27.826000000000001</v>
      </c>
      <c r="H18" s="6">
        <v>314.8</v>
      </c>
      <c r="I18" s="5">
        <v>1184.79</v>
      </c>
      <c r="J18" s="7">
        <v>1.0562847222222219E-3</v>
      </c>
    </row>
    <row r="19" spans="1:10" x14ac:dyDescent="0.3">
      <c r="A19" s="3">
        <v>14</v>
      </c>
      <c r="B19" s="4" t="s">
        <v>197</v>
      </c>
      <c r="C19" s="5">
        <v>91.016999999999996</v>
      </c>
      <c r="D19" s="5">
        <v>25.459</v>
      </c>
      <c r="E19" s="5">
        <v>18.675000000000001</v>
      </c>
      <c r="F19" s="5">
        <v>19.41</v>
      </c>
      <c r="G19" s="5">
        <v>27.472999999999999</v>
      </c>
      <c r="H19" s="6">
        <v>310.3</v>
      </c>
      <c r="I19" s="5">
        <v>1275.807</v>
      </c>
      <c r="J19" s="7">
        <v>1.0534374999999999E-3</v>
      </c>
    </row>
    <row r="20" spans="1:10" x14ac:dyDescent="0.3">
      <c r="A20" s="3">
        <v>15</v>
      </c>
      <c r="B20" s="4" t="s">
        <v>198</v>
      </c>
      <c r="C20" s="5">
        <v>90.978999999999999</v>
      </c>
      <c r="D20" s="5">
        <v>25.417999999999999</v>
      </c>
      <c r="E20" s="5">
        <v>18.678000000000001</v>
      </c>
      <c r="F20" s="5">
        <v>19.359000000000002</v>
      </c>
      <c r="G20" s="5">
        <v>27.524000000000001</v>
      </c>
      <c r="H20" s="6">
        <v>300.8</v>
      </c>
      <c r="I20" s="5">
        <v>1366.7860000000001</v>
      </c>
      <c r="J20" s="7">
        <v>1.052997685185185E-3</v>
      </c>
    </row>
    <row r="21" spans="1:10" x14ac:dyDescent="0.3">
      <c r="A21" s="3">
        <v>16</v>
      </c>
      <c r="B21" s="4" t="s">
        <v>199</v>
      </c>
      <c r="C21" s="5">
        <v>91.070999999999998</v>
      </c>
      <c r="D21" s="5">
        <v>25.257000000000001</v>
      </c>
      <c r="E21" s="5">
        <v>18.876999999999999</v>
      </c>
      <c r="F21" s="5">
        <v>19.376999999999999</v>
      </c>
      <c r="G21" s="5">
        <v>27.56</v>
      </c>
      <c r="H21" s="6">
        <v>314.8</v>
      </c>
      <c r="I21" s="5">
        <v>1457.857</v>
      </c>
      <c r="J21" s="7">
        <v>1.0540625000000001E-3</v>
      </c>
    </row>
    <row r="22" spans="1:10" x14ac:dyDescent="0.3">
      <c r="A22" s="3">
        <v>17</v>
      </c>
      <c r="B22" s="4" t="s">
        <v>200</v>
      </c>
      <c r="C22" s="5">
        <v>91.02</v>
      </c>
      <c r="D22" s="5">
        <v>25.18</v>
      </c>
      <c r="E22" s="5">
        <v>18.741</v>
      </c>
      <c r="F22" s="5">
        <v>19.45</v>
      </c>
      <c r="G22" s="5">
        <v>27.649000000000001</v>
      </c>
      <c r="H22" s="6">
        <v>315.7</v>
      </c>
      <c r="I22" s="5">
        <v>1548.877</v>
      </c>
      <c r="J22" s="7">
        <v>1.0534722222222219E-3</v>
      </c>
    </row>
    <row r="23" spans="1:10" x14ac:dyDescent="0.3">
      <c r="A23" s="3">
        <v>18</v>
      </c>
      <c r="B23" s="4" t="s">
        <v>201</v>
      </c>
      <c r="C23" s="5">
        <v>90.796999999999997</v>
      </c>
      <c r="D23" s="5">
        <v>25.228000000000002</v>
      </c>
      <c r="E23" s="5">
        <v>18.704999999999998</v>
      </c>
      <c r="F23" s="5">
        <v>19.393999999999998</v>
      </c>
      <c r="G23" s="5">
        <v>27.47</v>
      </c>
      <c r="H23" s="6">
        <v>315.7</v>
      </c>
      <c r="I23" s="5">
        <v>1639.674</v>
      </c>
      <c r="J23" s="7">
        <v>1.0508912037037041E-3</v>
      </c>
    </row>
    <row r="24" spans="1:10" x14ac:dyDescent="0.3">
      <c r="A24" s="3">
        <v>19</v>
      </c>
      <c r="B24" s="4" t="s">
        <v>202</v>
      </c>
      <c r="C24" s="5">
        <v>90.912999999999997</v>
      </c>
      <c r="D24" s="5">
        <v>25.318999999999999</v>
      </c>
      <c r="E24" s="5">
        <v>18.651</v>
      </c>
      <c r="F24" s="5">
        <v>19.439</v>
      </c>
      <c r="G24" s="5">
        <v>27.504000000000001</v>
      </c>
      <c r="H24" s="6">
        <v>310.3</v>
      </c>
      <c r="I24" s="5">
        <v>1730.587</v>
      </c>
      <c r="J24" s="7">
        <v>1.0522337962962959E-3</v>
      </c>
    </row>
    <row r="25" spans="1:10" x14ac:dyDescent="0.3">
      <c r="A25" s="3">
        <v>20</v>
      </c>
      <c r="B25" s="4" t="s">
        <v>203</v>
      </c>
      <c r="C25" s="5">
        <v>91.153999999999996</v>
      </c>
      <c r="D25" s="5">
        <v>25.39</v>
      </c>
      <c r="E25" s="5">
        <v>18.742999999999999</v>
      </c>
      <c r="F25" s="5">
        <v>19.433</v>
      </c>
      <c r="G25" s="5">
        <v>27.588000000000001</v>
      </c>
      <c r="H25" s="6">
        <v>307.60000000000002</v>
      </c>
      <c r="I25" s="5">
        <v>1821.741</v>
      </c>
      <c r="J25" s="7">
        <v>1.055023148148148E-3</v>
      </c>
    </row>
    <row r="26" spans="1:10" x14ac:dyDescent="0.3">
      <c r="A26" s="3">
        <v>21</v>
      </c>
      <c r="B26" s="4" t="s">
        <v>204</v>
      </c>
      <c r="C26" s="5">
        <v>91.436000000000007</v>
      </c>
      <c r="D26" s="5">
        <v>25.353999999999999</v>
      </c>
      <c r="E26" s="5">
        <v>18.785</v>
      </c>
      <c r="F26" s="5">
        <v>19.611999999999998</v>
      </c>
      <c r="G26" s="5">
        <v>27.684999999999999</v>
      </c>
      <c r="H26" s="6">
        <v>310.3</v>
      </c>
      <c r="I26" s="5">
        <v>1913.1769999999999</v>
      </c>
      <c r="J26" s="7">
        <v>1.0582870370370371E-3</v>
      </c>
    </row>
    <row r="27" spans="1:10" x14ac:dyDescent="0.3">
      <c r="A27" s="3">
        <v>22</v>
      </c>
      <c r="B27" s="4" t="s">
        <v>205</v>
      </c>
      <c r="C27" s="5">
        <v>91.834999999999994</v>
      </c>
      <c r="D27" s="5">
        <v>25.45</v>
      </c>
      <c r="E27" s="5">
        <v>18.927</v>
      </c>
      <c r="F27" s="5">
        <v>19.722000000000001</v>
      </c>
      <c r="G27" s="5">
        <v>27.736000000000001</v>
      </c>
      <c r="H27" s="6">
        <v>312.10000000000002</v>
      </c>
      <c r="I27" s="5">
        <v>2005.0119999999999</v>
      </c>
      <c r="J27" s="7">
        <v>1.0629050925925929E-3</v>
      </c>
    </row>
    <row r="28" spans="1:10" x14ac:dyDescent="0.3">
      <c r="A28" s="3">
        <v>23</v>
      </c>
      <c r="B28" s="4" t="s">
        <v>206</v>
      </c>
      <c r="C28" s="5">
        <v>91.31</v>
      </c>
      <c r="D28" s="5">
        <v>25.312999999999999</v>
      </c>
      <c r="E28" s="5">
        <v>18.742999999999999</v>
      </c>
      <c r="F28" s="5">
        <v>19.443999999999999</v>
      </c>
      <c r="G28" s="5">
        <v>27.81</v>
      </c>
      <c r="H28" s="6">
        <v>314.8</v>
      </c>
      <c r="I28" s="5">
        <v>2096.3220000000001</v>
      </c>
      <c r="J28" s="7">
        <v>1.0568287037037039E-3</v>
      </c>
    </row>
    <row r="29" spans="1:10" x14ac:dyDescent="0.3">
      <c r="A29" s="3">
        <v>24</v>
      </c>
      <c r="B29" s="4" t="s">
        <v>207</v>
      </c>
      <c r="C29" s="5">
        <v>91.338999999999999</v>
      </c>
      <c r="D29" s="5">
        <v>25.379000000000001</v>
      </c>
      <c r="E29" s="5">
        <v>18.748999999999999</v>
      </c>
      <c r="F29" s="5">
        <v>19.463999999999999</v>
      </c>
      <c r="G29" s="5">
        <v>27.747</v>
      </c>
      <c r="H29" s="6">
        <v>313.89999999999998</v>
      </c>
      <c r="I29" s="5">
        <v>2187.6610000000001</v>
      </c>
      <c r="J29" s="7">
        <v>1.0571643518518521E-3</v>
      </c>
    </row>
    <row r="30" spans="1:10" x14ac:dyDescent="0.3">
      <c r="A30" s="3">
        <v>25</v>
      </c>
      <c r="B30" s="4" t="s">
        <v>208</v>
      </c>
      <c r="C30" s="5">
        <v>91.381</v>
      </c>
      <c r="D30" s="5">
        <v>25.344999999999999</v>
      </c>
      <c r="E30" s="5">
        <v>18.797000000000001</v>
      </c>
      <c r="F30" s="5">
        <v>19.526</v>
      </c>
      <c r="G30" s="5">
        <v>27.713000000000001</v>
      </c>
      <c r="H30" s="6">
        <v>314.8</v>
      </c>
      <c r="I30" s="5">
        <v>2279.0419999999999</v>
      </c>
      <c r="J30" s="7">
        <v>1.0576504629629629E-3</v>
      </c>
    </row>
    <row r="31" spans="1:10" x14ac:dyDescent="0.3">
      <c r="A31" s="3">
        <v>26</v>
      </c>
      <c r="B31" s="4" t="s">
        <v>209</v>
      </c>
      <c r="C31" s="5">
        <v>92.07</v>
      </c>
      <c r="D31" s="5">
        <v>25.564</v>
      </c>
      <c r="E31" s="5">
        <v>18.936</v>
      </c>
      <c r="F31" s="5">
        <v>19.641999999999999</v>
      </c>
      <c r="G31" s="5">
        <v>27.928000000000001</v>
      </c>
      <c r="H31" s="6">
        <v>313.89999999999998</v>
      </c>
      <c r="I31" s="5">
        <v>2371.1120000000001</v>
      </c>
      <c r="J31" s="7">
        <v>1.0656249999999999E-3</v>
      </c>
    </row>
    <row r="32" spans="1:10" x14ac:dyDescent="0.3">
      <c r="A32" s="3">
        <v>27</v>
      </c>
      <c r="B32" s="4" t="s">
        <v>210</v>
      </c>
      <c r="C32" s="5">
        <v>92.290999999999997</v>
      </c>
      <c r="D32" s="5">
        <v>25.556000000000001</v>
      </c>
      <c r="E32" s="5">
        <v>19.117999999999999</v>
      </c>
      <c r="F32" s="5">
        <v>19.63</v>
      </c>
      <c r="G32" s="5">
        <v>27.986999999999998</v>
      </c>
      <c r="H32" s="6">
        <v>315.7</v>
      </c>
      <c r="I32" s="5">
        <v>2463.4029999999998</v>
      </c>
      <c r="J32" s="7">
        <v>1.0681828703703699E-3</v>
      </c>
    </row>
  </sheetData>
  <autoFilter ref="A5:J32" xr:uid="{00000000-0009-0000-0000-000006000000}"/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211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212</v>
      </c>
      <c r="C3" s="1" t="s">
        <v>3</v>
      </c>
      <c r="D3" s="1" t="s">
        <v>157</v>
      </c>
      <c r="E3" s="1" t="s">
        <v>5</v>
      </c>
      <c r="F3" s="1">
        <v>27</v>
      </c>
      <c r="G3" s="1" t="s">
        <v>6</v>
      </c>
      <c r="H3" s="1">
        <v>25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213</v>
      </c>
      <c r="C6" s="5">
        <v>95.781999999999996</v>
      </c>
      <c r="D6" s="5">
        <v>29.335999999999999</v>
      </c>
      <c r="E6" s="5">
        <v>19.082999999999998</v>
      </c>
      <c r="F6" s="5">
        <v>19.556999999999999</v>
      </c>
      <c r="G6" s="5">
        <v>27.806000000000001</v>
      </c>
      <c r="H6" s="6">
        <v>251.7</v>
      </c>
      <c r="I6" s="5">
        <v>95.781999999999996</v>
      </c>
      <c r="J6" s="7">
        <v>1.1085879629629629E-3</v>
      </c>
    </row>
    <row r="7" spans="1:10" x14ac:dyDescent="0.3">
      <c r="A7" s="3">
        <v>2</v>
      </c>
      <c r="B7" s="4" t="s">
        <v>214</v>
      </c>
      <c r="C7" s="5">
        <v>91.491</v>
      </c>
      <c r="D7" s="5">
        <v>25.895</v>
      </c>
      <c r="E7" s="5">
        <v>18.774999999999999</v>
      </c>
      <c r="F7" s="5">
        <v>19.440000000000001</v>
      </c>
      <c r="G7" s="5">
        <v>27.381</v>
      </c>
      <c r="H7" s="6">
        <v>297.5</v>
      </c>
      <c r="I7" s="5">
        <v>187.273</v>
      </c>
      <c r="J7" s="7">
        <v>1.058923611111111E-3</v>
      </c>
    </row>
    <row r="8" spans="1:10" x14ac:dyDescent="0.3">
      <c r="A8" s="3">
        <v>3</v>
      </c>
      <c r="B8" s="4" t="s">
        <v>215</v>
      </c>
      <c r="C8" s="5">
        <v>90.893000000000001</v>
      </c>
      <c r="D8" s="5">
        <v>25.3</v>
      </c>
      <c r="E8" s="5">
        <v>18.64</v>
      </c>
      <c r="F8" s="5">
        <v>19.448</v>
      </c>
      <c r="G8" s="5">
        <v>27.504999999999999</v>
      </c>
      <c r="H8" s="6">
        <v>307.60000000000002</v>
      </c>
      <c r="I8" s="5">
        <v>278.166</v>
      </c>
      <c r="J8" s="7">
        <v>1.0520023148148151E-3</v>
      </c>
    </row>
    <row r="9" spans="1:10" x14ac:dyDescent="0.3">
      <c r="A9" s="3">
        <v>4</v>
      </c>
      <c r="B9" s="4" t="s">
        <v>216</v>
      </c>
      <c r="C9" s="5">
        <v>90.631</v>
      </c>
      <c r="D9" s="5">
        <v>25.297999999999998</v>
      </c>
      <c r="E9" s="5">
        <v>18.692</v>
      </c>
      <c r="F9" s="5">
        <v>19.350999999999999</v>
      </c>
      <c r="G9" s="5">
        <v>27.29</v>
      </c>
      <c r="H9" s="6">
        <v>305.89999999999998</v>
      </c>
      <c r="I9" s="5">
        <v>368.79700000000003</v>
      </c>
      <c r="J9" s="7">
        <v>1.0489699074074071E-3</v>
      </c>
    </row>
    <row r="10" spans="1:10" x14ac:dyDescent="0.3">
      <c r="A10" s="3">
        <v>5</v>
      </c>
      <c r="B10" s="4" t="s">
        <v>217</v>
      </c>
      <c r="C10" s="5">
        <v>90.472999999999999</v>
      </c>
      <c r="D10" s="5">
        <v>25.248000000000001</v>
      </c>
      <c r="E10" s="5">
        <v>18.675999999999998</v>
      </c>
      <c r="F10" s="5">
        <v>19.312999999999999</v>
      </c>
      <c r="G10" s="5">
        <v>27.236000000000001</v>
      </c>
      <c r="H10" s="6">
        <v>310.3</v>
      </c>
      <c r="I10" s="5">
        <v>459.27</v>
      </c>
      <c r="J10" s="7">
        <v>1.047141203703704E-3</v>
      </c>
    </row>
    <row r="11" spans="1:10" x14ac:dyDescent="0.3">
      <c r="A11" s="3">
        <v>6</v>
      </c>
      <c r="B11" s="4" t="s">
        <v>218</v>
      </c>
      <c r="C11" s="5">
        <v>90.403999999999996</v>
      </c>
      <c r="D11" s="5">
        <v>25.228000000000002</v>
      </c>
      <c r="E11" s="5">
        <v>18.61</v>
      </c>
      <c r="F11" s="5">
        <v>19.274000000000001</v>
      </c>
      <c r="G11" s="5">
        <v>27.292000000000002</v>
      </c>
      <c r="H11" s="6">
        <v>310.3</v>
      </c>
      <c r="I11" s="5">
        <v>549.67399999999998</v>
      </c>
      <c r="J11" s="7">
        <v>1.0463425925925931E-3</v>
      </c>
    </row>
    <row r="12" spans="1:10" x14ac:dyDescent="0.3">
      <c r="A12" s="3">
        <v>7</v>
      </c>
      <c r="B12" s="4" t="s">
        <v>167</v>
      </c>
      <c r="C12" s="5">
        <v>90.39</v>
      </c>
      <c r="D12" s="5">
        <v>25.161999999999999</v>
      </c>
      <c r="E12" s="5">
        <v>18.518000000000001</v>
      </c>
      <c r="F12" s="5">
        <v>19.337</v>
      </c>
      <c r="G12" s="5">
        <v>27.373000000000001</v>
      </c>
      <c r="H12" s="6">
        <v>313</v>
      </c>
      <c r="I12" s="5">
        <v>640.06399999999996</v>
      </c>
      <c r="J12" s="7">
        <v>1.0461805555555561E-3</v>
      </c>
    </row>
    <row r="13" spans="1:10" x14ac:dyDescent="0.3">
      <c r="A13" s="3">
        <v>8</v>
      </c>
      <c r="B13" s="4" t="s">
        <v>219</v>
      </c>
      <c r="C13" s="5">
        <v>90.664000000000001</v>
      </c>
      <c r="D13" s="5">
        <v>25.317</v>
      </c>
      <c r="E13" s="5">
        <v>18.646999999999998</v>
      </c>
      <c r="F13" s="5">
        <v>19.376999999999999</v>
      </c>
      <c r="G13" s="5">
        <v>27.323</v>
      </c>
      <c r="H13" s="6">
        <v>300.8</v>
      </c>
      <c r="I13" s="5">
        <v>730.72799999999995</v>
      </c>
      <c r="J13" s="7">
        <v>1.0493518518518521E-3</v>
      </c>
    </row>
    <row r="14" spans="1:10" x14ac:dyDescent="0.3">
      <c r="A14" s="3">
        <v>9</v>
      </c>
      <c r="B14" s="4" t="s">
        <v>220</v>
      </c>
      <c r="C14" s="5">
        <v>90.555000000000007</v>
      </c>
      <c r="D14" s="5">
        <v>25.242000000000001</v>
      </c>
      <c r="E14" s="5">
        <v>18.725000000000001</v>
      </c>
      <c r="F14" s="5">
        <v>19.318999999999999</v>
      </c>
      <c r="G14" s="5">
        <v>27.268999999999998</v>
      </c>
      <c r="H14" s="6">
        <v>309.39999999999998</v>
      </c>
      <c r="I14" s="5">
        <v>821.28300000000002</v>
      </c>
      <c r="J14" s="7">
        <v>1.048090277777778E-3</v>
      </c>
    </row>
    <row r="15" spans="1:10" x14ac:dyDescent="0.3">
      <c r="A15" s="3">
        <v>10</v>
      </c>
      <c r="B15" s="4" t="s">
        <v>221</v>
      </c>
      <c r="C15" s="5">
        <v>90.460999999999999</v>
      </c>
      <c r="D15" s="5">
        <v>25.164999999999999</v>
      </c>
      <c r="E15" s="5">
        <v>18.699000000000002</v>
      </c>
      <c r="F15" s="5">
        <v>19.341999999999999</v>
      </c>
      <c r="G15" s="5">
        <v>27.254999999999999</v>
      </c>
      <c r="H15" s="6">
        <v>313</v>
      </c>
      <c r="I15" s="5">
        <v>911.74400000000003</v>
      </c>
      <c r="J15" s="7">
        <v>1.0470023148148151E-3</v>
      </c>
    </row>
    <row r="16" spans="1:10" x14ac:dyDescent="0.3">
      <c r="A16" s="3">
        <v>11</v>
      </c>
      <c r="B16" s="4" t="s">
        <v>135</v>
      </c>
      <c r="C16" s="5">
        <v>90.256</v>
      </c>
      <c r="D16" s="5">
        <v>25.105</v>
      </c>
      <c r="E16" s="5">
        <v>18.652999999999999</v>
      </c>
      <c r="F16" s="5">
        <v>19.257999999999999</v>
      </c>
      <c r="G16" s="5">
        <v>27.24</v>
      </c>
      <c r="H16" s="6">
        <v>312.10000000000002</v>
      </c>
      <c r="I16" s="5">
        <v>1002</v>
      </c>
      <c r="J16" s="7">
        <v>1.0446296296296299E-3</v>
      </c>
    </row>
    <row r="17" spans="1:10" x14ac:dyDescent="0.3">
      <c r="A17" s="3">
        <v>12</v>
      </c>
      <c r="B17" s="4" t="s">
        <v>222</v>
      </c>
      <c r="C17" s="5">
        <v>90.244</v>
      </c>
      <c r="D17" s="5">
        <v>25.145</v>
      </c>
      <c r="E17" s="5">
        <v>18.631</v>
      </c>
      <c r="F17" s="5">
        <v>19.263999999999999</v>
      </c>
      <c r="G17" s="5">
        <v>27.204000000000001</v>
      </c>
      <c r="H17" s="6">
        <v>310.3</v>
      </c>
      <c r="I17" s="5">
        <v>1092.2439999999999</v>
      </c>
      <c r="J17" s="7">
        <v>1.044490740740741E-3</v>
      </c>
    </row>
    <row r="18" spans="1:10" x14ac:dyDescent="0.3">
      <c r="A18" s="3">
        <v>13</v>
      </c>
      <c r="B18" s="4" t="s">
        <v>223</v>
      </c>
      <c r="C18" s="5">
        <v>91.739000000000004</v>
      </c>
      <c r="D18" s="5">
        <v>25.18</v>
      </c>
      <c r="E18" s="5">
        <v>18.623000000000001</v>
      </c>
      <c r="F18" s="5">
        <v>20.411999999999999</v>
      </c>
      <c r="G18" s="5">
        <v>27.524000000000001</v>
      </c>
      <c r="H18" s="6">
        <v>305.89999999999998</v>
      </c>
      <c r="I18" s="5">
        <v>1183.9829999999999</v>
      </c>
      <c r="J18" s="7">
        <v>1.0617939814814811E-3</v>
      </c>
    </row>
    <row r="19" spans="1:10" x14ac:dyDescent="0.3">
      <c r="A19" s="3">
        <v>14</v>
      </c>
      <c r="B19" s="4" t="s">
        <v>224</v>
      </c>
      <c r="C19" s="5">
        <v>90.566000000000003</v>
      </c>
      <c r="D19" s="5">
        <v>25.282</v>
      </c>
      <c r="E19" s="5">
        <v>18.706</v>
      </c>
      <c r="F19" s="5">
        <v>19.300999999999998</v>
      </c>
      <c r="G19" s="5">
        <v>27.277000000000001</v>
      </c>
      <c r="H19" s="6">
        <v>311.2</v>
      </c>
      <c r="I19" s="5">
        <v>1274.549</v>
      </c>
      <c r="J19" s="7">
        <v>1.048217592592593E-3</v>
      </c>
    </row>
    <row r="20" spans="1:10" x14ac:dyDescent="0.3">
      <c r="A20" s="3">
        <v>15</v>
      </c>
      <c r="B20" s="4" t="s">
        <v>225</v>
      </c>
      <c r="C20" s="5">
        <v>90.691000000000003</v>
      </c>
      <c r="D20" s="5">
        <v>25.213999999999999</v>
      </c>
      <c r="E20" s="5">
        <v>18.712</v>
      </c>
      <c r="F20" s="5">
        <v>19.367999999999999</v>
      </c>
      <c r="G20" s="5">
        <v>27.396999999999998</v>
      </c>
      <c r="H20" s="6">
        <v>311.2</v>
      </c>
      <c r="I20" s="5">
        <v>1365.24</v>
      </c>
      <c r="J20" s="7">
        <v>1.049664351851852E-3</v>
      </c>
    </row>
    <row r="21" spans="1:10" x14ac:dyDescent="0.3">
      <c r="A21" s="3">
        <v>16</v>
      </c>
      <c r="B21" s="4" t="s">
        <v>226</v>
      </c>
      <c r="C21" s="5">
        <v>90.736000000000004</v>
      </c>
      <c r="D21" s="5">
        <v>25.263999999999999</v>
      </c>
      <c r="E21" s="5">
        <v>18.788</v>
      </c>
      <c r="F21" s="5">
        <v>19.396000000000001</v>
      </c>
      <c r="G21" s="5">
        <v>27.288</v>
      </c>
      <c r="H21" s="6">
        <v>308.5</v>
      </c>
      <c r="I21" s="5">
        <v>1455.9760000000001</v>
      </c>
      <c r="J21" s="7">
        <v>1.050185185185185E-3</v>
      </c>
    </row>
    <row r="22" spans="1:10" x14ac:dyDescent="0.3">
      <c r="A22" s="3">
        <v>17</v>
      </c>
      <c r="B22" s="4" t="s">
        <v>227</v>
      </c>
      <c r="C22" s="5">
        <v>91.387</v>
      </c>
      <c r="D22" s="5">
        <v>25.3</v>
      </c>
      <c r="E22" s="5">
        <v>18.831</v>
      </c>
      <c r="F22" s="5">
        <v>19.547000000000001</v>
      </c>
      <c r="G22" s="5">
        <v>27.709</v>
      </c>
      <c r="H22" s="6">
        <v>305</v>
      </c>
      <c r="I22" s="5">
        <v>1547.3630000000001</v>
      </c>
      <c r="J22" s="7">
        <v>1.057719907407407E-3</v>
      </c>
    </row>
    <row r="23" spans="1:10" x14ac:dyDescent="0.3">
      <c r="A23" s="3">
        <v>18</v>
      </c>
      <c r="B23" s="4" t="s">
        <v>228</v>
      </c>
      <c r="C23" s="5">
        <v>91.456000000000003</v>
      </c>
      <c r="D23" s="5">
        <v>25.673999999999999</v>
      </c>
      <c r="E23" s="5">
        <v>18.891999999999999</v>
      </c>
      <c r="F23" s="5">
        <v>19.454000000000001</v>
      </c>
      <c r="G23" s="5">
        <v>27.436</v>
      </c>
      <c r="H23" s="6">
        <v>305</v>
      </c>
      <c r="I23" s="5">
        <v>1638.819</v>
      </c>
      <c r="J23" s="7">
        <v>1.058518518518519E-3</v>
      </c>
    </row>
    <row r="24" spans="1:10" x14ac:dyDescent="0.3">
      <c r="A24" s="3">
        <v>19</v>
      </c>
      <c r="B24" s="4" t="s">
        <v>206</v>
      </c>
      <c r="C24" s="5">
        <v>91.31</v>
      </c>
      <c r="D24" s="5">
        <v>25.332999999999998</v>
      </c>
      <c r="E24" s="5">
        <v>18.777999999999999</v>
      </c>
      <c r="F24" s="5">
        <v>19.567</v>
      </c>
      <c r="G24" s="5">
        <v>27.632000000000001</v>
      </c>
      <c r="H24" s="6">
        <v>298.3</v>
      </c>
      <c r="I24" s="5">
        <v>1730.1289999999999</v>
      </c>
      <c r="J24" s="7">
        <v>1.0568287037037039E-3</v>
      </c>
    </row>
    <row r="25" spans="1:10" x14ac:dyDescent="0.3">
      <c r="A25" s="3">
        <v>20</v>
      </c>
      <c r="B25" s="4" t="s">
        <v>229</v>
      </c>
      <c r="C25" s="5">
        <v>91.281999999999996</v>
      </c>
      <c r="D25" s="5">
        <v>25.343</v>
      </c>
      <c r="E25" s="5">
        <v>18.771999999999998</v>
      </c>
      <c r="F25" s="5">
        <v>19.606999999999999</v>
      </c>
      <c r="G25" s="5">
        <v>27.56</v>
      </c>
      <c r="H25" s="6">
        <v>310.3</v>
      </c>
      <c r="I25" s="5">
        <v>1821.4110000000001</v>
      </c>
      <c r="J25" s="7">
        <v>1.0565046296296299E-3</v>
      </c>
    </row>
    <row r="26" spans="1:10" x14ac:dyDescent="0.3">
      <c r="A26" s="3">
        <v>21</v>
      </c>
      <c r="B26" s="4" t="s">
        <v>230</v>
      </c>
      <c r="C26" s="5">
        <v>91.495999999999995</v>
      </c>
      <c r="D26" s="5">
        <v>25.483000000000001</v>
      </c>
      <c r="E26" s="5">
        <v>18.803000000000001</v>
      </c>
      <c r="F26" s="5">
        <v>19.652000000000001</v>
      </c>
      <c r="G26" s="5">
        <v>27.558</v>
      </c>
      <c r="H26" s="6">
        <v>310.3</v>
      </c>
      <c r="I26" s="5">
        <v>1912.9069999999999</v>
      </c>
      <c r="J26" s="7">
        <v>1.0589814814814811E-3</v>
      </c>
    </row>
    <row r="27" spans="1:10" x14ac:dyDescent="0.3">
      <c r="A27" s="3">
        <v>22</v>
      </c>
      <c r="B27" s="4" t="s">
        <v>231</v>
      </c>
      <c r="C27" s="5">
        <v>92.406999999999996</v>
      </c>
      <c r="D27" s="5">
        <v>25.507999999999999</v>
      </c>
      <c r="E27" s="5">
        <v>19.024999999999999</v>
      </c>
      <c r="F27" s="5">
        <v>20.033999999999999</v>
      </c>
      <c r="G27" s="5">
        <v>27.84</v>
      </c>
      <c r="H27" s="6">
        <v>311.2</v>
      </c>
      <c r="I27" s="5">
        <v>2005.3140000000001</v>
      </c>
      <c r="J27" s="7">
        <v>1.0695254629629631E-3</v>
      </c>
    </row>
    <row r="28" spans="1:10" x14ac:dyDescent="0.3">
      <c r="A28" s="3">
        <v>23</v>
      </c>
      <c r="B28" s="4" t="s">
        <v>232</v>
      </c>
      <c r="C28" s="5">
        <v>92.876000000000005</v>
      </c>
      <c r="D28" s="5">
        <v>25.722000000000001</v>
      </c>
      <c r="E28" s="5">
        <v>19.335999999999999</v>
      </c>
      <c r="F28" s="5">
        <v>19.887</v>
      </c>
      <c r="G28" s="5">
        <v>27.931000000000001</v>
      </c>
      <c r="H28" s="6">
        <v>305</v>
      </c>
      <c r="I28" s="5">
        <v>2098.19</v>
      </c>
      <c r="J28" s="7">
        <v>1.0749537037037041E-3</v>
      </c>
    </row>
    <row r="29" spans="1:10" x14ac:dyDescent="0.3">
      <c r="A29" s="3">
        <v>24</v>
      </c>
      <c r="B29" s="4" t="s">
        <v>233</v>
      </c>
      <c r="C29" s="5">
        <v>92.293000000000006</v>
      </c>
      <c r="D29" s="5">
        <v>25.591999999999999</v>
      </c>
      <c r="E29" s="5">
        <v>19.059999999999999</v>
      </c>
      <c r="F29" s="5">
        <v>19.914999999999999</v>
      </c>
      <c r="G29" s="5">
        <v>27.725999999999999</v>
      </c>
      <c r="H29" s="6">
        <v>310.3</v>
      </c>
      <c r="I29" s="5">
        <v>2190.4830000000002</v>
      </c>
      <c r="J29" s="7">
        <v>1.0682060185185189E-3</v>
      </c>
    </row>
    <row r="30" spans="1:10" x14ac:dyDescent="0.3">
      <c r="A30" s="3">
        <v>25</v>
      </c>
      <c r="B30" s="4" t="s">
        <v>234</v>
      </c>
      <c r="C30" s="5">
        <v>91.725999999999999</v>
      </c>
      <c r="D30" s="5">
        <v>25.518999999999998</v>
      </c>
      <c r="E30" s="5">
        <v>18.89</v>
      </c>
      <c r="F30" s="5">
        <v>19.669</v>
      </c>
      <c r="G30" s="5">
        <v>27.648</v>
      </c>
      <c r="H30" s="6">
        <v>310.3</v>
      </c>
      <c r="I30" s="5">
        <v>2282.2089999999998</v>
      </c>
      <c r="J30" s="7">
        <v>1.061643518518518E-3</v>
      </c>
    </row>
    <row r="31" spans="1:10" x14ac:dyDescent="0.3">
      <c r="A31" s="3">
        <v>26</v>
      </c>
      <c r="B31" s="4" t="s">
        <v>235</v>
      </c>
      <c r="C31" s="5">
        <v>92.225999999999999</v>
      </c>
      <c r="D31" s="5">
        <v>25.559000000000001</v>
      </c>
      <c r="E31" s="5">
        <v>18.998000000000001</v>
      </c>
      <c r="F31" s="5">
        <v>19.795999999999999</v>
      </c>
      <c r="G31" s="5">
        <v>27.873000000000001</v>
      </c>
      <c r="H31" s="6">
        <v>308.5</v>
      </c>
      <c r="I31" s="5">
        <v>2374.4349999999999</v>
      </c>
      <c r="J31" s="7">
        <v>1.0674305555555561E-3</v>
      </c>
    </row>
    <row r="32" spans="1:10" x14ac:dyDescent="0.3">
      <c r="A32" s="3">
        <v>27</v>
      </c>
      <c r="B32" s="4" t="s">
        <v>236</v>
      </c>
      <c r="C32" s="5">
        <v>91.986999999999995</v>
      </c>
      <c r="D32" s="5">
        <v>25.702999999999999</v>
      </c>
      <c r="E32" s="5">
        <v>19.024000000000001</v>
      </c>
      <c r="F32" s="5">
        <v>19.623000000000001</v>
      </c>
      <c r="G32" s="5">
        <v>27.637</v>
      </c>
      <c r="H32" s="6">
        <v>308.5</v>
      </c>
      <c r="I32" s="5">
        <v>2466.422</v>
      </c>
      <c r="J32" s="7">
        <v>1.064664351851852E-3</v>
      </c>
    </row>
  </sheetData>
  <autoFilter ref="A5:J32" xr:uid="{00000000-0009-0000-0000-000007000000}"/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237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238</v>
      </c>
      <c r="C3" s="1" t="s">
        <v>3</v>
      </c>
      <c r="D3" s="1" t="s">
        <v>239</v>
      </c>
      <c r="E3" s="1" t="s">
        <v>5</v>
      </c>
      <c r="F3" s="1">
        <v>27</v>
      </c>
      <c r="G3" s="1" t="s">
        <v>6</v>
      </c>
      <c r="H3" s="1">
        <v>24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240</v>
      </c>
      <c r="C6" s="5">
        <v>97.41</v>
      </c>
      <c r="D6" s="5">
        <v>30.489000000000001</v>
      </c>
      <c r="E6" s="5">
        <v>19.347000000000001</v>
      </c>
      <c r="F6" s="5">
        <v>19.797999999999998</v>
      </c>
      <c r="G6" s="5">
        <v>27.776</v>
      </c>
      <c r="H6" s="6">
        <v>265.3</v>
      </c>
      <c r="I6" s="5">
        <v>97.41</v>
      </c>
      <c r="J6" s="7">
        <v>1.127430555555556E-3</v>
      </c>
    </row>
    <row r="7" spans="1:10" x14ac:dyDescent="0.3">
      <c r="A7" s="3">
        <v>2</v>
      </c>
      <c r="B7" s="4" t="s">
        <v>241</v>
      </c>
      <c r="C7" s="5">
        <v>92.006</v>
      </c>
      <c r="D7" s="5">
        <v>25.745000000000001</v>
      </c>
      <c r="E7" s="5">
        <v>19.073</v>
      </c>
      <c r="F7" s="5">
        <v>19.617000000000001</v>
      </c>
      <c r="G7" s="5">
        <v>27.571000000000002</v>
      </c>
      <c r="H7" s="6">
        <v>300.8</v>
      </c>
      <c r="I7" s="5">
        <v>189.416</v>
      </c>
      <c r="J7" s="7">
        <v>1.0648842592592589E-3</v>
      </c>
    </row>
    <row r="8" spans="1:10" x14ac:dyDescent="0.3">
      <c r="A8" s="3">
        <v>3</v>
      </c>
      <c r="B8" s="4" t="s">
        <v>242</v>
      </c>
      <c r="C8" s="5">
        <v>91.361999999999995</v>
      </c>
      <c r="D8" s="5">
        <v>25.456</v>
      </c>
      <c r="E8" s="5">
        <v>18.844000000000001</v>
      </c>
      <c r="F8" s="5">
        <v>19.475999999999999</v>
      </c>
      <c r="G8" s="5">
        <v>27.585999999999999</v>
      </c>
      <c r="H8" s="6">
        <v>305.89999999999998</v>
      </c>
      <c r="I8" s="5">
        <v>280.77800000000002</v>
      </c>
      <c r="J8" s="7">
        <v>1.057430555555556E-3</v>
      </c>
    </row>
    <row r="9" spans="1:10" x14ac:dyDescent="0.3">
      <c r="A9" s="3">
        <v>4</v>
      </c>
      <c r="B9" s="4" t="s">
        <v>243</v>
      </c>
      <c r="C9" s="5">
        <v>91.3</v>
      </c>
      <c r="D9" s="5">
        <v>25.361000000000001</v>
      </c>
      <c r="E9" s="5">
        <v>18.856000000000002</v>
      </c>
      <c r="F9" s="5">
        <v>19.518000000000001</v>
      </c>
      <c r="G9" s="5">
        <v>27.565000000000001</v>
      </c>
      <c r="H9" s="6">
        <v>307.60000000000002</v>
      </c>
      <c r="I9" s="5">
        <v>372.07799999999997</v>
      </c>
      <c r="J9" s="7">
        <v>1.0567129629629631E-3</v>
      </c>
    </row>
    <row r="10" spans="1:10" x14ac:dyDescent="0.3">
      <c r="A10" s="3">
        <v>5</v>
      </c>
      <c r="B10" s="4" t="s">
        <v>244</v>
      </c>
      <c r="C10" s="5">
        <v>91.212999999999994</v>
      </c>
      <c r="D10" s="5">
        <v>25.385000000000002</v>
      </c>
      <c r="E10" s="5">
        <v>18.91</v>
      </c>
      <c r="F10" s="5">
        <v>19.463000000000001</v>
      </c>
      <c r="G10" s="5">
        <v>27.454999999999998</v>
      </c>
      <c r="H10" s="6">
        <v>306.8</v>
      </c>
      <c r="I10" s="5">
        <v>463.291</v>
      </c>
      <c r="J10" s="7">
        <v>1.055706018518519E-3</v>
      </c>
    </row>
    <row r="11" spans="1:10" x14ac:dyDescent="0.3">
      <c r="A11" s="3">
        <v>6</v>
      </c>
      <c r="B11" s="4" t="s">
        <v>245</v>
      </c>
      <c r="C11" s="5">
        <v>91.144000000000005</v>
      </c>
      <c r="D11" s="5">
        <v>25.442</v>
      </c>
      <c r="E11" s="5">
        <v>18.949000000000002</v>
      </c>
      <c r="F11" s="5">
        <v>19.414000000000001</v>
      </c>
      <c r="G11" s="5">
        <v>27.338999999999999</v>
      </c>
      <c r="H11" s="6">
        <v>307.60000000000002</v>
      </c>
      <c r="I11" s="5">
        <v>554.43499999999995</v>
      </c>
      <c r="J11" s="7">
        <v>1.054907407407407E-3</v>
      </c>
    </row>
    <row r="12" spans="1:10" x14ac:dyDescent="0.3">
      <c r="A12" s="3">
        <v>7</v>
      </c>
      <c r="B12" s="4" t="s">
        <v>246</v>
      </c>
      <c r="C12" s="5">
        <v>91.03</v>
      </c>
      <c r="D12" s="5">
        <v>25.308</v>
      </c>
      <c r="E12" s="5">
        <v>18.844999999999999</v>
      </c>
      <c r="F12" s="5">
        <v>19.364999999999998</v>
      </c>
      <c r="G12" s="5">
        <v>27.512</v>
      </c>
      <c r="H12" s="6">
        <v>309.39999999999998</v>
      </c>
      <c r="I12" s="5">
        <v>645.46500000000003</v>
      </c>
      <c r="J12" s="7">
        <v>1.053587962962963E-3</v>
      </c>
    </row>
    <row r="13" spans="1:10" x14ac:dyDescent="0.3">
      <c r="A13" s="3">
        <v>8</v>
      </c>
      <c r="B13" s="4" t="s">
        <v>66</v>
      </c>
      <c r="C13" s="5">
        <v>91.001000000000005</v>
      </c>
      <c r="D13" s="5">
        <v>25.356999999999999</v>
      </c>
      <c r="E13" s="5">
        <v>18.963000000000001</v>
      </c>
      <c r="F13" s="5">
        <v>19.338999999999999</v>
      </c>
      <c r="G13" s="5">
        <v>27.341999999999999</v>
      </c>
      <c r="H13" s="6">
        <v>307.60000000000002</v>
      </c>
      <c r="I13" s="5">
        <v>736.46600000000001</v>
      </c>
      <c r="J13" s="7">
        <v>1.053252314814815E-3</v>
      </c>
    </row>
    <row r="14" spans="1:10" x14ac:dyDescent="0.3">
      <c r="A14" s="3">
        <v>9</v>
      </c>
      <c r="B14" s="4" t="s">
        <v>247</v>
      </c>
      <c r="C14" s="5">
        <v>90.95</v>
      </c>
      <c r="D14" s="5">
        <v>25.292999999999999</v>
      </c>
      <c r="E14" s="5">
        <v>18.850000000000001</v>
      </c>
      <c r="F14" s="5">
        <v>19.396000000000001</v>
      </c>
      <c r="G14" s="5">
        <v>27.411000000000001</v>
      </c>
      <c r="H14" s="6">
        <v>307.60000000000002</v>
      </c>
      <c r="I14" s="5">
        <v>827.41600000000005</v>
      </c>
      <c r="J14" s="7">
        <v>1.0526620370370371E-3</v>
      </c>
    </row>
    <row r="15" spans="1:10" x14ac:dyDescent="0.3">
      <c r="A15" s="3">
        <v>10</v>
      </c>
      <c r="B15" s="4" t="s">
        <v>248</v>
      </c>
      <c r="C15" s="5">
        <v>90.802000000000007</v>
      </c>
      <c r="D15" s="5">
        <v>25.268000000000001</v>
      </c>
      <c r="E15" s="5">
        <v>18.850000000000001</v>
      </c>
      <c r="F15" s="5">
        <v>19.312000000000001</v>
      </c>
      <c r="G15" s="5">
        <v>27.372</v>
      </c>
      <c r="H15" s="6">
        <v>307.60000000000002</v>
      </c>
      <c r="I15" s="5">
        <v>918.21799999999996</v>
      </c>
      <c r="J15" s="7">
        <v>1.0509490740740739E-3</v>
      </c>
    </row>
    <row r="16" spans="1:10" x14ac:dyDescent="0.3">
      <c r="A16" s="3">
        <v>11</v>
      </c>
      <c r="B16" s="4" t="s">
        <v>249</v>
      </c>
      <c r="C16" s="5">
        <v>90.822000000000003</v>
      </c>
      <c r="D16" s="5">
        <v>25.244</v>
      </c>
      <c r="E16" s="5">
        <v>18.875</v>
      </c>
      <c r="F16" s="5">
        <v>19.393999999999998</v>
      </c>
      <c r="G16" s="5">
        <v>27.309000000000001</v>
      </c>
      <c r="H16" s="6">
        <v>310.3</v>
      </c>
      <c r="I16" s="5">
        <v>1009.04</v>
      </c>
      <c r="J16" s="7">
        <v>1.0511805555555561E-3</v>
      </c>
    </row>
    <row r="17" spans="1:10" x14ac:dyDescent="0.3">
      <c r="A17" s="3">
        <v>12</v>
      </c>
      <c r="B17" s="4" t="s">
        <v>250</v>
      </c>
      <c r="C17" s="5">
        <v>90.998999999999995</v>
      </c>
      <c r="D17" s="5">
        <v>25.352</v>
      </c>
      <c r="E17" s="5">
        <v>18.899999999999999</v>
      </c>
      <c r="F17" s="5">
        <v>19.390999999999998</v>
      </c>
      <c r="G17" s="5">
        <v>27.356000000000002</v>
      </c>
      <c r="H17" s="6">
        <v>308.5</v>
      </c>
      <c r="I17" s="5">
        <v>1100.039</v>
      </c>
      <c r="J17" s="7">
        <v>1.0532291666666669E-3</v>
      </c>
    </row>
    <row r="18" spans="1:10" x14ac:dyDescent="0.3">
      <c r="A18" s="3">
        <v>13</v>
      </c>
      <c r="B18" s="4" t="s">
        <v>251</v>
      </c>
      <c r="C18" s="5">
        <v>91.16</v>
      </c>
      <c r="D18" s="5">
        <v>25.417000000000002</v>
      </c>
      <c r="E18" s="5">
        <v>18.945</v>
      </c>
      <c r="F18" s="5">
        <v>19.417999999999999</v>
      </c>
      <c r="G18" s="5">
        <v>27.38</v>
      </c>
      <c r="H18" s="6">
        <v>308.5</v>
      </c>
      <c r="I18" s="5">
        <v>1191.1990000000001</v>
      </c>
      <c r="J18" s="7">
        <v>1.0550925925925921E-3</v>
      </c>
    </row>
    <row r="19" spans="1:10" x14ac:dyDescent="0.3">
      <c r="A19" s="3">
        <v>14</v>
      </c>
      <c r="B19" s="4" t="s">
        <v>252</v>
      </c>
      <c r="C19" s="5">
        <v>90.900999999999996</v>
      </c>
      <c r="D19" s="5">
        <v>25.297999999999998</v>
      </c>
      <c r="E19" s="5">
        <v>18.731000000000002</v>
      </c>
      <c r="F19" s="5">
        <v>19.521000000000001</v>
      </c>
      <c r="G19" s="5">
        <v>27.350999999999999</v>
      </c>
      <c r="H19" s="6">
        <v>310.3</v>
      </c>
      <c r="I19" s="5">
        <v>1282.0999999999999</v>
      </c>
      <c r="J19" s="7">
        <v>1.052094907407407E-3</v>
      </c>
    </row>
    <row r="20" spans="1:10" x14ac:dyDescent="0.3">
      <c r="A20" s="3">
        <v>15</v>
      </c>
      <c r="B20" s="4" t="s">
        <v>201</v>
      </c>
      <c r="C20" s="5">
        <v>90.796999999999997</v>
      </c>
      <c r="D20" s="5">
        <v>25.288</v>
      </c>
      <c r="E20" s="5">
        <v>18.809999999999999</v>
      </c>
      <c r="F20" s="5">
        <v>19.36</v>
      </c>
      <c r="G20" s="5">
        <v>27.338999999999999</v>
      </c>
      <c r="H20" s="6">
        <v>307.60000000000002</v>
      </c>
      <c r="I20" s="5">
        <v>1372.8969999999999</v>
      </c>
      <c r="J20" s="7">
        <v>1.0508912037037041E-3</v>
      </c>
    </row>
    <row r="21" spans="1:10" x14ac:dyDescent="0.3">
      <c r="A21" s="3">
        <v>16</v>
      </c>
      <c r="B21" s="4" t="s">
        <v>253</v>
      </c>
      <c r="C21" s="5">
        <v>91.034999999999997</v>
      </c>
      <c r="D21" s="5">
        <v>25.347000000000001</v>
      </c>
      <c r="E21" s="5">
        <v>18.864999999999998</v>
      </c>
      <c r="F21" s="5">
        <v>19.361999999999998</v>
      </c>
      <c r="G21" s="5">
        <v>27.460999999999999</v>
      </c>
      <c r="H21" s="6">
        <v>308.5</v>
      </c>
      <c r="I21" s="5">
        <v>1463.932</v>
      </c>
      <c r="J21" s="7">
        <v>1.0536458333333331E-3</v>
      </c>
    </row>
    <row r="22" spans="1:10" x14ac:dyDescent="0.3">
      <c r="A22" s="3">
        <v>17</v>
      </c>
      <c r="B22" s="4" t="s">
        <v>254</v>
      </c>
      <c r="C22" s="5">
        <v>91.17</v>
      </c>
      <c r="D22" s="5">
        <v>25.315999999999999</v>
      </c>
      <c r="E22" s="5">
        <v>18.837</v>
      </c>
      <c r="F22" s="5">
        <v>19.448</v>
      </c>
      <c r="G22" s="5">
        <v>27.568999999999999</v>
      </c>
      <c r="H22" s="6">
        <v>309.39999999999998</v>
      </c>
      <c r="I22" s="5">
        <v>1555.1020000000001</v>
      </c>
      <c r="J22" s="7">
        <v>1.0552083333333329E-3</v>
      </c>
    </row>
    <row r="23" spans="1:10" x14ac:dyDescent="0.3">
      <c r="A23" s="3">
        <v>18</v>
      </c>
      <c r="B23" s="4" t="s">
        <v>255</v>
      </c>
      <c r="C23" s="5">
        <v>91.010999999999996</v>
      </c>
      <c r="D23" s="5">
        <v>25.376000000000001</v>
      </c>
      <c r="E23" s="5">
        <v>18.72</v>
      </c>
      <c r="F23" s="5">
        <v>19.488</v>
      </c>
      <c r="G23" s="5">
        <v>27.427</v>
      </c>
      <c r="H23" s="6">
        <v>308.5</v>
      </c>
      <c r="I23" s="5">
        <v>1646.1130000000001</v>
      </c>
      <c r="J23" s="7">
        <v>1.053368055555555E-3</v>
      </c>
    </row>
    <row r="24" spans="1:10" x14ac:dyDescent="0.3">
      <c r="A24" s="3">
        <v>19</v>
      </c>
      <c r="B24" s="4" t="s">
        <v>256</v>
      </c>
      <c r="C24" s="5">
        <v>91.230999999999995</v>
      </c>
      <c r="D24" s="5">
        <v>25.32</v>
      </c>
      <c r="E24" s="5">
        <v>18.826000000000001</v>
      </c>
      <c r="F24" s="5">
        <v>19.431000000000001</v>
      </c>
      <c r="G24" s="5">
        <v>27.654</v>
      </c>
      <c r="H24" s="6">
        <v>308.5</v>
      </c>
      <c r="I24" s="5">
        <v>1737.3440000000001</v>
      </c>
      <c r="J24" s="7">
        <v>1.0559143518518519E-3</v>
      </c>
    </row>
    <row r="25" spans="1:10" x14ac:dyDescent="0.3">
      <c r="A25" s="3">
        <v>20</v>
      </c>
      <c r="B25" s="4" t="s">
        <v>257</v>
      </c>
      <c r="C25" s="5">
        <v>90.971999999999994</v>
      </c>
      <c r="D25" s="5">
        <v>25.242000000000001</v>
      </c>
      <c r="E25" s="5">
        <v>18.878</v>
      </c>
      <c r="F25" s="5">
        <v>19.405000000000001</v>
      </c>
      <c r="G25" s="5">
        <v>27.446999999999999</v>
      </c>
      <c r="H25" s="6">
        <v>307.60000000000002</v>
      </c>
      <c r="I25" s="5">
        <v>1828.316</v>
      </c>
      <c r="J25" s="7">
        <v>1.0529166666666671E-3</v>
      </c>
    </row>
    <row r="26" spans="1:10" x14ac:dyDescent="0.3">
      <c r="A26" s="3">
        <v>21</v>
      </c>
      <c r="B26" s="4" t="s">
        <v>258</v>
      </c>
      <c r="C26" s="5">
        <v>91.031000000000006</v>
      </c>
      <c r="D26" s="5">
        <v>25.323</v>
      </c>
      <c r="E26" s="5">
        <v>18.838000000000001</v>
      </c>
      <c r="F26" s="5">
        <v>19.398</v>
      </c>
      <c r="G26" s="5">
        <v>27.472000000000001</v>
      </c>
      <c r="H26" s="6">
        <v>308.5</v>
      </c>
      <c r="I26" s="5">
        <v>1919.347</v>
      </c>
      <c r="J26" s="7">
        <v>1.0535995370370369E-3</v>
      </c>
    </row>
    <row r="27" spans="1:10" x14ac:dyDescent="0.3">
      <c r="A27" s="3">
        <v>22</v>
      </c>
      <c r="B27" s="4" t="s">
        <v>259</v>
      </c>
      <c r="C27" s="5">
        <v>91.129000000000005</v>
      </c>
      <c r="D27" s="5">
        <v>25.29</v>
      </c>
      <c r="E27" s="5">
        <v>18.884</v>
      </c>
      <c r="F27" s="5">
        <v>19.492000000000001</v>
      </c>
      <c r="G27" s="5">
        <v>27.463000000000001</v>
      </c>
      <c r="H27" s="6">
        <v>308.5</v>
      </c>
      <c r="I27" s="5">
        <v>2010.4760000000001</v>
      </c>
      <c r="J27" s="7">
        <v>1.054733796296296E-3</v>
      </c>
    </row>
    <row r="28" spans="1:10" x14ac:dyDescent="0.3">
      <c r="A28" s="3">
        <v>23</v>
      </c>
      <c r="B28" s="4" t="s">
        <v>260</v>
      </c>
      <c r="C28" s="5">
        <v>91.057000000000002</v>
      </c>
      <c r="D28" s="5">
        <v>25.195</v>
      </c>
      <c r="E28" s="5">
        <v>18.835999999999999</v>
      </c>
      <c r="F28" s="5">
        <v>19.484999999999999</v>
      </c>
      <c r="G28" s="5">
        <v>27.541</v>
      </c>
      <c r="H28" s="6">
        <v>308.5</v>
      </c>
      <c r="I28" s="5">
        <v>2101.5329999999999</v>
      </c>
      <c r="J28" s="7">
        <v>1.0539004629629631E-3</v>
      </c>
    </row>
    <row r="29" spans="1:10" x14ac:dyDescent="0.3">
      <c r="A29" s="3">
        <v>24</v>
      </c>
      <c r="B29" s="4" t="s">
        <v>261</v>
      </c>
      <c r="C29" s="5">
        <v>90.932000000000002</v>
      </c>
      <c r="D29" s="5">
        <v>25.283000000000001</v>
      </c>
      <c r="E29" s="5">
        <v>18.870999999999999</v>
      </c>
      <c r="F29" s="5">
        <v>19.393000000000001</v>
      </c>
      <c r="G29" s="5">
        <v>27.385000000000002</v>
      </c>
      <c r="H29" s="6">
        <v>308.5</v>
      </c>
      <c r="I29" s="5">
        <v>2192.4650000000001</v>
      </c>
      <c r="J29" s="7">
        <v>1.0524537037037041E-3</v>
      </c>
    </row>
    <row r="30" spans="1:10" x14ac:dyDescent="0.3">
      <c r="A30" s="3">
        <v>25</v>
      </c>
      <c r="B30" s="4" t="s">
        <v>262</v>
      </c>
      <c r="C30" s="5">
        <v>91.266999999999996</v>
      </c>
      <c r="D30" s="5">
        <v>25.234999999999999</v>
      </c>
      <c r="E30" s="5">
        <v>19.103999999999999</v>
      </c>
      <c r="F30" s="5">
        <v>19.48</v>
      </c>
      <c r="G30" s="5">
        <v>27.448</v>
      </c>
      <c r="H30" s="6">
        <v>310.3</v>
      </c>
      <c r="I30" s="5">
        <v>2283.732</v>
      </c>
      <c r="J30" s="7">
        <v>1.0563310185185189E-3</v>
      </c>
    </row>
    <row r="31" spans="1:10" x14ac:dyDescent="0.3">
      <c r="A31" s="3">
        <v>26</v>
      </c>
      <c r="B31" s="4" t="s">
        <v>263</v>
      </c>
      <c r="C31" s="5">
        <v>91.430999999999997</v>
      </c>
      <c r="D31" s="5">
        <v>25.36</v>
      </c>
      <c r="E31" s="5">
        <v>19.041</v>
      </c>
      <c r="F31" s="5">
        <v>19.491</v>
      </c>
      <c r="G31" s="5">
        <v>27.539000000000001</v>
      </c>
      <c r="H31" s="6">
        <v>309.39999999999998</v>
      </c>
      <c r="I31" s="5">
        <v>2375.163</v>
      </c>
      <c r="J31" s="7">
        <v>1.058229166666667E-3</v>
      </c>
    </row>
    <row r="32" spans="1:10" x14ac:dyDescent="0.3">
      <c r="A32" s="3">
        <v>27</v>
      </c>
      <c r="B32" s="4" t="s">
        <v>264</v>
      </c>
      <c r="C32" s="5">
        <v>91.418000000000006</v>
      </c>
      <c r="D32" s="5">
        <v>25.306000000000001</v>
      </c>
      <c r="E32" s="5">
        <v>18.981999999999999</v>
      </c>
      <c r="F32" s="5">
        <v>19.568999999999999</v>
      </c>
      <c r="G32" s="5">
        <v>27.561</v>
      </c>
      <c r="H32" s="6">
        <v>311.2</v>
      </c>
      <c r="I32" s="5">
        <v>2466.5810000000001</v>
      </c>
      <c r="J32" s="7">
        <v>1.0580787037037041E-3</v>
      </c>
    </row>
  </sheetData>
  <autoFilter ref="A5:J32" xr:uid="{00000000-0009-0000-0000-000008000000}"/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265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266</v>
      </c>
      <c r="C3" s="1" t="s">
        <v>3</v>
      </c>
      <c r="D3" s="1" t="s">
        <v>130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267</v>
      </c>
      <c r="C6" s="5">
        <v>97.771000000000001</v>
      </c>
      <c r="D6" s="5">
        <v>30.713000000000001</v>
      </c>
      <c r="E6" s="5">
        <v>19.420000000000002</v>
      </c>
      <c r="F6" s="5">
        <v>19.748999999999999</v>
      </c>
      <c r="G6" s="5">
        <v>27.888999999999999</v>
      </c>
      <c r="H6" s="6">
        <v>269.3</v>
      </c>
      <c r="I6" s="5">
        <v>97.771000000000001</v>
      </c>
      <c r="J6" s="7">
        <v>1.1316087962962959E-3</v>
      </c>
    </row>
    <row r="7" spans="1:10" x14ac:dyDescent="0.3">
      <c r="A7" s="3">
        <v>2</v>
      </c>
      <c r="B7" s="4" t="s">
        <v>268</v>
      </c>
      <c r="C7" s="5">
        <v>92.141000000000005</v>
      </c>
      <c r="D7" s="5">
        <v>25.632999999999999</v>
      </c>
      <c r="E7" s="5">
        <v>19.082999999999998</v>
      </c>
      <c r="F7" s="5">
        <v>19.63</v>
      </c>
      <c r="G7" s="5">
        <v>27.795000000000002</v>
      </c>
      <c r="H7" s="6">
        <v>301.60000000000002</v>
      </c>
      <c r="I7" s="5">
        <v>189.91200000000001</v>
      </c>
      <c r="J7" s="7">
        <v>1.066446759259259E-3</v>
      </c>
    </row>
    <row r="8" spans="1:10" x14ac:dyDescent="0.3">
      <c r="A8" s="3">
        <v>3</v>
      </c>
      <c r="B8" s="4" t="s">
        <v>269</v>
      </c>
      <c r="C8" s="5">
        <v>91.679000000000002</v>
      </c>
      <c r="D8" s="5">
        <v>25.495000000000001</v>
      </c>
      <c r="E8" s="5">
        <v>18.972999999999999</v>
      </c>
      <c r="F8" s="5">
        <v>19.54</v>
      </c>
      <c r="G8" s="5">
        <v>27.670999999999999</v>
      </c>
      <c r="H8" s="6">
        <v>300.8</v>
      </c>
      <c r="I8" s="5">
        <v>281.59100000000001</v>
      </c>
      <c r="J8" s="7">
        <v>1.061099537037037E-3</v>
      </c>
    </row>
    <row r="9" spans="1:10" x14ac:dyDescent="0.3">
      <c r="A9" s="3">
        <v>4</v>
      </c>
      <c r="B9" s="4" t="s">
        <v>270</v>
      </c>
      <c r="C9" s="5">
        <v>91.131</v>
      </c>
      <c r="D9" s="5">
        <v>25.274999999999999</v>
      </c>
      <c r="E9" s="5">
        <v>18.891999999999999</v>
      </c>
      <c r="F9" s="5">
        <v>19.414000000000001</v>
      </c>
      <c r="G9" s="5">
        <v>27.55</v>
      </c>
      <c r="H9" s="6">
        <v>313</v>
      </c>
      <c r="I9" s="5">
        <v>372.72199999999998</v>
      </c>
      <c r="J9" s="7">
        <v>1.054756944444445E-3</v>
      </c>
    </row>
    <row r="10" spans="1:10" x14ac:dyDescent="0.3">
      <c r="A10" s="3">
        <v>5</v>
      </c>
      <c r="B10" s="4" t="s">
        <v>271</v>
      </c>
      <c r="C10" s="5">
        <v>91.088999999999999</v>
      </c>
      <c r="D10" s="5">
        <v>25.378</v>
      </c>
      <c r="E10" s="5">
        <v>18.872</v>
      </c>
      <c r="F10" s="5">
        <v>19.414000000000001</v>
      </c>
      <c r="G10" s="5">
        <v>27.425000000000001</v>
      </c>
      <c r="H10" s="6">
        <v>312.10000000000002</v>
      </c>
      <c r="I10" s="5">
        <v>463.81099999999998</v>
      </c>
      <c r="J10" s="7">
        <v>1.0542708333333331E-3</v>
      </c>
    </row>
    <row r="11" spans="1:10" x14ac:dyDescent="0.3">
      <c r="A11" s="3">
        <v>6</v>
      </c>
      <c r="B11" s="4" t="s">
        <v>272</v>
      </c>
      <c r="C11" s="5">
        <v>91.265000000000001</v>
      </c>
      <c r="D11" s="5">
        <v>25.393999999999998</v>
      </c>
      <c r="E11" s="5">
        <v>18.863</v>
      </c>
      <c r="F11" s="5">
        <v>19.489000000000001</v>
      </c>
      <c r="G11" s="5">
        <v>27.518999999999998</v>
      </c>
      <c r="H11" s="6">
        <v>312.10000000000002</v>
      </c>
      <c r="I11" s="5">
        <v>555.07600000000002</v>
      </c>
      <c r="J11" s="7">
        <v>1.05630787037037E-3</v>
      </c>
    </row>
    <row r="12" spans="1:10" x14ac:dyDescent="0.3">
      <c r="A12" s="3">
        <v>7</v>
      </c>
      <c r="B12" s="4" t="s">
        <v>273</v>
      </c>
      <c r="C12" s="5">
        <v>91.126999999999995</v>
      </c>
      <c r="D12" s="5">
        <v>25.28</v>
      </c>
      <c r="E12" s="5">
        <v>18.739999999999998</v>
      </c>
      <c r="F12" s="5">
        <v>19.395</v>
      </c>
      <c r="G12" s="5">
        <v>27.712</v>
      </c>
      <c r="H12" s="6">
        <v>306.8</v>
      </c>
      <c r="I12" s="5">
        <v>646.20299999999997</v>
      </c>
      <c r="J12" s="7">
        <v>1.0547106481481479E-3</v>
      </c>
    </row>
    <row r="13" spans="1:10" x14ac:dyDescent="0.3">
      <c r="A13" s="3">
        <v>8</v>
      </c>
      <c r="B13" s="4" t="s">
        <v>274</v>
      </c>
      <c r="C13" s="5">
        <v>90.957999999999998</v>
      </c>
      <c r="D13" s="5">
        <v>25.234000000000002</v>
      </c>
      <c r="E13" s="5">
        <v>18.847000000000001</v>
      </c>
      <c r="F13" s="5">
        <v>19.417000000000002</v>
      </c>
      <c r="G13" s="5">
        <v>27.46</v>
      </c>
      <c r="H13" s="6">
        <v>313</v>
      </c>
      <c r="I13" s="5">
        <v>737.16099999999994</v>
      </c>
      <c r="J13" s="7">
        <v>1.05275462962963E-3</v>
      </c>
    </row>
    <row r="14" spans="1:10" x14ac:dyDescent="0.3">
      <c r="A14" s="3">
        <v>9</v>
      </c>
      <c r="B14" s="4" t="s">
        <v>275</v>
      </c>
      <c r="C14" s="5">
        <v>91.197999999999993</v>
      </c>
      <c r="D14" s="5">
        <v>25.251999999999999</v>
      </c>
      <c r="E14" s="5">
        <v>18.893999999999998</v>
      </c>
      <c r="F14" s="5">
        <v>19.504000000000001</v>
      </c>
      <c r="G14" s="5">
        <v>27.547999999999998</v>
      </c>
      <c r="H14" s="6">
        <v>308.5</v>
      </c>
      <c r="I14" s="5">
        <v>828.35900000000004</v>
      </c>
      <c r="J14" s="7">
        <v>1.0555324074074069E-3</v>
      </c>
    </row>
    <row r="15" spans="1:10" x14ac:dyDescent="0.3">
      <c r="A15" s="3">
        <v>10</v>
      </c>
      <c r="B15" s="4" t="s">
        <v>276</v>
      </c>
      <c r="C15" s="5">
        <v>91.153000000000006</v>
      </c>
      <c r="D15" s="5">
        <v>25.242000000000001</v>
      </c>
      <c r="E15" s="5">
        <v>18.940999999999999</v>
      </c>
      <c r="F15" s="5">
        <v>19.431999999999999</v>
      </c>
      <c r="G15" s="5">
        <v>27.538</v>
      </c>
      <c r="H15" s="6">
        <v>313</v>
      </c>
      <c r="I15" s="5">
        <v>919.51199999999994</v>
      </c>
      <c r="J15" s="7">
        <v>1.0550115740740741E-3</v>
      </c>
    </row>
    <row r="16" spans="1:10" x14ac:dyDescent="0.3">
      <c r="A16" s="3">
        <v>11</v>
      </c>
      <c r="B16" s="4" t="s">
        <v>277</v>
      </c>
      <c r="C16" s="5">
        <v>92.082999999999998</v>
      </c>
      <c r="D16" s="5">
        <v>25.129000000000001</v>
      </c>
      <c r="E16" s="5">
        <v>20.009</v>
      </c>
      <c r="F16" s="5">
        <v>19.431000000000001</v>
      </c>
      <c r="G16" s="5">
        <v>27.513999999999999</v>
      </c>
      <c r="H16" s="6">
        <v>314.8</v>
      </c>
      <c r="I16" s="5">
        <v>1011.595</v>
      </c>
      <c r="J16" s="7">
        <v>1.065775462962963E-3</v>
      </c>
    </row>
    <row r="17" spans="1:10" x14ac:dyDescent="0.3">
      <c r="A17" s="3">
        <v>12</v>
      </c>
      <c r="B17" s="4" t="s">
        <v>278</v>
      </c>
      <c r="C17" s="5">
        <v>91.21</v>
      </c>
      <c r="D17" s="5">
        <v>25.43</v>
      </c>
      <c r="E17" s="5">
        <v>18.972999999999999</v>
      </c>
      <c r="F17" s="5">
        <v>19.379000000000001</v>
      </c>
      <c r="G17" s="5">
        <v>27.428000000000001</v>
      </c>
      <c r="H17" s="6">
        <v>309.39999999999998</v>
      </c>
      <c r="I17" s="5">
        <v>1102.8050000000001</v>
      </c>
      <c r="J17" s="7">
        <v>1.0556712962962961E-3</v>
      </c>
    </row>
    <row r="18" spans="1:10" x14ac:dyDescent="0.3">
      <c r="A18" s="3">
        <v>13</v>
      </c>
      <c r="B18" s="4" t="s">
        <v>279</v>
      </c>
      <c r="C18" s="5">
        <v>90.908000000000001</v>
      </c>
      <c r="D18" s="5">
        <v>25.215</v>
      </c>
      <c r="E18" s="5">
        <v>18.794</v>
      </c>
      <c r="F18" s="5">
        <v>19.483000000000001</v>
      </c>
      <c r="G18" s="5">
        <v>27.416</v>
      </c>
      <c r="H18" s="6">
        <v>316.7</v>
      </c>
      <c r="I18" s="5">
        <v>1193.713</v>
      </c>
      <c r="J18" s="7">
        <v>1.052175925925926E-3</v>
      </c>
    </row>
    <row r="19" spans="1:10" x14ac:dyDescent="0.3">
      <c r="A19" s="3">
        <v>14</v>
      </c>
      <c r="B19" s="4" t="s">
        <v>280</v>
      </c>
      <c r="C19" s="5">
        <v>91.394999999999996</v>
      </c>
      <c r="D19" s="5">
        <v>25.628</v>
      </c>
      <c r="E19" s="5">
        <v>18.850000000000001</v>
      </c>
      <c r="F19" s="5">
        <v>19.434000000000001</v>
      </c>
      <c r="G19" s="5">
        <v>27.483000000000001</v>
      </c>
      <c r="H19" s="6">
        <v>300.8</v>
      </c>
      <c r="I19" s="5">
        <v>1285.1079999999999</v>
      </c>
      <c r="J19" s="7">
        <v>1.0578124999999999E-3</v>
      </c>
    </row>
    <row r="20" spans="1:10" x14ac:dyDescent="0.3">
      <c r="A20" s="3">
        <v>15</v>
      </c>
      <c r="B20" s="4" t="s">
        <v>281</v>
      </c>
      <c r="C20" s="5">
        <v>91.135000000000005</v>
      </c>
      <c r="D20" s="5">
        <v>25.216000000000001</v>
      </c>
      <c r="E20" s="5">
        <v>18.940000000000001</v>
      </c>
      <c r="F20" s="5">
        <v>19.530999999999999</v>
      </c>
      <c r="G20" s="5">
        <v>27.448</v>
      </c>
      <c r="H20" s="6">
        <v>313.89999999999998</v>
      </c>
      <c r="I20" s="5">
        <v>1376.2429999999999</v>
      </c>
      <c r="J20" s="7">
        <v>1.0548032407407409E-3</v>
      </c>
    </row>
    <row r="21" spans="1:10" x14ac:dyDescent="0.3">
      <c r="A21" s="3">
        <v>16</v>
      </c>
      <c r="B21" s="4" t="s">
        <v>282</v>
      </c>
      <c r="C21" s="5">
        <v>90.980999999999995</v>
      </c>
      <c r="D21" s="5">
        <v>25.257999999999999</v>
      </c>
      <c r="E21" s="5">
        <v>19.001000000000001</v>
      </c>
      <c r="F21" s="5">
        <v>19.355</v>
      </c>
      <c r="G21" s="5">
        <v>27.367000000000001</v>
      </c>
      <c r="H21" s="6">
        <v>313</v>
      </c>
      <c r="I21" s="5">
        <v>1467.2239999999999</v>
      </c>
      <c r="J21" s="7">
        <v>1.0530208333333329E-3</v>
      </c>
    </row>
    <row r="22" spans="1:10" x14ac:dyDescent="0.3">
      <c r="A22" s="3">
        <v>17</v>
      </c>
      <c r="B22" s="4" t="s">
        <v>283</v>
      </c>
      <c r="C22" s="5">
        <v>90.799000000000007</v>
      </c>
      <c r="D22" s="5">
        <v>25.164999999999999</v>
      </c>
      <c r="E22" s="5">
        <v>18.827000000000002</v>
      </c>
      <c r="F22" s="5">
        <v>19.352</v>
      </c>
      <c r="G22" s="5">
        <v>27.454999999999998</v>
      </c>
      <c r="H22" s="6">
        <v>313.89999999999998</v>
      </c>
      <c r="I22" s="5">
        <v>1558.0229999999999</v>
      </c>
      <c r="J22" s="7">
        <v>1.0509143518518519E-3</v>
      </c>
    </row>
    <row r="23" spans="1:10" x14ac:dyDescent="0.3">
      <c r="A23" s="3">
        <v>18</v>
      </c>
      <c r="B23" s="4" t="s">
        <v>284</v>
      </c>
      <c r="C23" s="5">
        <v>90.593000000000004</v>
      </c>
      <c r="D23" s="5">
        <v>25.143999999999998</v>
      </c>
      <c r="E23" s="5">
        <v>18.789000000000001</v>
      </c>
      <c r="F23" s="5">
        <v>19.341000000000001</v>
      </c>
      <c r="G23" s="5">
        <v>27.318999999999999</v>
      </c>
      <c r="H23" s="6">
        <v>314.8</v>
      </c>
      <c r="I23" s="5">
        <v>1648.616</v>
      </c>
      <c r="J23" s="7">
        <v>1.0485300925925931E-3</v>
      </c>
    </row>
    <row r="24" spans="1:10" x14ac:dyDescent="0.3">
      <c r="A24" s="3">
        <v>19</v>
      </c>
      <c r="B24" s="4" t="s">
        <v>285</v>
      </c>
      <c r="C24" s="5">
        <v>90.76</v>
      </c>
      <c r="D24" s="5">
        <v>25.14</v>
      </c>
      <c r="E24" s="5">
        <v>18.768999999999998</v>
      </c>
      <c r="F24" s="5">
        <v>19.361000000000001</v>
      </c>
      <c r="G24" s="5">
        <v>27.49</v>
      </c>
      <c r="H24" s="6">
        <v>316.7</v>
      </c>
      <c r="I24" s="5">
        <v>1739.376</v>
      </c>
      <c r="J24" s="7">
        <v>1.0504629629629629E-3</v>
      </c>
    </row>
    <row r="25" spans="1:10" x14ac:dyDescent="0.3">
      <c r="A25" s="3">
        <v>20</v>
      </c>
      <c r="B25" s="4" t="s">
        <v>286</v>
      </c>
      <c r="C25" s="5">
        <v>90.834999999999994</v>
      </c>
      <c r="D25" s="5">
        <v>25.193000000000001</v>
      </c>
      <c r="E25" s="5">
        <v>18.898</v>
      </c>
      <c r="F25" s="5">
        <v>19.399000000000001</v>
      </c>
      <c r="G25" s="5">
        <v>27.344999999999999</v>
      </c>
      <c r="H25" s="6">
        <v>318.5</v>
      </c>
      <c r="I25" s="5">
        <v>1830.211</v>
      </c>
      <c r="J25" s="7">
        <v>1.0513310185185181E-3</v>
      </c>
    </row>
    <row r="26" spans="1:10" x14ac:dyDescent="0.3">
      <c r="A26" s="3">
        <v>21</v>
      </c>
      <c r="B26" s="4" t="s">
        <v>226</v>
      </c>
      <c r="C26" s="5">
        <v>90.736000000000004</v>
      </c>
      <c r="D26" s="5">
        <v>25.135999999999999</v>
      </c>
      <c r="E26" s="5">
        <v>18.738</v>
      </c>
      <c r="F26" s="5">
        <v>19.350000000000001</v>
      </c>
      <c r="G26" s="5">
        <v>27.512</v>
      </c>
      <c r="H26" s="6">
        <v>313</v>
      </c>
      <c r="I26" s="5">
        <v>1920.9469999999999</v>
      </c>
      <c r="J26" s="7">
        <v>1.050185185185185E-3</v>
      </c>
    </row>
    <row r="27" spans="1:10" x14ac:dyDescent="0.3">
      <c r="A27" s="3">
        <v>22</v>
      </c>
      <c r="B27" s="4" t="s">
        <v>287</v>
      </c>
      <c r="C27" s="5">
        <v>90.951999999999998</v>
      </c>
      <c r="D27" s="5">
        <v>25.178999999999998</v>
      </c>
      <c r="E27" s="5">
        <v>18.937000000000001</v>
      </c>
      <c r="F27" s="5">
        <v>19.317</v>
      </c>
      <c r="G27" s="5">
        <v>27.518999999999998</v>
      </c>
      <c r="H27" s="6">
        <v>310.3</v>
      </c>
      <c r="I27" s="5">
        <v>2011.8989999999999</v>
      </c>
      <c r="J27" s="7">
        <v>1.0526851851851849E-3</v>
      </c>
    </row>
    <row r="28" spans="1:10" x14ac:dyDescent="0.3">
      <c r="A28" s="3">
        <v>23</v>
      </c>
      <c r="B28" s="4" t="s">
        <v>288</v>
      </c>
      <c r="C28" s="5">
        <v>90.936999999999998</v>
      </c>
      <c r="D28" s="5">
        <v>25.29</v>
      </c>
      <c r="E28" s="5">
        <v>18.853999999999999</v>
      </c>
      <c r="F28" s="5">
        <v>19.361000000000001</v>
      </c>
      <c r="G28" s="5">
        <v>27.431999999999999</v>
      </c>
      <c r="H28" s="6">
        <v>316.7</v>
      </c>
      <c r="I28" s="5">
        <v>2102.8359999999998</v>
      </c>
      <c r="J28" s="7">
        <v>1.052511574074074E-3</v>
      </c>
    </row>
    <row r="29" spans="1:10" x14ac:dyDescent="0.3">
      <c r="A29" s="3">
        <v>24</v>
      </c>
      <c r="B29" s="4" t="s">
        <v>289</v>
      </c>
      <c r="C29" s="5">
        <v>90.682000000000002</v>
      </c>
      <c r="D29" s="5">
        <v>25.158999999999999</v>
      </c>
      <c r="E29" s="5">
        <v>18.742999999999999</v>
      </c>
      <c r="F29" s="5">
        <v>19.323</v>
      </c>
      <c r="G29" s="5">
        <v>27.457000000000001</v>
      </c>
      <c r="H29" s="6">
        <v>313.89999999999998</v>
      </c>
      <c r="I29" s="5">
        <v>2193.518</v>
      </c>
      <c r="J29" s="7">
        <v>1.0495601851851851E-3</v>
      </c>
    </row>
    <row r="30" spans="1:10" x14ac:dyDescent="0.3">
      <c r="A30" s="3">
        <v>25</v>
      </c>
      <c r="B30" s="4" t="s">
        <v>290</v>
      </c>
      <c r="C30" s="5">
        <v>91.733000000000004</v>
      </c>
      <c r="D30" s="5">
        <v>25.396000000000001</v>
      </c>
      <c r="E30" s="5">
        <v>19.076000000000001</v>
      </c>
      <c r="F30" s="5">
        <v>19.443999999999999</v>
      </c>
      <c r="G30" s="5">
        <v>27.817</v>
      </c>
      <c r="H30" s="6">
        <v>311.2</v>
      </c>
      <c r="I30" s="5">
        <v>2285.2510000000002</v>
      </c>
      <c r="J30" s="7">
        <v>1.061724537037037E-3</v>
      </c>
    </row>
    <row r="31" spans="1:10" x14ac:dyDescent="0.3">
      <c r="A31" s="3">
        <v>26</v>
      </c>
      <c r="B31" s="4" t="s">
        <v>291</v>
      </c>
      <c r="C31" s="5">
        <v>91.290999999999997</v>
      </c>
      <c r="D31" s="5">
        <v>25.539000000000001</v>
      </c>
      <c r="E31" s="5">
        <v>18.890999999999998</v>
      </c>
      <c r="F31" s="5">
        <v>19.414000000000001</v>
      </c>
      <c r="G31" s="5">
        <v>27.446999999999999</v>
      </c>
      <c r="H31" s="6">
        <v>316.7</v>
      </c>
      <c r="I31" s="5">
        <v>2376.5419999999999</v>
      </c>
      <c r="J31" s="7">
        <v>1.0566087962962959E-3</v>
      </c>
    </row>
    <row r="32" spans="1:10" x14ac:dyDescent="0.3">
      <c r="A32" s="3">
        <v>27</v>
      </c>
      <c r="B32" s="4" t="s">
        <v>292</v>
      </c>
      <c r="C32" s="5">
        <v>91.150999999999996</v>
      </c>
      <c r="D32" s="5">
        <v>25.202999999999999</v>
      </c>
      <c r="E32" s="5">
        <v>18.913</v>
      </c>
      <c r="F32" s="5">
        <v>19.486999999999998</v>
      </c>
      <c r="G32" s="5">
        <v>27.547999999999998</v>
      </c>
      <c r="H32" s="6">
        <v>314.8</v>
      </c>
      <c r="I32" s="5">
        <v>2467.6930000000002</v>
      </c>
      <c r="J32" s="7">
        <v>1.054988425925926E-3</v>
      </c>
    </row>
  </sheetData>
  <autoFilter ref="A5:J32" xr:uid="{00000000-0009-0000-0000-000009000000}"/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293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129</v>
      </c>
      <c r="C3" s="1" t="s">
        <v>3</v>
      </c>
      <c r="D3" s="1" t="s">
        <v>130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294</v>
      </c>
      <c r="C6" s="5">
        <v>97.605000000000004</v>
      </c>
      <c r="D6" s="5">
        <v>30.588999999999999</v>
      </c>
      <c r="E6" s="5">
        <v>19.419</v>
      </c>
      <c r="F6" s="5">
        <v>19.747</v>
      </c>
      <c r="G6" s="5">
        <v>27.85</v>
      </c>
      <c r="H6" s="6">
        <v>270.60000000000002</v>
      </c>
      <c r="I6" s="5">
        <v>97.605000000000004</v>
      </c>
      <c r="J6" s="7">
        <v>1.1296875E-3</v>
      </c>
    </row>
    <row r="7" spans="1:10" x14ac:dyDescent="0.3">
      <c r="A7" s="3">
        <v>2</v>
      </c>
      <c r="B7" s="4" t="s">
        <v>295</v>
      </c>
      <c r="C7" s="5">
        <v>91.995999999999995</v>
      </c>
      <c r="D7" s="5">
        <v>25.640999999999998</v>
      </c>
      <c r="E7" s="5">
        <v>19.113</v>
      </c>
      <c r="F7" s="5">
        <v>19.651</v>
      </c>
      <c r="G7" s="5">
        <v>27.591000000000001</v>
      </c>
      <c r="H7" s="6">
        <v>300</v>
      </c>
      <c r="I7" s="5">
        <v>189.601</v>
      </c>
      <c r="J7" s="7">
        <v>1.0647685185185181E-3</v>
      </c>
    </row>
    <row r="8" spans="1:10" x14ac:dyDescent="0.3">
      <c r="A8" s="3">
        <v>3</v>
      </c>
      <c r="B8" s="4" t="s">
        <v>296</v>
      </c>
      <c r="C8" s="5">
        <v>91.349000000000004</v>
      </c>
      <c r="D8" s="5">
        <v>25.443999999999999</v>
      </c>
      <c r="E8" s="5">
        <v>18.879000000000001</v>
      </c>
      <c r="F8" s="5">
        <v>19.460999999999999</v>
      </c>
      <c r="G8" s="5">
        <v>27.565000000000001</v>
      </c>
      <c r="H8" s="6">
        <v>300</v>
      </c>
      <c r="I8" s="5">
        <v>280.95</v>
      </c>
      <c r="J8" s="7">
        <v>1.0572800925925929E-3</v>
      </c>
    </row>
    <row r="9" spans="1:10" x14ac:dyDescent="0.3">
      <c r="A9" s="3">
        <v>4</v>
      </c>
      <c r="B9" s="4" t="s">
        <v>297</v>
      </c>
      <c r="C9" s="5">
        <v>91.286000000000001</v>
      </c>
      <c r="D9" s="5">
        <v>25.401</v>
      </c>
      <c r="E9" s="5">
        <v>18.827000000000002</v>
      </c>
      <c r="F9" s="5">
        <v>19.449000000000002</v>
      </c>
      <c r="G9" s="5">
        <v>27.609000000000002</v>
      </c>
      <c r="H9" s="6">
        <v>304.2</v>
      </c>
      <c r="I9" s="5">
        <v>372.23599999999999</v>
      </c>
      <c r="J9" s="7">
        <v>1.0565509259259261E-3</v>
      </c>
    </row>
    <row r="10" spans="1:10" x14ac:dyDescent="0.3">
      <c r="A10" s="3">
        <v>5</v>
      </c>
      <c r="B10" s="4" t="s">
        <v>298</v>
      </c>
      <c r="C10" s="5">
        <v>91.206999999999994</v>
      </c>
      <c r="D10" s="5">
        <v>25.38</v>
      </c>
      <c r="E10" s="5">
        <v>18.870999999999999</v>
      </c>
      <c r="F10" s="5">
        <v>19.442</v>
      </c>
      <c r="G10" s="5">
        <v>27.513999999999999</v>
      </c>
      <c r="H10" s="6">
        <v>304.2</v>
      </c>
      <c r="I10" s="5">
        <v>463.44299999999998</v>
      </c>
      <c r="J10" s="7">
        <v>1.0556365740740741E-3</v>
      </c>
    </row>
    <row r="11" spans="1:10" x14ac:dyDescent="0.3">
      <c r="A11" s="3">
        <v>6</v>
      </c>
      <c r="B11" s="4" t="s">
        <v>299</v>
      </c>
      <c r="C11" s="5">
        <v>91.444000000000003</v>
      </c>
      <c r="D11" s="5">
        <v>25.469000000000001</v>
      </c>
      <c r="E11" s="5">
        <v>18.797000000000001</v>
      </c>
      <c r="F11" s="5">
        <v>19.702000000000002</v>
      </c>
      <c r="G11" s="5">
        <v>27.475999999999999</v>
      </c>
      <c r="H11" s="6">
        <v>313</v>
      </c>
      <c r="I11" s="5">
        <v>554.88699999999994</v>
      </c>
      <c r="J11" s="7">
        <v>1.05837962962963E-3</v>
      </c>
    </row>
    <row r="12" spans="1:10" x14ac:dyDescent="0.3">
      <c r="A12" s="3">
        <v>7</v>
      </c>
      <c r="B12" s="4" t="s">
        <v>300</v>
      </c>
      <c r="C12" s="5">
        <v>90.954999999999998</v>
      </c>
      <c r="D12" s="5">
        <v>25.276</v>
      </c>
      <c r="E12" s="5">
        <v>18.757000000000001</v>
      </c>
      <c r="F12" s="5">
        <v>19.372</v>
      </c>
      <c r="G12" s="5">
        <v>27.55</v>
      </c>
      <c r="H12" s="6">
        <v>311.2</v>
      </c>
      <c r="I12" s="5">
        <v>645.84199999999998</v>
      </c>
      <c r="J12" s="7">
        <v>1.0527199074074069E-3</v>
      </c>
    </row>
    <row r="13" spans="1:10" x14ac:dyDescent="0.3">
      <c r="A13" s="3">
        <v>8</v>
      </c>
      <c r="B13" s="4" t="s">
        <v>301</v>
      </c>
      <c r="C13" s="5">
        <v>91.05</v>
      </c>
      <c r="D13" s="5">
        <v>25.327000000000002</v>
      </c>
      <c r="E13" s="5">
        <v>18.747</v>
      </c>
      <c r="F13" s="5">
        <v>19.472999999999999</v>
      </c>
      <c r="G13" s="5">
        <v>27.503</v>
      </c>
      <c r="H13" s="6">
        <v>312.10000000000002</v>
      </c>
      <c r="I13" s="5">
        <v>736.89200000000005</v>
      </c>
      <c r="J13" s="7">
        <v>1.053819444444444E-3</v>
      </c>
    </row>
    <row r="14" spans="1:10" x14ac:dyDescent="0.3">
      <c r="A14" s="3">
        <v>9</v>
      </c>
      <c r="B14" s="4" t="s">
        <v>302</v>
      </c>
      <c r="C14" s="5">
        <v>90.915999999999997</v>
      </c>
      <c r="D14" s="5">
        <v>25.286000000000001</v>
      </c>
      <c r="E14" s="5">
        <v>18.846</v>
      </c>
      <c r="F14" s="5">
        <v>19.280999999999999</v>
      </c>
      <c r="G14" s="5">
        <v>27.503</v>
      </c>
      <c r="H14" s="6">
        <v>312.10000000000002</v>
      </c>
      <c r="I14" s="5">
        <v>827.80799999999999</v>
      </c>
      <c r="J14" s="7">
        <v>1.052268518518519E-3</v>
      </c>
    </row>
    <row r="15" spans="1:10" x14ac:dyDescent="0.3">
      <c r="A15" s="3">
        <v>10</v>
      </c>
      <c r="B15" s="4" t="s">
        <v>303</v>
      </c>
      <c r="C15" s="5">
        <v>90.835999999999999</v>
      </c>
      <c r="D15" s="5">
        <v>25.274999999999999</v>
      </c>
      <c r="E15" s="5">
        <v>18.773</v>
      </c>
      <c r="F15" s="5">
        <v>19.353000000000002</v>
      </c>
      <c r="G15" s="5">
        <v>27.434999999999999</v>
      </c>
      <c r="H15" s="6">
        <v>313</v>
      </c>
      <c r="I15" s="5">
        <v>918.64400000000001</v>
      </c>
      <c r="J15" s="7">
        <v>1.0513425925925931E-3</v>
      </c>
    </row>
    <row r="16" spans="1:10" x14ac:dyDescent="0.3">
      <c r="A16" s="3">
        <v>11</v>
      </c>
      <c r="B16" s="4" t="s">
        <v>132</v>
      </c>
      <c r="C16" s="5">
        <v>90.768000000000001</v>
      </c>
      <c r="D16" s="5">
        <v>25.225000000000001</v>
      </c>
      <c r="E16" s="5">
        <v>18.870999999999999</v>
      </c>
      <c r="F16" s="5">
        <v>19.324999999999999</v>
      </c>
      <c r="G16" s="5">
        <v>27.347000000000001</v>
      </c>
      <c r="H16" s="6">
        <v>314.8</v>
      </c>
      <c r="I16" s="5">
        <v>1009.412</v>
      </c>
      <c r="J16" s="7">
        <v>1.0505555555555561E-3</v>
      </c>
    </row>
    <row r="17" spans="1:10" x14ac:dyDescent="0.3">
      <c r="A17" s="3">
        <v>12</v>
      </c>
      <c r="B17" s="4" t="s">
        <v>304</v>
      </c>
      <c r="C17" s="5">
        <v>91.058000000000007</v>
      </c>
      <c r="D17" s="5">
        <v>25.263999999999999</v>
      </c>
      <c r="E17" s="5">
        <v>18.986999999999998</v>
      </c>
      <c r="F17" s="5">
        <v>19.385999999999999</v>
      </c>
      <c r="G17" s="5">
        <v>27.420999999999999</v>
      </c>
      <c r="H17" s="6">
        <v>314.8</v>
      </c>
      <c r="I17" s="5">
        <v>1100.47</v>
      </c>
      <c r="J17" s="7">
        <v>1.053912037037037E-3</v>
      </c>
    </row>
    <row r="18" spans="1:10" x14ac:dyDescent="0.3">
      <c r="A18" s="3">
        <v>13</v>
      </c>
      <c r="B18" s="4" t="s">
        <v>305</v>
      </c>
      <c r="C18" s="5">
        <v>91.126000000000005</v>
      </c>
      <c r="D18" s="5">
        <v>25.306000000000001</v>
      </c>
      <c r="E18" s="5">
        <v>18.920999999999999</v>
      </c>
      <c r="F18" s="5">
        <v>19.366</v>
      </c>
      <c r="G18" s="5">
        <v>27.533000000000001</v>
      </c>
      <c r="H18" s="6">
        <v>312.10000000000002</v>
      </c>
      <c r="I18" s="5">
        <v>1191.596</v>
      </c>
      <c r="J18" s="7">
        <v>1.054699074074074E-3</v>
      </c>
    </row>
    <row r="19" spans="1:10" x14ac:dyDescent="0.3">
      <c r="A19" s="3">
        <v>14</v>
      </c>
      <c r="B19" s="4" t="s">
        <v>306</v>
      </c>
      <c r="C19" s="5">
        <v>91.141000000000005</v>
      </c>
      <c r="D19" s="5">
        <v>25.366</v>
      </c>
      <c r="E19" s="5">
        <v>18.972999999999999</v>
      </c>
      <c r="F19" s="5">
        <v>19.373000000000001</v>
      </c>
      <c r="G19" s="5">
        <v>27.428999999999998</v>
      </c>
      <c r="H19" s="6">
        <v>310.3</v>
      </c>
      <c r="I19" s="5">
        <v>1282.7370000000001</v>
      </c>
      <c r="J19" s="7">
        <v>1.0548726851851849E-3</v>
      </c>
    </row>
    <row r="20" spans="1:10" x14ac:dyDescent="0.3">
      <c r="A20" s="3">
        <v>15</v>
      </c>
      <c r="B20" s="4" t="s">
        <v>307</v>
      </c>
      <c r="C20" s="5">
        <v>90.813999999999993</v>
      </c>
      <c r="D20" s="5">
        <v>25.268999999999998</v>
      </c>
      <c r="E20" s="5">
        <v>18.773</v>
      </c>
      <c r="F20" s="5">
        <v>19.387</v>
      </c>
      <c r="G20" s="5">
        <v>27.385000000000002</v>
      </c>
      <c r="H20" s="6">
        <v>314.8</v>
      </c>
      <c r="I20" s="5">
        <v>1373.5509999999999</v>
      </c>
      <c r="J20" s="7">
        <v>1.0510879629629631E-3</v>
      </c>
    </row>
    <row r="21" spans="1:10" x14ac:dyDescent="0.3">
      <c r="A21" s="3">
        <v>16</v>
      </c>
      <c r="B21" s="4" t="s">
        <v>308</v>
      </c>
      <c r="C21" s="5">
        <v>90.986999999999995</v>
      </c>
      <c r="D21" s="5">
        <v>25.253</v>
      </c>
      <c r="E21" s="5">
        <v>18.869</v>
      </c>
      <c r="F21" s="5">
        <v>19.408000000000001</v>
      </c>
      <c r="G21" s="5">
        <v>27.457000000000001</v>
      </c>
      <c r="H21" s="6">
        <v>314.8</v>
      </c>
      <c r="I21" s="5">
        <v>1464.538</v>
      </c>
      <c r="J21" s="7">
        <v>1.053090277777778E-3</v>
      </c>
    </row>
    <row r="22" spans="1:10" x14ac:dyDescent="0.3">
      <c r="A22" s="3">
        <v>17</v>
      </c>
      <c r="B22" s="4" t="s">
        <v>309</v>
      </c>
      <c r="C22" s="5">
        <v>91.200999999999993</v>
      </c>
      <c r="D22" s="5">
        <v>25.268999999999998</v>
      </c>
      <c r="E22" s="5">
        <v>18.936</v>
      </c>
      <c r="F22" s="5">
        <v>19.344999999999999</v>
      </c>
      <c r="G22" s="5">
        <v>27.651</v>
      </c>
      <c r="H22" s="6">
        <v>315.7</v>
      </c>
      <c r="I22" s="5">
        <v>1555.739</v>
      </c>
      <c r="J22" s="7">
        <v>1.05556712962963E-3</v>
      </c>
    </row>
    <row r="23" spans="1:10" x14ac:dyDescent="0.3">
      <c r="A23" s="3">
        <v>18</v>
      </c>
      <c r="B23" s="4" t="s">
        <v>310</v>
      </c>
      <c r="C23" s="5">
        <v>91.236999999999995</v>
      </c>
      <c r="D23" s="5">
        <v>25.324000000000002</v>
      </c>
      <c r="E23" s="5">
        <v>18.786999999999999</v>
      </c>
      <c r="F23" s="5">
        <v>19.571000000000002</v>
      </c>
      <c r="G23" s="5">
        <v>27.555</v>
      </c>
      <c r="H23" s="6">
        <v>315.7</v>
      </c>
      <c r="I23" s="5">
        <v>1646.9760000000001</v>
      </c>
      <c r="J23" s="7">
        <v>1.055983796296296E-3</v>
      </c>
    </row>
    <row r="24" spans="1:10" x14ac:dyDescent="0.3">
      <c r="A24" s="3">
        <v>19</v>
      </c>
      <c r="B24" s="4" t="s">
        <v>311</v>
      </c>
      <c r="C24" s="5">
        <v>91.722999999999999</v>
      </c>
      <c r="D24" s="5">
        <v>25.363</v>
      </c>
      <c r="E24" s="5">
        <v>18.914000000000001</v>
      </c>
      <c r="F24" s="5">
        <v>19.411000000000001</v>
      </c>
      <c r="G24" s="5">
        <v>28.035</v>
      </c>
      <c r="H24" s="6">
        <v>315.7</v>
      </c>
      <c r="I24" s="5">
        <v>1738.6990000000001</v>
      </c>
      <c r="J24" s="7">
        <v>1.061608796296296E-3</v>
      </c>
    </row>
    <row r="25" spans="1:10" x14ac:dyDescent="0.3">
      <c r="A25" s="3">
        <v>20</v>
      </c>
      <c r="B25" s="4" t="s">
        <v>312</v>
      </c>
      <c r="C25" s="5">
        <v>91.116</v>
      </c>
      <c r="D25" s="5">
        <v>25.315999999999999</v>
      </c>
      <c r="E25" s="5">
        <v>18.843</v>
      </c>
      <c r="F25" s="5">
        <v>19.405000000000001</v>
      </c>
      <c r="G25" s="5">
        <v>27.552</v>
      </c>
      <c r="H25" s="6">
        <v>314.8</v>
      </c>
      <c r="I25" s="5">
        <v>1829.8150000000001</v>
      </c>
      <c r="J25" s="7">
        <v>1.0545833333333329E-3</v>
      </c>
    </row>
    <row r="26" spans="1:10" x14ac:dyDescent="0.3">
      <c r="A26" s="3">
        <v>21</v>
      </c>
      <c r="B26" s="4" t="s">
        <v>313</v>
      </c>
      <c r="C26" s="5">
        <v>90.991</v>
      </c>
      <c r="D26" s="5">
        <v>25.259</v>
      </c>
      <c r="E26" s="5">
        <v>18.817</v>
      </c>
      <c r="F26" s="5">
        <v>19.422999999999998</v>
      </c>
      <c r="G26" s="5">
        <v>27.492000000000001</v>
      </c>
      <c r="H26" s="6">
        <v>314.8</v>
      </c>
      <c r="I26" s="5">
        <v>1920.806</v>
      </c>
      <c r="J26" s="7">
        <v>1.053136574074074E-3</v>
      </c>
    </row>
    <row r="27" spans="1:10" x14ac:dyDescent="0.3">
      <c r="A27" s="3">
        <v>22</v>
      </c>
      <c r="B27" s="4" t="s">
        <v>314</v>
      </c>
      <c r="C27" s="5">
        <v>91.004000000000005</v>
      </c>
      <c r="D27" s="5">
        <v>25.213000000000001</v>
      </c>
      <c r="E27" s="5">
        <v>18.849</v>
      </c>
      <c r="F27" s="5">
        <v>19.417000000000002</v>
      </c>
      <c r="G27" s="5">
        <v>27.524999999999999</v>
      </c>
      <c r="H27" s="6">
        <v>315.7</v>
      </c>
      <c r="I27" s="5">
        <v>2011.81</v>
      </c>
      <c r="J27" s="7">
        <v>1.053287037037037E-3</v>
      </c>
    </row>
    <row r="28" spans="1:10" x14ac:dyDescent="0.3">
      <c r="A28" s="3">
        <v>23</v>
      </c>
      <c r="B28" s="4" t="s">
        <v>315</v>
      </c>
      <c r="C28" s="5">
        <v>91.4</v>
      </c>
      <c r="D28" s="5">
        <v>25.613</v>
      </c>
      <c r="E28" s="5">
        <v>18.870999999999999</v>
      </c>
      <c r="F28" s="5">
        <v>19.385000000000002</v>
      </c>
      <c r="G28" s="5">
        <v>27.530999999999999</v>
      </c>
      <c r="H28" s="6">
        <v>314.8</v>
      </c>
      <c r="I28" s="5">
        <v>2103.21</v>
      </c>
      <c r="J28" s="7">
        <v>1.05787037037037E-3</v>
      </c>
    </row>
    <row r="29" spans="1:10" x14ac:dyDescent="0.3">
      <c r="A29" s="3">
        <v>24</v>
      </c>
      <c r="B29" s="4" t="s">
        <v>316</v>
      </c>
      <c r="C29" s="5">
        <v>91.003</v>
      </c>
      <c r="D29" s="5">
        <v>25.26</v>
      </c>
      <c r="E29" s="5">
        <v>18.832000000000001</v>
      </c>
      <c r="F29" s="5">
        <v>19.408999999999999</v>
      </c>
      <c r="G29" s="5">
        <v>27.501999999999999</v>
      </c>
      <c r="H29" s="6">
        <v>315.7</v>
      </c>
      <c r="I29" s="5">
        <v>2194.2130000000002</v>
      </c>
      <c r="J29" s="7">
        <v>1.0532754629629631E-3</v>
      </c>
    </row>
    <row r="30" spans="1:10" x14ac:dyDescent="0.3">
      <c r="A30" s="3">
        <v>25</v>
      </c>
      <c r="B30" s="4" t="s">
        <v>317</v>
      </c>
      <c r="C30" s="5">
        <v>91.393000000000001</v>
      </c>
      <c r="D30" s="5">
        <v>25.321999999999999</v>
      </c>
      <c r="E30" s="5">
        <v>18.876999999999999</v>
      </c>
      <c r="F30" s="5">
        <v>19.498000000000001</v>
      </c>
      <c r="G30" s="5">
        <v>27.696000000000002</v>
      </c>
      <c r="H30" s="6">
        <v>317.60000000000002</v>
      </c>
      <c r="I30" s="5">
        <v>2285.6060000000002</v>
      </c>
      <c r="J30" s="7">
        <v>1.0577893518518521E-3</v>
      </c>
    </row>
    <row r="31" spans="1:10" x14ac:dyDescent="0.3">
      <c r="A31" s="3">
        <v>26</v>
      </c>
      <c r="B31" s="4" t="s">
        <v>318</v>
      </c>
      <c r="C31" s="5">
        <v>91.466999999999999</v>
      </c>
      <c r="D31" s="5">
        <v>25.559000000000001</v>
      </c>
      <c r="E31" s="5">
        <v>18.869</v>
      </c>
      <c r="F31" s="5">
        <v>19.414000000000001</v>
      </c>
      <c r="G31" s="5">
        <v>27.625</v>
      </c>
      <c r="H31" s="6">
        <v>313</v>
      </c>
      <c r="I31" s="5">
        <v>2377.0729999999999</v>
      </c>
      <c r="J31" s="7">
        <v>1.0586458333333331E-3</v>
      </c>
    </row>
    <row r="32" spans="1:10" x14ac:dyDescent="0.3">
      <c r="A32" s="3">
        <v>27</v>
      </c>
      <c r="B32" s="4" t="s">
        <v>319</v>
      </c>
      <c r="C32" s="5">
        <v>91.421000000000006</v>
      </c>
      <c r="D32" s="5">
        <v>25.245000000000001</v>
      </c>
      <c r="E32" s="5">
        <v>18.850999999999999</v>
      </c>
      <c r="F32" s="5">
        <v>19.515000000000001</v>
      </c>
      <c r="G32" s="5">
        <v>27.81</v>
      </c>
      <c r="H32" s="6">
        <v>315.7</v>
      </c>
      <c r="I32" s="5">
        <v>2468.4940000000001</v>
      </c>
      <c r="J32" s="7">
        <v>1.0581134259259261E-3</v>
      </c>
    </row>
  </sheetData>
  <autoFilter ref="A5:J32" xr:uid="{00000000-0009-0000-0000-00000A000000}"/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320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321</v>
      </c>
      <c r="C3" s="1" t="s">
        <v>3</v>
      </c>
      <c r="D3" s="1" t="s">
        <v>322</v>
      </c>
      <c r="E3" s="1" t="s">
        <v>5</v>
      </c>
      <c r="F3" s="1">
        <v>27</v>
      </c>
      <c r="G3" s="1" t="s">
        <v>6</v>
      </c>
      <c r="H3" s="1">
        <v>25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323</v>
      </c>
      <c r="C6" s="5">
        <v>97.028000000000006</v>
      </c>
      <c r="D6" s="5">
        <v>30.177</v>
      </c>
      <c r="E6" s="5">
        <v>19.193000000000001</v>
      </c>
      <c r="F6" s="5">
        <v>19.834</v>
      </c>
      <c r="G6" s="5">
        <v>27.824000000000002</v>
      </c>
      <c r="H6" s="6">
        <v>275.5</v>
      </c>
      <c r="I6" s="5">
        <v>97.028000000000006</v>
      </c>
      <c r="J6" s="7">
        <v>1.1230092592592589E-3</v>
      </c>
    </row>
    <row r="7" spans="1:10" x14ac:dyDescent="0.3">
      <c r="A7" s="3">
        <v>2</v>
      </c>
      <c r="B7" s="4" t="s">
        <v>324</v>
      </c>
      <c r="C7" s="5">
        <v>91.594999999999999</v>
      </c>
      <c r="D7" s="5">
        <v>25.552</v>
      </c>
      <c r="E7" s="5">
        <v>18.88</v>
      </c>
      <c r="F7" s="5">
        <v>19.532</v>
      </c>
      <c r="G7" s="5">
        <v>27.631</v>
      </c>
      <c r="H7" s="6">
        <v>300.8</v>
      </c>
      <c r="I7" s="5">
        <v>188.62299999999999</v>
      </c>
      <c r="J7" s="7">
        <v>1.060127314814815E-3</v>
      </c>
    </row>
    <row r="8" spans="1:10" x14ac:dyDescent="0.3">
      <c r="A8" s="3">
        <v>3</v>
      </c>
      <c r="B8" s="4" t="s">
        <v>254</v>
      </c>
      <c r="C8" s="5">
        <v>91.17</v>
      </c>
      <c r="D8" s="5">
        <v>25.329000000000001</v>
      </c>
      <c r="E8" s="5">
        <v>18.763999999999999</v>
      </c>
      <c r="F8" s="5">
        <v>19.417999999999999</v>
      </c>
      <c r="G8" s="5">
        <v>27.658999999999999</v>
      </c>
      <c r="H8" s="6">
        <v>311.2</v>
      </c>
      <c r="I8" s="5">
        <v>279.79300000000001</v>
      </c>
      <c r="J8" s="7">
        <v>1.0552083333333329E-3</v>
      </c>
    </row>
    <row r="9" spans="1:10" x14ac:dyDescent="0.3">
      <c r="A9" s="3">
        <v>4</v>
      </c>
      <c r="B9" s="4" t="s">
        <v>325</v>
      </c>
      <c r="C9" s="5">
        <v>91.266000000000005</v>
      </c>
      <c r="D9" s="5">
        <v>25.417999999999999</v>
      </c>
      <c r="E9" s="5">
        <v>18.844999999999999</v>
      </c>
      <c r="F9" s="5">
        <v>19.419</v>
      </c>
      <c r="G9" s="5">
        <v>27.584</v>
      </c>
      <c r="H9" s="6">
        <v>308.5</v>
      </c>
      <c r="I9" s="5">
        <v>371.05900000000003</v>
      </c>
      <c r="J9" s="7">
        <v>1.056319444444445E-3</v>
      </c>
    </row>
    <row r="10" spans="1:10" x14ac:dyDescent="0.3">
      <c r="A10" s="3">
        <v>5</v>
      </c>
      <c r="B10" s="4" t="s">
        <v>326</v>
      </c>
      <c r="C10" s="5">
        <v>90.914000000000001</v>
      </c>
      <c r="D10" s="5">
        <v>25.231999999999999</v>
      </c>
      <c r="E10" s="5">
        <v>18.718</v>
      </c>
      <c r="F10" s="5">
        <v>19.489999999999998</v>
      </c>
      <c r="G10" s="5">
        <v>27.474</v>
      </c>
      <c r="H10" s="6">
        <v>313</v>
      </c>
      <c r="I10" s="5">
        <v>461.97300000000001</v>
      </c>
      <c r="J10" s="7">
        <v>1.0522453703703701E-3</v>
      </c>
    </row>
    <row r="11" spans="1:10" x14ac:dyDescent="0.3">
      <c r="A11" s="3">
        <v>6</v>
      </c>
      <c r="B11" s="4" t="s">
        <v>327</v>
      </c>
      <c r="C11" s="5">
        <v>90.947000000000003</v>
      </c>
      <c r="D11" s="5">
        <v>25.265999999999998</v>
      </c>
      <c r="E11" s="5">
        <v>18.712</v>
      </c>
      <c r="F11" s="5">
        <v>19.399999999999999</v>
      </c>
      <c r="G11" s="5">
        <v>27.568999999999999</v>
      </c>
      <c r="H11" s="6">
        <v>314.8</v>
      </c>
      <c r="I11" s="5">
        <v>552.91999999999996</v>
      </c>
      <c r="J11" s="7">
        <v>1.052627314814815E-3</v>
      </c>
    </row>
    <row r="12" spans="1:10" x14ac:dyDescent="0.3">
      <c r="A12" s="3">
        <v>7</v>
      </c>
      <c r="B12" s="4" t="s">
        <v>328</v>
      </c>
      <c r="C12" s="5">
        <v>91.051000000000002</v>
      </c>
      <c r="D12" s="5">
        <v>25.193999999999999</v>
      </c>
      <c r="E12" s="5">
        <v>18.713000000000001</v>
      </c>
      <c r="F12" s="5">
        <v>19.466000000000001</v>
      </c>
      <c r="G12" s="5">
        <v>27.678000000000001</v>
      </c>
      <c r="H12" s="6">
        <v>315.7</v>
      </c>
      <c r="I12" s="5">
        <v>643.971</v>
      </c>
      <c r="J12" s="7">
        <v>1.053831018518519E-3</v>
      </c>
    </row>
    <row r="13" spans="1:10" x14ac:dyDescent="0.3">
      <c r="A13" s="3">
        <v>8</v>
      </c>
      <c r="B13" s="4" t="s">
        <v>308</v>
      </c>
      <c r="C13" s="5">
        <v>90.986999999999995</v>
      </c>
      <c r="D13" s="5">
        <v>25.218</v>
      </c>
      <c r="E13" s="5">
        <v>18.835999999999999</v>
      </c>
      <c r="F13" s="5">
        <v>19.404</v>
      </c>
      <c r="G13" s="5">
        <v>27.529</v>
      </c>
      <c r="H13" s="6">
        <v>313.89999999999998</v>
      </c>
      <c r="I13" s="5">
        <v>734.95799999999997</v>
      </c>
      <c r="J13" s="7">
        <v>1.053090277777778E-3</v>
      </c>
    </row>
    <row r="14" spans="1:10" x14ac:dyDescent="0.3">
      <c r="A14" s="3">
        <v>9</v>
      </c>
      <c r="B14" s="4" t="s">
        <v>329</v>
      </c>
      <c r="C14" s="5">
        <v>91.177999999999997</v>
      </c>
      <c r="D14" s="5">
        <v>25.244</v>
      </c>
      <c r="E14" s="5">
        <v>18.765999999999998</v>
      </c>
      <c r="F14" s="5">
        <v>19.515000000000001</v>
      </c>
      <c r="G14" s="5">
        <v>27.652999999999999</v>
      </c>
      <c r="H14" s="6">
        <v>313.89999999999998</v>
      </c>
      <c r="I14" s="5">
        <v>826.13599999999997</v>
      </c>
      <c r="J14" s="7">
        <v>1.0553009259259259E-3</v>
      </c>
    </row>
    <row r="15" spans="1:10" x14ac:dyDescent="0.3">
      <c r="A15" s="3">
        <v>10</v>
      </c>
      <c r="B15" s="4" t="s">
        <v>330</v>
      </c>
      <c r="C15" s="5">
        <v>91.14</v>
      </c>
      <c r="D15" s="5">
        <v>25.288</v>
      </c>
      <c r="E15" s="5">
        <v>18.745000000000001</v>
      </c>
      <c r="F15" s="5">
        <v>19.466999999999999</v>
      </c>
      <c r="G15" s="5">
        <v>27.64</v>
      </c>
      <c r="H15" s="6">
        <v>313</v>
      </c>
      <c r="I15" s="5">
        <v>917.27599999999995</v>
      </c>
      <c r="J15" s="7">
        <v>1.054861111111111E-3</v>
      </c>
    </row>
    <row r="16" spans="1:10" x14ac:dyDescent="0.3">
      <c r="A16" s="3">
        <v>11</v>
      </c>
      <c r="B16" s="4" t="s">
        <v>331</v>
      </c>
      <c r="C16" s="5">
        <v>91.07</v>
      </c>
      <c r="D16" s="5">
        <v>25.260999999999999</v>
      </c>
      <c r="E16" s="5">
        <v>18.795999999999999</v>
      </c>
      <c r="F16" s="5">
        <v>19.46</v>
      </c>
      <c r="G16" s="5">
        <v>27.553000000000001</v>
      </c>
      <c r="H16" s="6">
        <v>313</v>
      </c>
      <c r="I16" s="5">
        <v>1008.346</v>
      </c>
      <c r="J16" s="7">
        <v>1.0540509259259259E-3</v>
      </c>
    </row>
    <row r="17" spans="1:10" x14ac:dyDescent="0.3">
      <c r="A17" s="3">
        <v>12</v>
      </c>
      <c r="B17" s="4" t="s">
        <v>332</v>
      </c>
      <c r="C17" s="5">
        <v>91.19</v>
      </c>
      <c r="D17" s="5">
        <v>25.331</v>
      </c>
      <c r="E17" s="5">
        <v>18.719000000000001</v>
      </c>
      <c r="F17" s="5">
        <v>19.533999999999999</v>
      </c>
      <c r="G17" s="5">
        <v>27.606000000000002</v>
      </c>
      <c r="H17" s="6">
        <v>313.89999999999998</v>
      </c>
      <c r="I17" s="5">
        <v>1099.5360000000001</v>
      </c>
      <c r="J17" s="7">
        <v>1.055439814814815E-3</v>
      </c>
    </row>
    <row r="18" spans="1:10" x14ac:dyDescent="0.3">
      <c r="A18" s="3">
        <v>13</v>
      </c>
      <c r="B18" s="4" t="s">
        <v>333</v>
      </c>
      <c r="C18" s="5">
        <v>91.042000000000002</v>
      </c>
      <c r="D18" s="5">
        <v>25.288</v>
      </c>
      <c r="E18" s="5">
        <v>18.734999999999999</v>
      </c>
      <c r="F18" s="5">
        <v>19.5</v>
      </c>
      <c r="G18" s="5">
        <v>27.518999999999998</v>
      </c>
      <c r="H18" s="6">
        <v>312.10000000000002</v>
      </c>
      <c r="I18" s="5">
        <v>1190.578</v>
      </c>
      <c r="J18" s="7">
        <v>1.0537268518518519E-3</v>
      </c>
    </row>
    <row r="19" spans="1:10" x14ac:dyDescent="0.3">
      <c r="A19" s="3">
        <v>14</v>
      </c>
      <c r="B19" s="4" t="s">
        <v>334</v>
      </c>
      <c r="C19" s="5">
        <v>91.004999999999995</v>
      </c>
      <c r="D19" s="5">
        <v>25.268000000000001</v>
      </c>
      <c r="E19" s="5">
        <v>18.731999999999999</v>
      </c>
      <c r="F19" s="5">
        <v>19.498999999999999</v>
      </c>
      <c r="G19" s="5">
        <v>27.506</v>
      </c>
      <c r="H19" s="6">
        <v>313.89999999999998</v>
      </c>
      <c r="I19" s="5">
        <v>1281.5830000000001</v>
      </c>
      <c r="J19" s="7">
        <v>1.053298611111111E-3</v>
      </c>
    </row>
    <row r="20" spans="1:10" x14ac:dyDescent="0.3">
      <c r="A20" s="3">
        <v>15</v>
      </c>
      <c r="B20" s="4" t="s">
        <v>335</v>
      </c>
      <c r="C20" s="5">
        <v>90.984999999999999</v>
      </c>
      <c r="D20" s="5">
        <v>25.216000000000001</v>
      </c>
      <c r="E20" s="5">
        <v>18.728999999999999</v>
      </c>
      <c r="F20" s="5">
        <v>19.459</v>
      </c>
      <c r="G20" s="5">
        <v>27.581</v>
      </c>
      <c r="H20" s="6">
        <v>314.8</v>
      </c>
      <c r="I20" s="5">
        <v>1372.568</v>
      </c>
      <c r="J20" s="7">
        <v>1.0530671296296299E-3</v>
      </c>
    </row>
    <row r="21" spans="1:10" x14ac:dyDescent="0.3">
      <c r="A21" s="3">
        <v>16</v>
      </c>
      <c r="B21" s="4" t="s">
        <v>336</v>
      </c>
      <c r="C21" s="5">
        <v>91.156999999999996</v>
      </c>
      <c r="D21" s="5">
        <v>25.263999999999999</v>
      </c>
      <c r="E21" s="5">
        <v>18.809000000000001</v>
      </c>
      <c r="F21" s="5">
        <v>19.427</v>
      </c>
      <c r="G21" s="5">
        <v>27.657</v>
      </c>
      <c r="H21" s="6">
        <v>313.89999999999998</v>
      </c>
      <c r="I21" s="5">
        <v>1463.7249999999999</v>
      </c>
      <c r="J21" s="7">
        <v>1.05505787037037E-3</v>
      </c>
    </row>
    <row r="22" spans="1:10" x14ac:dyDescent="0.3">
      <c r="A22" s="3">
        <v>17</v>
      </c>
      <c r="B22" s="4" t="s">
        <v>174</v>
      </c>
      <c r="C22" s="5">
        <v>91.248000000000005</v>
      </c>
      <c r="D22" s="5">
        <v>25.276</v>
      </c>
      <c r="E22" s="5">
        <v>18.907</v>
      </c>
      <c r="F22" s="5">
        <v>19.396000000000001</v>
      </c>
      <c r="G22" s="5">
        <v>27.669</v>
      </c>
      <c r="H22" s="6">
        <v>313</v>
      </c>
      <c r="I22" s="5">
        <v>1554.973</v>
      </c>
      <c r="J22" s="7">
        <v>1.056111111111111E-3</v>
      </c>
    </row>
    <row r="23" spans="1:10" x14ac:dyDescent="0.3">
      <c r="A23" s="3">
        <v>18</v>
      </c>
      <c r="B23" s="4" t="s">
        <v>337</v>
      </c>
      <c r="C23" s="5">
        <v>90.953000000000003</v>
      </c>
      <c r="D23" s="5">
        <v>25.23</v>
      </c>
      <c r="E23" s="5">
        <v>18.75</v>
      </c>
      <c r="F23" s="5">
        <v>19.398</v>
      </c>
      <c r="G23" s="5">
        <v>27.574999999999999</v>
      </c>
      <c r="H23" s="6">
        <v>313.89999999999998</v>
      </c>
      <c r="I23" s="5">
        <v>1645.9259999999999</v>
      </c>
      <c r="J23" s="7">
        <v>1.0526967592592591E-3</v>
      </c>
    </row>
    <row r="24" spans="1:10" x14ac:dyDescent="0.3">
      <c r="A24" s="3">
        <v>19</v>
      </c>
      <c r="B24" s="4" t="s">
        <v>338</v>
      </c>
      <c r="C24" s="5">
        <v>91.635999999999996</v>
      </c>
      <c r="D24" s="5">
        <v>25.195</v>
      </c>
      <c r="E24" s="5">
        <v>18.913</v>
      </c>
      <c r="F24" s="5">
        <v>19.494</v>
      </c>
      <c r="G24" s="5">
        <v>28.033999999999999</v>
      </c>
      <c r="H24" s="6">
        <v>314.8</v>
      </c>
      <c r="I24" s="5">
        <v>1737.5619999999999</v>
      </c>
      <c r="J24" s="7">
        <v>1.0606018518518521E-3</v>
      </c>
    </row>
    <row r="25" spans="1:10" x14ac:dyDescent="0.3">
      <c r="A25" s="3">
        <v>20</v>
      </c>
      <c r="B25" s="4" t="s">
        <v>339</v>
      </c>
      <c r="C25" s="5">
        <v>91.38</v>
      </c>
      <c r="D25" s="5">
        <v>25.305</v>
      </c>
      <c r="E25" s="5">
        <v>18.831</v>
      </c>
      <c r="F25" s="5">
        <v>19.54</v>
      </c>
      <c r="G25" s="5">
        <v>27.704000000000001</v>
      </c>
      <c r="H25" s="6">
        <v>311.2</v>
      </c>
      <c r="I25" s="5">
        <v>1828.942</v>
      </c>
      <c r="J25" s="7">
        <v>1.057638888888889E-3</v>
      </c>
    </row>
    <row r="26" spans="1:10" x14ac:dyDescent="0.3">
      <c r="A26" s="3">
        <v>21</v>
      </c>
      <c r="B26" s="4" t="s">
        <v>340</v>
      </c>
      <c r="C26" s="5">
        <v>91.128</v>
      </c>
      <c r="D26" s="5">
        <v>25.355</v>
      </c>
      <c r="E26" s="5">
        <v>18.748000000000001</v>
      </c>
      <c r="F26" s="5">
        <v>19.41</v>
      </c>
      <c r="G26" s="5">
        <v>27.614999999999998</v>
      </c>
      <c r="H26" s="6">
        <v>316.7</v>
      </c>
      <c r="I26" s="5">
        <v>1920.07</v>
      </c>
      <c r="J26" s="7">
        <v>1.0547222222222221E-3</v>
      </c>
    </row>
    <row r="27" spans="1:10" x14ac:dyDescent="0.3">
      <c r="A27" s="3">
        <v>22</v>
      </c>
      <c r="B27" s="4" t="s">
        <v>341</v>
      </c>
      <c r="C27" s="5">
        <v>91.039000000000001</v>
      </c>
      <c r="D27" s="5">
        <v>25.170999999999999</v>
      </c>
      <c r="E27" s="5">
        <v>18.785</v>
      </c>
      <c r="F27" s="5">
        <v>19.431999999999999</v>
      </c>
      <c r="G27" s="5">
        <v>27.651</v>
      </c>
      <c r="H27" s="6">
        <v>316.7</v>
      </c>
      <c r="I27" s="5">
        <v>2011.1089999999999</v>
      </c>
      <c r="J27" s="7">
        <v>1.0536921296296299E-3</v>
      </c>
    </row>
    <row r="28" spans="1:10" x14ac:dyDescent="0.3">
      <c r="A28" s="3">
        <v>23</v>
      </c>
      <c r="B28" s="4" t="s">
        <v>206</v>
      </c>
      <c r="C28" s="5">
        <v>91.31</v>
      </c>
      <c r="D28" s="5">
        <v>25.373999999999999</v>
      </c>
      <c r="E28" s="5">
        <v>18.757000000000001</v>
      </c>
      <c r="F28" s="5">
        <v>19.472999999999999</v>
      </c>
      <c r="G28" s="5">
        <v>27.706</v>
      </c>
      <c r="H28" s="6">
        <v>313.89999999999998</v>
      </c>
      <c r="I28" s="5">
        <v>2102.4189999999999</v>
      </c>
      <c r="J28" s="7">
        <v>1.0568287037037039E-3</v>
      </c>
    </row>
    <row r="29" spans="1:10" x14ac:dyDescent="0.3">
      <c r="A29" s="3">
        <v>24</v>
      </c>
      <c r="B29" s="4" t="s">
        <v>342</v>
      </c>
      <c r="C29" s="5">
        <v>90.998000000000005</v>
      </c>
      <c r="D29" s="5">
        <v>25.28</v>
      </c>
      <c r="E29" s="5">
        <v>18.742999999999999</v>
      </c>
      <c r="F29" s="5">
        <v>19.457999999999998</v>
      </c>
      <c r="G29" s="5">
        <v>27.516999999999999</v>
      </c>
      <c r="H29" s="6">
        <v>313.89999999999998</v>
      </c>
      <c r="I29" s="5">
        <v>2193.4169999999999</v>
      </c>
      <c r="J29" s="7">
        <v>1.053217592592593E-3</v>
      </c>
    </row>
    <row r="30" spans="1:10" x14ac:dyDescent="0.3">
      <c r="A30" s="3">
        <v>25</v>
      </c>
      <c r="B30" s="4" t="s">
        <v>343</v>
      </c>
      <c r="C30" s="5">
        <v>91.74</v>
      </c>
      <c r="D30" s="5">
        <v>25.390999999999998</v>
      </c>
      <c r="E30" s="5">
        <v>18.97</v>
      </c>
      <c r="F30" s="5">
        <v>19.538</v>
      </c>
      <c r="G30" s="5">
        <v>27.841000000000001</v>
      </c>
      <c r="H30" s="6">
        <v>315.7</v>
      </c>
      <c r="I30" s="5">
        <v>2285.1570000000002</v>
      </c>
      <c r="J30" s="7">
        <v>1.061805555555555E-3</v>
      </c>
    </row>
    <row r="31" spans="1:10" x14ac:dyDescent="0.3">
      <c r="A31" s="3">
        <v>26</v>
      </c>
      <c r="B31" s="4" t="s">
        <v>344</v>
      </c>
      <c r="C31" s="5">
        <v>92.495000000000005</v>
      </c>
      <c r="D31" s="5">
        <v>26.401</v>
      </c>
      <c r="E31" s="5">
        <v>18.846</v>
      </c>
      <c r="F31" s="5">
        <v>19.5</v>
      </c>
      <c r="G31" s="5">
        <v>27.748000000000001</v>
      </c>
      <c r="H31" s="6">
        <v>314.8</v>
      </c>
      <c r="I31" s="5">
        <v>2377.652</v>
      </c>
      <c r="J31" s="7">
        <v>1.070543981481482E-3</v>
      </c>
    </row>
    <row r="32" spans="1:10" x14ac:dyDescent="0.3">
      <c r="A32" s="3">
        <v>27</v>
      </c>
      <c r="B32" s="4" t="s">
        <v>345</v>
      </c>
      <c r="C32" s="5">
        <v>91.585999999999999</v>
      </c>
      <c r="D32" s="5">
        <v>25.331</v>
      </c>
      <c r="E32" s="5">
        <v>18.893999999999998</v>
      </c>
      <c r="F32" s="5">
        <v>19.533999999999999</v>
      </c>
      <c r="G32" s="5">
        <v>27.827000000000002</v>
      </c>
      <c r="H32" s="6">
        <v>313.89999999999998</v>
      </c>
      <c r="I32" s="5">
        <v>2469.2379999999998</v>
      </c>
      <c r="J32" s="7">
        <v>1.060023148148148E-3</v>
      </c>
    </row>
  </sheetData>
  <autoFilter ref="A5:J32" xr:uid="{00000000-0009-0000-0000-00000B000000}"/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346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347</v>
      </c>
      <c r="C3" s="1" t="s">
        <v>3</v>
      </c>
      <c r="D3" s="1" t="s">
        <v>322</v>
      </c>
      <c r="E3" s="1" t="s">
        <v>5</v>
      </c>
      <c r="F3" s="1">
        <v>27</v>
      </c>
      <c r="G3" s="1" t="s">
        <v>6</v>
      </c>
      <c r="H3" s="1">
        <v>25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348</v>
      </c>
      <c r="C6" s="5">
        <v>97.852000000000004</v>
      </c>
      <c r="D6" s="5">
        <v>30.861999999999998</v>
      </c>
      <c r="E6" s="5">
        <v>19.510999999999999</v>
      </c>
      <c r="F6" s="5">
        <v>19.814</v>
      </c>
      <c r="G6" s="5">
        <v>27.664999999999999</v>
      </c>
      <c r="H6" s="6">
        <v>270</v>
      </c>
      <c r="I6" s="5">
        <v>97.852000000000004</v>
      </c>
      <c r="J6" s="7">
        <v>1.132546296296296E-3</v>
      </c>
    </row>
    <row r="7" spans="1:10" x14ac:dyDescent="0.3">
      <c r="A7" s="3">
        <v>2</v>
      </c>
      <c r="B7" s="4" t="s">
        <v>349</v>
      </c>
      <c r="C7" s="5">
        <v>92.325999999999993</v>
      </c>
      <c r="D7" s="5">
        <v>25.696999999999999</v>
      </c>
      <c r="E7" s="5">
        <v>19.059999999999999</v>
      </c>
      <c r="F7" s="5">
        <v>19.798999999999999</v>
      </c>
      <c r="G7" s="5">
        <v>27.77</v>
      </c>
      <c r="H7" s="6">
        <v>299.10000000000002</v>
      </c>
      <c r="I7" s="5">
        <v>190.178</v>
      </c>
      <c r="J7" s="7">
        <v>1.068587962962963E-3</v>
      </c>
    </row>
    <row r="8" spans="1:10" x14ac:dyDescent="0.3">
      <c r="A8" s="3">
        <v>3</v>
      </c>
      <c r="B8" s="4" t="s">
        <v>350</v>
      </c>
      <c r="C8" s="5">
        <v>91.688999999999993</v>
      </c>
      <c r="D8" s="5">
        <v>25.670999999999999</v>
      </c>
      <c r="E8" s="5">
        <v>18.908000000000001</v>
      </c>
      <c r="F8" s="5">
        <v>19.489999999999998</v>
      </c>
      <c r="G8" s="5">
        <v>27.62</v>
      </c>
      <c r="H8" s="6">
        <v>292.60000000000002</v>
      </c>
      <c r="I8" s="5">
        <v>281.86700000000002</v>
      </c>
      <c r="J8" s="7">
        <v>1.0612152777777779E-3</v>
      </c>
    </row>
    <row r="9" spans="1:10" x14ac:dyDescent="0.3">
      <c r="A9" s="3">
        <v>4</v>
      </c>
      <c r="B9" s="4" t="s">
        <v>351</v>
      </c>
      <c r="C9" s="5">
        <v>91.375</v>
      </c>
      <c r="D9" s="5">
        <v>25.52</v>
      </c>
      <c r="E9" s="5">
        <v>18.986000000000001</v>
      </c>
      <c r="F9" s="5">
        <v>19.411000000000001</v>
      </c>
      <c r="G9" s="5">
        <v>27.457999999999998</v>
      </c>
      <c r="H9" s="6">
        <v>291.10000000000002</v>
      </c>
      <c r="I9" s="5">
        <v>373.24200000000002</v>
      </c>
      <c r="J9" s="7">
        <v>1.057581018518518E-3</v>
      </c>
    </row>
    <row r="10" spans="1:10" x14ac:dyDescent="0.3">
      <c r="A10" s="3">
        <v>5</v>
      </c>
      <c r="B10" s="4" t="s">
        <v>352</v>
      </c>
      <c r="C10" s="5">
        <v>91.058999999999997</v>
      </c>
      <c r="D10" s="5">
        <v>25.353999999999999</v>
      </c>
      <c r="E10" s="5">
        <v>18.791</v>
      </c>
      <c r="F10" s="5">
        <v>19.382000000000001</v>
      </c>
      <c r="G10" s="5">
        <v>27.532</v>
      </c>
      <c r="H10" s="6">
        <v>307.60000000000002</v>
      </c>
      <c r="I10" s="5">
        <v>464.30099999999999</v>
      </c>
      <c r="J10" s="7">
        <v>1.0539236111111109E-3</v>
      </c>
    </row>
    <row r="11" spans="1:10" x14ac:dyDescent="0.3">
      <c r="A11" s="3">
        <v>6</v>
      </c>
      <c r="B11" s="4" t="s">
        <v>353</v>
      </c>
      <c r="C11" s="5">
        <v>91.123000000000005</v>
      </c>
      <c r="D11" s="5">
        <v>25.448</v>
      </c>
      <c r="E11" s="5">
        <v>18.747</v>
      </c>
      <c r="F11" s="5">
        <v>19.469000000000001</v>
      </c>
      <c r="G11" s="5">
        <v>27.459</v>
      </c>
      <c r="H11" s="6">
        <v>308.5</v>
      </c>
      <c r="I11" s="5">
        <v>555.42399999999998</v>
      </c>
      <c r="J11" s="7">
        <v>1.054664351851852E-3</v>
      </c>
    </row>
    <row r="12" spans="1:10" x14ac:dyDescent="0.3">
      <c r="A12" s="3">
        <v>7</v>
      </c>
      <c r="B12" s="4" t="s">
        <v>354</v>
      </c>
      <c r="C12" s="5">
        <v>91.403000000000006</v>
      </c>
      <c r="D12" s="5">
        <v>25.356999999999999</v>
      </c>
      <c r="E12" s="5">
        <v>18.763000000000002</v>
      </c>
      <c r="F12" s="5">
        <v>19.361000000000001</v>
      </c>
      <c r="G12" s="5">
        <v>27.922000000000001</v>
      </c>
      <c r="H12" s="6">
        <v>300</v>
      </c>
      <c r="I12" s="5">
        <v>646.827</v>
      </c>
      <c r="J12" s="7">
        <v>1.0579050925925929E-3</v>
      </c>
    </row>
    <row r="13" spans="1:10" x14ac:dyDescent="0.3">
      <c r="A13" s="3">
        <v>8</v>
      </c>
      <c r="B13" s="4" t="s">
        <v>273</v>
      </c>
      <c r="C13" s="5">
        <v>91.126999999999995</v>
      </c>
      <c r="D13" s="5">
        <v>25.338999999999999</v>
      </c>
      <c r="E13" s="5">
        <v>18.831</v>
      </c>
      <c r="F13" s="5">
        <v>19.376999999999999</v>
      </c>
      <c r="G13" s="5">
        <v>27.58</v>
      </c>
      <c r="H13" s="6">
        <v>311.2</v>
      </c>
      <c r="I13" s="5">
        <v>737.95399999999995</v>
      </c>
      <c r="J13" s="7">
        <v>1.0547106481481479E-3</v>
      </c>
    </row>
    <row r="14" spans="1:10" x14ac:dyDescent="0.3">
      <c r="A14" s="3">
        <v>9</v>
      </c>
      <c r="B14" s="4" t="s">
        <v>355</v>
      </c>
      <c r="C14" s="5">
        <v>90.988</v>
      </c>
      <c r="D14" s="5">
        <v>25.459</v>
      </c>
      <c r="E14" s="5">
        <v>18.779</v>
      </c>
      <c r="F14" s="5">
        <v>19.347999999999999</v>
      </c>
      <c r="G14" s="5">
        <v>27.402000000000001</v>
      </c>
      <c r="H14" s="6">
        <v>310.3</v>
      </c>
      <c r="I14" s="5">
        <v>828.94200000000001</v>
      </c>
      <c r="J14" s="7">
        <v>1.0531018518518519E-3</v>
      </c>
    </row>
    <row r="15" spans="1:10" x14ac:dyDescent="0.3">
      <c r="A15" s="3">
        <v>10</v>
      </c>
      <c r="B15" s="4" t="s">
        <v>356</v>
      </c>
      <c r="C15" s="5">
        <v>91.078000000000003</v>
      </c>
      <c r="D15" s="5">
        <v>25.411000000000001</v>
      </c>
      <c r="E15" s="5">
        <v>18.797999999999998</v>
      </c>
      <c r="F15" s="5">
        <v>19.443000000000001</v>
      </c>
      <c r="G15" s="5">
        <v>27.425999999999998</v>
      </c>
      <c r="H15" s="6">
        <v>301.60000000000002</v>
      </c>
      <c r="I15" s="5">
        <v>920.02</v>
      </c>
      <c r="J15" s="7">
        <v>1.0541435185185181E-3</v>
      </c>
    </row>
    <row r="16" spans="1:10" x14ac:dyDescent="0.3">
      <c r="A16" s="3">
        <v>11</v>
      </c>
      <c r="B16" s="4" t="s">
        <v>175</v>
      </c>
      <c r="C16" s="5">
        <v>90.974000000000004</v>
      </c>
      <c r="D16" s="5">
        <v>25.361000000000001</v>
      </c>
      <c r="E16" s="5">
        <v>18.928000000000001</v>
      </c>
      <c r="F16" s="5">
        <v>19.347999999999999</v>
      </c>
      <c r="G16" s="5">
        <v>27.337</v>
      </c>
      <c r="H16" s="6">
        <v>300</v>
      </c>
      <c r="I16" s="5">
        <v>1010.994</v>
      </c>
      <c r="J16" s="7">
        <v>1.0529398148148149E-3</v>
      </c>
    </row>
    <row r="17" spans="1:10" x14ac:dyDescent="0.3">
      <c r="A17" s="3">
        <v>12</v>
      </c>
      <c r="B17" s="4" t="s">
        <v>357</v>
      </c>
      <c r="C17" s="5">
        <v>91.36</v>
      </c>
      <c r="D17" s="5">
        <v>25.867999999999999</v>
      </c>
      <c r="E17" s="5">
        <v>18.803000000000001</v>
      </c>
      <c r="F17" s="5">
        <v>19.285</v>
      </c>
      <c r="G17" s="5">
        <v>27.404</v>
      </c>
      <c r="H17" s="6">
        <v>310.3</v>
      </c>
      <c r="I17" s="5">
        <v>1102.354</v>
      </c>
      <c r="J17" s="7">
        <v>1.0574074074074071E-3</v>
      </c>
    </row>
    <row r="18" spans="1:10" x14ac:dyDescent="0.3">
      <c r="A18" s="3">
        <v>13</v>
      </c>
      <c r="B18" s="4" t="s">
        <v>358</v>
      </c>
      <c r="C18" s="5">
        <v>91.165000000000006</v>
      </c>
      <c r="D18" s="5">
        <v>25.245000000000001</v>
      </c>
      <c r="E18" s="5">
        <v>18.635000000000002</v>
      </c>
      <c r="F18" s="5">
        <v>19.837</v>
      </c>
      <c r="G18" s="5">
        <v>27.448</v>
      </c>
      <c r="H18" s="6">
        <v>309.39999999999998</v>
      </c>
      <c r="I18" s="5">
        <v>1193.519</v>
      </c>
      <c r="J18" s="7">
        <v>1.055150462962963E-3</v>
      </c>
    </row>
    <row r="19" spans="1:10" x14ac:dyDescent="0.3">
      <c r="A19" s="3">
        <v>14</v>
      </c>
      <c r="B19" s="4" t="s">
        <v>359</v>
      </c>
      <c r="C19" s="5">
        <v>91.855000000000004</v>
      </c>
      <c r="D19" s="5">
        <v>25.978999999999999</v>
      </c>
      <c r="E19" s="5">
        <v>18.823</v>
      </c>
      <c r="F19" s="5">
        <v>19.78</v>
      </c>
      <c r="G19" s="5">
        <v>27.273</v>
      </c>
      <c r="H19" s="6">
        <v>300</v>
      </c>
      <c r="I19" s="5">
        <v>1285.374</v>
      </c>
      <c r="J19" s="7">
        <v>1.063136574074074E-3</v>
      </c>
    </row>
    <row r="20" spans="1:10" x14ac:dyDescent="0.3">
      <c r="A20" s="3">
        <v>15</v>
      </c>
      <c r="B20" s="4" t="s">
        <v>360</v>
      </c>
      <c r="C20" s="5">
        <v>91.034000000000006</v>
      </c>
      <c r="D20" s="5">
        <v>25.204000000000001</v>
      </c>
      <c r="E20" s="5">
        <v>18.904</v>
      </c>
      <c r="F20" s="5">
        <v>19.460999999999999</v>
      </c>
      <c r="G20" s="5">
        <v>27.465</v>
      </c>
      <c r="H20" s="6">
        <v>311.2</v>
      </c>
      <c r="I20" s="5">
        <v>1376.4079999999999</v>
      </c>
      <c r="J20" s="7">
        <v>1.0536342592592589E-3</v>
      </c>
    </row>
    <row r="21" spans="1:10" x14ac:dyDescent="0.3">
      <c r="A21" s="3">
        <v>16</v>
      </c>
      <c r="B21" s="4" t="s">
        <v>260</v>
      </c>
      <c r="C21" s="5">
        <v>91.057000000000002</v>
      </c>
      <c r="D21" s="5">
        <v>25.331</v>
      </c>
      <c r="E21" s="5">
        <v>18.917999999999999</v>
      </c>
      <c r="F21" s="5">
        <v>19.378</v>
      </c>
      <c r="G21" s="5">
        <v>27.43</v>
      </c>
      <c r="H21" s="6">
        <v>306.8</v>
      </c>
      <c r="I21" s="5">
        <v>1467.4649999999999</v>
      </c>
      <c r="J21" s="7">
        <v>1.0539004629629631E-3</v>
      </c>
    </row>
    <row r="22" spans="1:10" x14ac:dyDescent="0.3">
      <c r="A22" s="3">
        <v>17</v>
      </c>
      <c r="B22" s="4" t="s">
        <v>283</v>
      </c>
      <c r="C22" s="5">
        <v>90.799000000000007</v>
      </c>
      <c r="D22" s="5">
        <v>25.262</v>
      </c>
      <c r="E22" s="5">
        <v>18.759</v>
      </c>
      <c r="F22" s="5">
        <v>19.321000000000002</v>
      </c>
      <c r="G22" s="5">
        <v>27.457000000000001</v>
      </c>
      <c r="H22" s="6">
        <v>308.5</v>
      </c>
      <c r="I22" s="5">
        <v>1558.2639999999999</v>
      </c>
      <c r="J22" s="7">
        <v>1.0509143518518519E-3</v>
      </c>
    </row>
    <row r="23" spans="1:10" x14ac:dyDescent="0.3">
      <c r="A23" s="3">
        <v>18</v>
      </c>
      <c r="B23" s="4" t="s">
        <v>361</v>
      </c>
      <c r="C23" s="5">
        <v>90.771000000000001</v>
      </c>
      <c r="D23" s="5">
        <v>25.234999999999999</v>
      </c>
      <c r="E23" s="5">
        <v>18.806999999999999</v>
      </c>
      <c r="F23" s="5">
        <v>19.404</v>
      </c>
      <c r="G23" s="5">
        <v>27.324999999999999</v>
      </c>
      <c r="H23" s="6">
        <v>310.3</v>
      </c>
      <c r="I23" s="5">
        <v>1649.0350000000001</v>
      </c>
      <c r="J23" s="7">
        <v>1.0505902777777779E-3</v>
      </c>
    </row>
    <row r="24" spans="1:10" x14ac:dyDescent="0.3">
      <c r="A24" s="3">
        <v>19</v>
      </c>
      <c r="B24" s="4" t="s">
        <v>147</v>
      </c>
      <c r="C24" s="5">
        <v>90.853999999999999</v>
      </c>
      <c r="D24" s="5">
        <v>25.183</v>
      </c>
      <c r="E24" s="5">
        <v>18.812000000000001</v>
      </c>
      <c r="F24" s="5">
        <v>19.440999999999999</v>
      </c>
      <c r="G24" s="5">
        <v>27.417999999999999</v>
      </c>
      <c r="H24" s="6">
        <v>312.10000000000002</v>
      </c>
      <c r="I24" s="5">
        <v>1739.8889999999999</v>
      </c>
      <c r="J24" s="7">
        <v>1.051550925925926E-3</v>
      </c>
    </row>
    <row r="25" spans="1:10" x14ac:dyDescent="0.3">
      <c r="A25" s="3">
        <v>20</v>
      </c>
      <c r="B25" s="4" t="s">
        <v>119</v>
      </c>
      <c r="C25" s="5">
        <v>90.858000000000004</v>
      </c>
      <c r="D25" s="5">
        <v>25.335000000000001</v>
      </c>
      <c r="E25" s="5">
        <v>18.738</v>
      </c>
      <c r="F25" s="5">
        <v>19.396999999999998</v>
      </c>
      <c r="G25" s="5">
        <v>27.388000000000002</v>
      </c>
      <c r="H25" s="6">
        <v>311.2</v>
      </c>
      <c r="I25" s="5">
        <v>1830.7470000000001</v>
      </c>
      <c r="J25" s="7">
        <v>1.051597222222222E-3</v>
      </c>
    </row>
    <row r="26" spans="1:10" x14ac:dyDescent="0.3">
      <c r="A26" s="3">
        <v>21</v>
      </c>
      <c r="B26" s="4" t="s">
        <v>362</v>
      </c>
      <c r="C26" s="5">
        <v>90.903999999999996</v>
      </c>
      <c r="D26" s="5">
        <v>25.265000000000001</v>
      </c>
      <c r="E26" s="5">
        <v>18.788</v>
      </c>
      <c r="F26" s="5">
        <v>19.431999999999999</v>
      </c>
      <c r="G26" s="5">
        <v>27.419</v>
      </c>
      <c r="H26" s="6">
        <v>308.5</v>
      </c>
      <c r="I26" s="5">
        <v>1921.6510000000001</v>
      </c>
      <c r="J26" s="7">
        <v>1.0521296296296301E-3</v>
      </c>
    </row>
    <row r="27" spans="1:10" x14ac:dyDescent="0.3">
      <c r="A27" s="3">
        <v>22</v>
      </c>
      <c r="B27" s="4" t="s">
        <v>363</v>
      </c>
      <c r="C27" s="5">
        <v>90.805000000000007</v>
      </c>
      <c r="D27" s="5">
        <v>25.241</v>
      </c>
      <c r="E27" s="5">
        <v>18.759</v>
      </c>
      <c r="F27" s="5">
        <v>19.416</v>
      </c>
      <c r="G27" s="5">
        <v>27.388999999999999</v>
      </c>
      <c r="H27" s="6">
        <v>313.89999999999998</v>
      </c>
      <c r="I27" s="5">
        <v>2012.4559999999999</v>
      </c>
      <c r="J27" s="7">
        <v>1.050983796296296E-3</v>
      </c>
    </row>
    <row r="28" spans="1:10" x14ac:dyDescent="0.3">
      <c r="A28" s="3">
        <v>23</v>
      </c>
      <c r="B28" s="4" t="s">
        <v>364</v>
      </c>
      <c r="C28" s="5">
        <v>91.114999999999995</v>
      </c>
      <c r="D28" s="5">
        <v>25.398</v>
      </c>
      <c r="E28" s="5">
        <v>18.853000000000002</v>
      </c>
      <c r="F28" s="5">
        <v>19.356000000000002</v>
      </c>
      <c r="G28" s="5">
        <v>27.507999999999999</v>
      </c>
      <c r="H28" s="6">
        <v>305.89999999999998</v>
      </c>
      <c r="I28" s="5">
        <v>2103.5709999999999</v>
      </c>
      <c r="J28" s="7">
        <v>1.054571759259259E-3</v>
      </c>
    </row>
    <row r="29" spans="1:10" x14ac:dyDescent="0.3">
      <c r="A29" s="3">
        <v>24</v>
      </c>
      <c r="B29" s="4" t="s">
        <v>365</v>
      </c>
      <c r="C29" s="5">
        <v>91.191000000000003</v>
      </c>
      <c r="D29" s="5">
        <v>25.295999999999999</v>
      </c>
      <c r="E29" s="5">
        <v>18.812999999999999</v>
      </c>
      <c r="F29" s="5">
        <v>19.523</v>
      </c>
      <c r="G29" s="5">
        <v>27.559000000000001</v>
      </c>
      <c r="H29" s="6">
        <v>310.3</v>
      </c>
      <c r="I29" s="5">
        <v>2194.7620000000002</v>
      </c>
      <c r="J29" s="7">
        <v>1.055451388888889E-3</v>
      </c>
    </row>
    <row r="30" spans="1:10" x14ac:dyDescent="0.3">
      <c r="A30" s="3">
        <v>25</v>
      </c>
      <c r="B30" s="4" t="s">
        <v>366</v>
      </c>
      <c r="C30" s="5">
        <v>92.546000000000006</v>
      </c>
      <c r="D30" s="5">
        <v>25.25</v>
      </c>
      <c r="E30" s="5">
        <v>20.013000000000002</v>
      </c>
      <c r="F30" s="5">
        <v>19.693999999999999</v>
      </c>
      <c r="G30" s="5">
        <v>27.588999999999999</v>
      </c>
      <c r="H30" s="6">
        <v>310.3</v>
      </c>
      <c r="I30" s="5">
        <v>2287.308</v>
      </c>
      <c r="J30" s="7">
        <v>1.0711342592592591E-3</v>
      </c>
    </row>
    <row r="31" spans="1:10" x14ac:dyDescent="0.3">
      <c r="A31" s="3">
        <v>26</v>
      </c>
      <c r="B31" s="4" t="s">
        <v>367</v>
      </c>
      <c r="C31" s="5">
        <v>92.872</v>
      </c>
      <c r="D31" s="5">
        <v>26.236000000000001</v>
      </c>
      <c r="E31" s="5">
        <v>19.146999999999998</v>
      </c>
      <c r="F31" s="5">
        <v>19.72</v>
      </c>
      <c r="G31" s="5">
        <v>27.768999999999998</v>
      </c>
      <c r="H31" s="6">
        <v>317.60000000000002</v>
      </c>
      <c r="I31" s="5">
        <v>2380.1799999999998</v>
      </c>
      <c r="J31" s="7">
        <v>1.074907407407407E-3</v>
      </c>
    </row>
    <row r="32" spans="1:10" x14ac:dyDescent="0.3">
      <c r="A32" s="3">
        <v>27</v>
      </c>
      <c r="B32" s="4" t="s">
        <v>368</v>
      </c>
      <c r="C32" s="5">
        <v>92.662000000000006</v>
      </c>
      <c r="D32" s="5">
        <v>25.411999999999999</v>
      </c>
      <c r="E32" s="5">
        <v>19.212</v>
      </c>
      <c r="F32" s="5">
        <v>19.773</v>
      </c>
      <c r="G32" s="5">
        <v>28.265000000000001</v>
      </c>
      <c r="H32" s="6">
        <v>313</v>
      </c>
      <c r="I32" s="5">
        <v>2472.8420000000001</v>
      </c>
      <c r="J32" s="7">
        <v>1.072476851851852E-3</v>
      </c>
    </row>
  </sheetData>
  <autoFilter ref="A5:J32" xr:uid="{00000000-0009-0000-0000-00000C000000}"/>
  <mergeCells count="1">
    <mergeCell ref="A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369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212</v>
      </c>
      <c r="C3" s="1" t="s">
        <v>3</v>
      </c>
      <c r="D3" s="1" t="s">
        <v>157</v>
      </c>
      <c r="E3" s="1" t="s">
        <v>5</v>
      </c>
      <c r="F3" s="1">
        <v>27</v>
      </c>
      <c r="G3" s="1" t="s">
        <v>6</v>
      </c>
      <c r="H3" s="1">
        <v>24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370</v>
      </c>
      <c r="C6" s="5">
        <v>98.936000000000007</v>
      </c>
      <c r="D6" s="5">
        <v>31.004999999999999</v>
      </c>
      <c r="E6" s="5">
        <v>19.756</v>
      </c>
      <c r="F6" s="5">
        <v>20.056999999999999</v>
      </c>
      <c r="G6" s="5">
        <v>28.117999999999999</v>
      </c>
      <c r="H6" s="6">
        <v>263.39999999999998</v>
      </c>
      <c r="I6" s="5">
        <v>98.936000000000007</v>
      </c>
      <c r="J6" s="7">
        <v>1.1450925925925929E-3</v>
      </c>
    </row>
    <row r="7" spans="1:10" x14ac:dyDescent="0.3">
      <c r="A7" s="3">
        <v>2</v>
      </c>
      <c r="B7" s="4" t="s">
        <v>371</v>
      </c>
      <c r="C7" s="5">
        <v>92.813999999999993</v>
      </c>
      <c r="D7" s="5">
        <v>26.466000000000001</v>
      </c>
      <c r="E7" s="5">
        <v>19.103999999999999</v>
      </c>
      <c r="F7" s="5">
        <v>19.609000000000002</v>
      </c>
      <c r="G7" s="5">
        <v>27.635000000000002</v>
      </c>
      <c r="H7" s="6">
        <v>309.39999999999998</v>
      </c>
      <c r="I7" s="5">
        <v>191.75</v>
      </c>
      <c r="J7" s="7">
        <v>1.0742361111111111E-3</v>
      </c>
    </row>
    <row r="8" spans="1:10" x14ac:dyDescent="0.3">
      <c r="A8" s="3">
        <v>3</v>
      </c>
      <c r="B8" s="4" t="s">
        <v>372</v>
      </c>
      <c r="C8" s="5">
        <v>91.825999999999993</v>
      </c>
      <c r="D8" s="5">
        <v>25.491</v>
      </c>
      <c r="E8" s="5">
        <v>19.029</v>
      </c>
      <c r="F8" s="5">
        <v>19.571999999999999</v>
      </c>
      <c r="G8" s="5">
        <v>27.734000000000002</v>
      </c>
      <c r="H8" s="6">
        <v>302.5</v>
      </c>
      <c r="I8" s="5">
        <v>283.57600000000002</v>
      </c>
      <c r="J8" s="7">
        <v>1.062800925925926E-3</v>
      </c>
    </row>
    <row r="9" spans="1:10" x14ac:dyDescent="0.3">
      <c r="A9" s="3">
        <v>4</v>
      </c>
      <c r="B9" s="4" t="s">
        <v>373</v>
      </c>
      <c r="C9" s="5">
        <v>91.715000000000003</v>
      </c>
      <c r="D9" s="5">
        <v>25.62</v>
      </c>
      <c r="E9" s="5">
        <v>19.084</v>
      </c>
      <c r="F9" s="5">
        <v>19.475999999999999</v>
      </c>
      <c r="G9" s="5">
        <v>27.535</v>
      </c>
      <c r="H9" s="6">
        <v>300.8</v>
      </c>
      <c r="I9" s="5">
        <v>375.291</v>
      </c>
      <c r="J9" s="7">
        <v>1.0615162037037041E-3</v>
      </c>
    </row>
    <row r="10" spans="1:10" x14ac:dyDescent="0.3">
      <c r="A10" s="3">
        <v>5</v>
      </c>
      <c r="B10" s="4" t="s">
        <v>374</v>
      </c>
      <c r="C10" s="5">
        <v>91.334000000000003</v>
      </c>
      <c r="D10" s="5">
        <v>25.443999999999999</v>
      </c>
      <c r="E10" s="5">
        <v>18.856999999999999</v>
      </c>
      <c r="F10" s="5">
        <v>19.510000000000002</v>
      </c>
      <c r="G10" s="5">
        <v>27.523</v>
      </c>
      <c r="H10" s="6">
        <v>305.89999999999998</v>
      </c>
      <c r="I10" s="5">
        <v>466.625</v>
      </c>
      <c r="J10" s="7">
        <v>1.057106481481482E-3</v>
      </c>
    </row>
    <row r="11" spans="1:10" x14ac:dyDescent="0.3">
      <c r="A11" s="3">
        <v>6</v>
      </c>
      <c r="B11" s="4" t="s">
        <v>375</v>
      </c>
      <c r="C11" s="5">
        <v>90.933999999999997</v>
      </c>
      <c r="D11" s="5">
        <v>25.327000000000002</v>
      </c>
      <c r="E11" s="5">
        <v>18.795000000000002</v>
      </c>
      <c r="F11" s="5">
        <v>19.437999999999999</v>
      </c>
      <c r="G11" s="5">
        <v>27.373999999999999</v>
      </c>
      <c r="H11" s="6">
        <v>313.89999999999998</v>
      </c>
      <c r="I11" s="5">
        <v>557.55899999999997</v>
      </c>
      <c r="J11" s="7">
        <v>1.052476851851852E-3</v>
      </c>
    </row>
    <row r="12" spans="1:10" x14ac:dyDescent="0.3">
      <c r="A12" s="3">
        <v>7</v>
      </c>
      <c r="B12" s="4" t="s">
        <v>376</v>
      </c>
      <c r="C12" s="5">
        <v>90.938000000000002</v>
      </c>
      <c r="D12" s="5">
        <v>25.260999999999999</v>
      </c>
      <c r="E12" s="5">
        <v>18.742000000000001</v>
      </c>
      <c r="F12" s="5">
        <v>19.431000000000001</v>
      </c>
      <c r="G12" s="5">
        <v>27.504000000000001</v>
      </c>
      <c r="H12" s="6">
        <v>312.10000000000002</v>
      </c>
      <c r="I12" s="5">
        <v>648.49699999999996</v>
      </c>
      <c r="J12" s="7">
        <v>1.0525231481481479E-3</v>
      </c>
    </row>
    <row r="13" spans="1:10" x14ac:dyDescent="0.3">
      <c r="A13" s="3">
        <v>8</v>
      </c>
      <c r="B13" s="4" t="s">
        <v>377</v>
      </c>
      <c r="C13" s="5">
        <v>90.622</v>
      </c>
      <c r="D13" s="5">
        <v>25.248000000000001</v>
      </c>
      <c r="E13" s="5">
        <v>18.693000000000001</v>
      </c>
      <c r="F13" s="5">
        <v>19.375</v>
      </c>
      <c r="G13" s="5">
        <v>27.306000000000001</v>
      </c>
      <c r="H13" s="6">
        <v>313</v>
      </c>
      <c r="I13" s="5">
        <v>739.11900000000003</v>
      </c>
      <c r="J13" s="7">
        <v>1.0488657407407411E-3</v>
      </c>
    </row>
    <row r="14" spans="1:10" x14ac:dyDescent="0.3">
      <c r="A14" s="3">
        <v>9</v>
      </c>
      <c r="B14" s="4" t="s">
        <v>378</v>
      </c>
      <c r="C14" s="5">
        <v>90.811999999999998</v>
      </c>
      <c r="D14" s="5">
        <v>25.228000000000002</v>
      </c>
      <c r="E14" s="5">
        <v>18.765000000000001</v>
      </c>
      <c r="F14" s="5">
        <v>19.370999999999999</v>
      </c>
      <c r="G14" s="5">
        <v>27.448</v>
      </c>
      <c r="H14" s="6">
        <v>312.10000000000002</v>
      </c>
      <c r="I14" s="5">
        <v>829.93100000000004</v>
      </c>
      <c r="J14" s="7">
        <v>1.051064814814815E-3</v>
      </c>
    </row>
    <row r="15" spans="1:10" x14ac:dyDescent="0.3">
      <c r="A15" s="3">
        <v>10</v>
      </c>
      <c r="B15" s="4" t="s">
        <v>379</v>
      </c>
      <c r="C15" s="5">
        <v>90.947999999999993</v>
      </c>
      <c r="D15" s="5">
        <v>25.419</v>
      </c>
      <c r="E15" s="5">
        <v>18.722999999999999</v>
      </c>
      <c r="F15" s="5">
        <v>19.46</v>
      </c>
      <c r="G15" s="5">
        <v>27.346</v>
      </c>
      <c r="H15" s="6">
        <v>303.3</v>
      </c>
      <c r="I15" s="5">
        <v>920.87900000000002</v>
      </c>
      <c r="J15" s="7">
        <v>1.052638888888889E-3</v>
      </c>
    </row>
    <row r="16" spans="1:10" x14ac:dyDescent="0.3">
      <c r="A16" s="3">
        <v>11</v>
      </c>
      <c r="B16" s="4" t="s">
        <v>380</v>
      </c>
      <c r="C16" s="5">
        <v>91.522999999999996</v>
      </c>
      <c r="D16" s="5">
        <v>25.388000000000002</v>
      </c>
      <c r="E16" s="5">
        <v>18.966000000000001</v>
      </c>
      <c r="F16" s="5">
        <v>19.728999999999999</v>
      </c>
      <c r="G16" s="5">
        <v>27.44</v>
      </c>
      <c r="H16" s="6">
        <v>302.5</v>
      </c>
      <c r="I16" s="5">
        <v>1012.402</v>
      </c>
      <c r="J16" s="7">
        <v>1.0592939814814809E-3</v>
      </c>
    </row>
    <row r="17" spans="1:10" x14ac:dyDescent="0.3">
      <c r="A17" s="3">
        <v>12</v>
      </c>
      <c r="B17" s="4" t="s">
        <v>381</v>
      </c>
      <c r="C17" s="5">
        <v>91.260999999999996</v>
      </c>
      <c r="D17" s="5">
        <v>25.48</v>
      </c>
      <c r="E17" s="5">
        <v>18.942</v>
      </c>
      <c r="F17" s="5">
        <v>19.376000000000001</v>
      </c>
      <c r="G17" s="5">
        <v>27.463000000000001</v>
      </c>
      <c r="H17" s="6">
        <v>305.89999999999998</v>
      </c>
      <c r="I17" s="5">
        <v>1103.663</v>
      </c>
      <c r="J17" s="7">
        <v>1.056261574074074E-3</v>
      </c>
    </row>
    <row r="18" spans="1:10" x14ac:dyDescent="0.3">
      <c r="A18" s="3">
        <v>13</v>
      </c>
      <c r="B18" s="4" t="s">
        <v>243</v>
      </c>
      <c r="C18" s="5">
        <v>91.3</v>
      </c>
      <c r="D18" s="5">
        <v>25.283999999999999</v>
      </c>
      <c r="E18" s="5">
        <v>18.866</v>
      </c>
      <c r="F18" s="5">
        <v>19.701000000000001</v>
      </c>
      <c r="G18" s="5">
        <v>27.449000000000002</v>
      </c>
      <c r="H18" s="6">
        <v>310.3</v>
      </c>
      <c r="I18" s="5">
        <v>1194.963</v>
      </c>
      <c r="J18" s="7">
        <v>1.0567129629629631E-3</v>
      </c>
    </row>
    <row r="19" spans="1:10" x14ac:dyDescent="0.3">
      <c r="A19" s="3">
        <v>14</v>
      </c>
      <c r="B19" s="4" t="s">
        <v>382</v>
      </c>
      <c r="C19" s="5">
        <v>91.521000000000001</v>
      </c>
      <c r="D19" s="5">
        <v>25.45</v>
      </c>
      <c r="E19" s="5">
        <v>18.93</v>
      </c>
      <c r="F19" s="5">
        <v>19.613</v>
      </c>
      <c r="G19" s="5">
        <v>27.527999999999999</v>
      </c>
      <c r="H19" s="6">
        <v>301.60000000000002</v>
      </c>
      <c r="I19" s="5">
        <v>1286.4839999999999</v>
      </c>
      <c r="J19" s="7">
        <v>1.0592708333333331E-3</v>
      </c>
    </row>
    <row r="20" spans="1:10" x14ac:dyDescent="0.3">
      <c r="A20" s="3">
        <v>15</v>
      </c>
      <c r="B20" s="4" t="s">
        <v>383</v>
      </c>
      <c r="C20" s="5">
        <v>91.522000000000006</v>
      </c>
      <c r="D20" s="5">
        <v>25.417999999999999</v>
      </c>
      <c r="E20" s="5">
        <v>18.956</v>
      </c>
      <c r="F20" s="5">
        <v>19.454999999999998</v>
      </c>
      <c r="G20" s="5">
        <v>27.693000000000001</v>
      </c>
      <c r="H20" s="6">
        <v>304.2</v>
      </c>
      <c r="I20" s="5">
        <v>1378.0060000000001</v>
      </c>
      <c r="J20" s="7">
        <v>1.059282407407407E-3</v>
      </c>
    </row>
    <row r="21" spans="1:10" x14ac:dyDescent="0.3">
      <c r="A21" s="3">
        <v>16</v>
      </c>
      <c r="B21" s="4" t="s">
        <v>384</v>
      </c>
      <c r="C21" s="5">
        <v>91.525000000000006</v>
      </c>
      <c r="D21" s="5">
        <v>25.443000000000001</v>
      </c>
      <c r="E21" s="5">
        <v>18.971</v>
      </c>
      <c r="F21" s="5">
        <v>19.529</v>
      </c>
      <c r="G21" s="5">
        <v>27.582000000000001</v>
      </c>
      <c r="H21" s="6">
        <v>310.3</v>
      </c>
      <c r="I21" s="5">
        <v>1469.5309999999999</v>
      </c>
      <c r="J21" s="7">
        <v>1.0593171296296301E-3</v>
      </c>
    </row>
    <row r="22" spans="1:10" x14ac:dyDescent="0.3">
      <c r="A22" s="3">
        <v>17</v>
      </c>
      <c r="B22" s="4" t="s">
        <v>275</v>
      </c>
      <c r="C22" s="5">
        <v>91.197999999999993</v>
      </c>
      <c r="D22" s="5">
        <v>25.346</v>
      </c>
      <c r="E22" s="5">
        <v>18.879000000000001</v>
      </c>
      <c r="F22" s="5">
        <v>19.369</v>
      </c>
      <c r="G22" s="5">
        <v>27.603999999999999</v>
      </c>
      <c r="H22" s="6">
        <v>309.39999999999998</v>
      </c>
      <c r="I22" s="5">
        <v>1560.729</v>
      </c>
      <c r="J22" s="7">
        <v>1.0555324074074069E-3</v>
      </c>
    </row>
    <row r="23" spans="1:10" x14ac:dyDescent="0.3">
      <c r="A23" s="3">
        <v>18</v>
      </c>
      <c r="B23" s="4" t="s">
        <v>385</v>
      </c>
      <c r="C23" s="5">
        <v>91.256</v>
      </c>
      <c r="D23" s="5">
        <v>25.324999999999999</v>
      </c>
      <c r="E23" s="5">
        <v>18.936</v>
      </c>
      <c r="F23" s="5">
        <v>19.401</v>
      </c>
      <c r="G23" s="5">
        <v>27.594000000000001</v>
      </c>
      <c r="H23" s="6">
        <v>309.39999999999998</v>
      </c>
      <c r="I23" s="5">
        <v>1651.9849999999999</v>
      </c>
      <c r="J23" s="7">
        <v>1.0562037037037039E-3</v>
      </c>
    </row>
    <row r="24" spans="1:10" x14ac:dyDescent="0.3">
      <c r="A24" s="3">
        <v>19</v>
      </c>
      <c r="B24" s="4" t="s">
        <v>385</v>
      </c>
      <c r="C24" s="5">
        <v>91.256</v>
      </c>
      <c r="D24" s="5">
        <v>25.503</v>
      </c>
      <c r="E24" s="5">
        <v>18.824999999999999</v>
      </c>
      <c r="F24" s="5">
        <v>19.475000000000001</v>
      </c>
      <c r="G24" s="5">
        <v>27.452999999999999</v>
      </c>
      <c r="H24" s="6">
        <v>304.2</v>
      </c>
      <c r="I24" s="5">
        <v>1743.241</v>
      </c>
      <c r="J24" s="7">
        <v>1.0562037037037039E-3</v>
      </c>
    </row>
    <row r="25" spans="1:10" x14ac:dyDescent="0.3">
      <c r="A25" s="3">
        <v>20</v>
      </c>
      <c r="B25" s="4" t="s">
        <v>386</v>
      </c>
      <c r="C25" s="5">
        <v>91.706000000000003</v>
      </c>
      <c r="D25" s="5">
        <v>25.46</v>
      </c>
      <c r="E25" s="5">
        <v>19.026</v>
      </c>
      <c r="F25" s="5">
        <v>19.550999999999998</v>
      </c>
      <c r="G25" s="5">
        <v>27.669</v>
      </c>
      <c r="H25" s="6">
        <v>309.39999999999998</v>
      </c>
      <c r="I25" s="5">
        <v>1834.9469999999999</v>
      </c>
      <c r="J25" s="7">
        <v>1.0614120370370369E-3</v>
      </c>
    </row>
    <row r="26" spans="1:10" x14ac:dyDescent="0.3">
      <c r="A26" s="3">
        <v>21</v>
      </c>
      <c r="B26" s="4" t="s">
        <v>311</v>
      </c>
      <c r="C26" s="5">
        <v>91.722999999999999</v>
      </c>
      <c r="D26" s="5">
        <v>25.456</v>
      </c>
      <c r="E26" s="5">
        <v>18.975000000000001</v>
      </c>
      <c r="F26" s="5">
        <v>19.690000000000001</v>
      </c>
      <c r="G26" s="5">
        <v>27.602</v>
      </c>
      <c r="H26" s="6">
        <v>306.8</v>
      </c>
      <c r="I26" s="5">
        <v>1926.67</v>
      </c>
      <c r="J26" s="7">
        <v>1.061608796296296E-3</v>
      </c>
    </row>
    <row r="27" spans="1:10" x14ac:dyDescent="0.3">
      <c r="A27" s="3">
        <v>22</v>
      </c>
      <c r="B27" s="4" t="s">
        <v>387</v>
      </c>
      <c r="C27" s="5">
        <v>91.296000000000006</v>
      </c>
      <c r="D27" s="5">
        <v>25.356000000000002</v>
      </c>
      <c r="E27" s="5">
        <v>18.998999999999999</v>
      </c>
      <c r="F27" s="5">
        <v>19.420999999999999</v>
      </c>
      <c r="G27" s="5">
        <v>27.52</v>
      </c>
      <c r="H27" s="6">
        <v>312.10000000000002</v>
      </c>
      <c r="I27" s="5">
        <v>2017.9659999999999</v>
      </c>
      <c r="J27" s="7">
        <v>1.0566666666666669E-3</v>
      </c>
    </row>
    <row r="28" spans="1:10" x14ac:dyDescent="0.3">
      <c r="A28" s="3">
        <v>23</v>
      </c>
      <c r="B28" s="4" t="s">
        <v>388</v>
      </c>
      <c r="C28" s="5">
        <v>91.278999999999996</v>
      </c>
      <c r="D28" s="5">
        <v>25.462</v>
      </c>
      <c r="E28" s="5">
        <v>18.779</v>
      </c>
      <c r="F28" s="5">
        <v>19.489999999999998</v>
      </c>
      <c r="G28" s="5">
        <v>27.547999999999998</v>
      </c>
      <c r="H28" s="6">
        <v>310.3</v>
      </c>
      <c r="I28" s="5">
        <v>2109.2449999999999</v>
      </c>
      <c r="J28" s="7">
        <v>1.056469907407407E-3</v>
      </c>
    </row>
    <row r="29" spans="1:10" x14ac:dyDescent="0.3">
      <c r="A29" s="3">
        <v>24</v>
      </c>
      <c r="B29" s="4" t="s">
        <v>389</v>
      </c>
      <c r="C29" s="5">
        <v>91.179000000000002</v>
      </c>
      <c r="D29" s="5">
        <v>25.245000000000001</v>
      </c>
      <c r="E29" s="5">
        <v>18.794</v>
      </c>
      <c r="F29" s="5">
        <v>19.556000000000001</v>
      </c>
      <c r="G29" s="5">
        <v>27.584</v>
      </c>
      <c r="H29" s="6">
        <v>313.89999999999998</v>
      </c>
      <c r="I29" s="5">
        <v>2200.424</v>
      </c>
      <c r="J29" s="7">
        <v>1.0553125E-3</v>
      </c>
    </row>
    <row r="30" spans="1:10" x14ac:dyDescent="0.3">
      <c r="A30" s="3">
        <v>25</v>
      </c>
      <c r="B30" s="4" t="s">
        <v>390</v>
      </c>
      <c r="C30" s="5">
        <v>91.438000000000002</v>
      </c>
      <c r="D30" s="5">
        <v>25.385000000000002</v>
      </c>
      <c r="E30" s="5">
        <v>18.829999999999998</v>
      </c>
      <c r="F30" s="5">
        <v>19.489000000000001</v>
      </c>
      <c r="G30" s="5">
        <v>27.734000000000002</v>
      </c>
      <c r="H30" s="6">
        <v>312.10000000000002</v>
      </c>
      <c r="I30" s="5">
        <v>2291.8620000000001</v>
      </c>
      <c r="J30" s="7">
        <v>1.0583101851851849E-3</v>
      </c>
    </row>
    <row r="31" spans="1:10" x14ac:dyDescent="0.3">
      <c r="A31" s="3">
        <v>26</v>
      </c>
      <c r="B31" s="4" t="s">
        <v>391</v>
      </c>
      <c r="C31" s="5">
        <v>91.662999999999997</v>
      </c>
      <c r="D31" s="5">
        <v>25.617999999999999</v>
      </c>
      <c r="E31" s="5">
        <v>18.943000000000001</v>
      </c>
      <c r="F31" s="5">
        <v>19.445</v>
      </c>
      <c r="G31" s="5">
        <v>27.657</v>
      </c>
      <c r="H31" s="6">
        <v>306.8</v>
      </c>
      <c r="I31" s="5">
        <v>2383.5250000000001</v>
      </c>
      <c r="J31" s="7">
        <v>1.0609143518518519E-3</v>
      </c>
    </row>
    <row r="32" spans="1:10" x14ac:dyDescent="0.3">
      <c r="A32" s="3">
        <v>27</v>
      </c>
      <c r="B32" s="4" t="s">
        <v>392</v>
      </c>
      <c r="C32" s="5">
        <v>91.069000000000003</v>
      </c>
      <c r="D32" s="5">
        <v>25.286000000000001</v>
      </c>
      <c r="E32" s="5">
        <v>18.905000000000001</v>
      </c>
      <c r="F32" s="5">
        <v>19.388999999999999</v>
      </c>
      <c r="G32" s="5">
        <v>27.489000000000001</v>
      </c>
      <c r="H32" s="6">
        <v>311.2</v>
      </c>
      <c r="I32" s="5">
        <v>2474.5940000000001</v>
      </c>
      <c r="J32" s="7">
        <v>1.054039351851852E-3</v>
      </c>
    </row>
  </sheetData>
  <autoFilter ref="A5:J32" xr:uid="{00000000-0009-0000-0000-00000D000000}"/>
  <mergeCells count="1">
    <mergeCell ref="A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393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238</v>
      </c>
      <c r="C3" s="1" t="s">
        <v>3</v>
      </c>
      <c r="D3" s="1" t="s">
        <v>239</v>
      </c>
      <c r="E3" s="1" t="s">
        <v>5</v>
      </c>
      <c r="F3" s="1">
        <v>27</v>
      </c>
      <c r="G3" s="1" t="s">
        <v>6</v>
      </c>
      <c r="H3" s="1">
        <v>26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394</v>
      </c>
      <c r="C6" s="5">
        <v>98.11</v>
      </c>
      <c r="D6" s="5">
        <v>30.803000000000001</v>
      </c>
      <c r="E6" s="5">
        <v>19.486999999999998</v>
      </c>
      <c r="F6" s="5">
        <v>19.798999999999999</v>
      </c>
      <c r="G6" s="5">
        <v>28.021000000000001</v>
      </c>
      <c r="H6" s="6">
        <v>268.60000000000002</v>
      </c>
      <c r="I6" s="5">
        <v>98.11</v>
      </c>
      <c r="J6" s="7">
        <v>1.1355324074074069E-3</v>
      </c>
    </row>
    <row r="7" spans="1:10" x14ac:dyDescent="0.3">
      <c r="A7" s="3">
        <v>2</v>
      </c>
      <c r="B7" s="4" t="s">
        <v>395</v>
      </c>
      <c r="C7" s="5">
        <v>91.983000000000004</v>
      </c>
      <c r="D7" s="5">
        <v>25.643999999999998</v>
      </c>
      <c r="E7" s="5">
        <v>18.972000000000001</v>
      </c>
      <c r="F7" s="5">
        <v>19.544</v>
      </c>
      <c r="G7" s="5">
        <v>27.823</v>
      </c>
      <c r="H7" s="6">
        <v>304.2</v>
      </c>
      <c r="I7" s="5">
        <v>190.09299999999999</v>
      </c>
      <c r="J7" s="7">
        <v>1.0646180555555561E-3</v>
      </c>
    </row>
    <row r="8" spans="1:10" x14ac:dyDescent="0.3">
      <c r="A8" s="3">
        <v>3</v>
      </c>
      <c r="B8" s="4" t="s">
        <v>396</v>
      </c>
      <c r="C8" s="5">
        <v>91.677000000000007</v>
      </c>
      <c r="D8" s="5">
        <v>25.591999999999999</v>
      </c>
      <c r="E8" s="5">
        <v>18.780999999999999</v>
      </c>
      <c r="F8" s="5">
        <v>19.556999999999999</v>
      </c>
      <c r="G8" s="5">
        <v>27.747</v>
      </c>
      <c r="H8" s="6">
        <v>303.3</v>
      </c>
      <c r="I8" s="5">
        <v>281.77</v>
      </c>
      <c r="J8" s="7">
        <v>1.061076388888889E-3</v>
      </c>
    </row>
    <row r="9" spans="1:10" x14ac:dyDescent="0.3">
      <c r="A9" s="3">
        <v>4</v>
      </c>
      <c r="B9" s="4" t="s">
        <v>292</v>
      </c>
      <c r="C9" s="5">
        <v>91.150999999999996</v>
      </c>
      <c r="D9" s="5">
        <v>25.462</v>
      </c>
      <c r="E9" s="5">
        <v>18.701000000000001</v>
      </c>
      <c r="F9" s="5">
        <v>19.481000000000002</v>
      </c>
      <c r="G9" s="5">
        <v>27.507000000000001</v>
      </c>
      <c r="H9" s="6">
        <v>305.89999999999998</v>
      </c>
      <c r="I9" s="5">
        <v>372.92099999999999</v>
      </c>
      <c r="J9" s="7">
        <v>1.054988425925926E-3</v>
      </c>
    </row>
    <row r="10" spans="1:10" x14ac:dyDescent="0.3">
      <c r="A10" s="3">
        <v>5</v>
      </c>
      <c r="B10" s="4" t="s">
        <v>306</v>
      </c>
      <c r="C10" s="5">
        <v>91.141000000000005</v>
      </c>
      <c r="D10" s="5">
        <v>25.457999999999998</v>
      </c>
      <c r="E10" s="5">
        <v>18.742000000000001</v>
      </c>
      <c r="F10" s="5">
        <v>19.504999999999999</v>
      </c>
      <c r="G10" s="5">
        <v>27.436</v>
      </c>
      <c r="H10" s="6">
        <v>301.60000000000002</v>
      </c>
      <c r="I10" s="5">
        <v>464.06200000000001</v>
      </c>
      <c r="J10" s="7">
        <v>1.0548726851851849E-3</v>
      </c>
    </row>
    <row r="11" spans="1:10" x14ac:dyDescent="0.3">
      <c r="A11" s="3">
        <v>6</v>
      </c>
      <c r="B11" s="4" t="s">
        <v>332</v>
      </c>
      <c r="C11" s="5">
        <v>91.19</v>
      </c>
      <c r="D11" s="5">
        <v>25.466999999999999</v>
      </c>
      <c r="E11" s="5">
        <v>18.646999999999998</v>
      </c>
      <c r="F11" s="5">
        <v>19.623999999999999</v>
      </c>
      <c r="G11" s="5">
        <v>27.452000000000002</v>
      </c>
      <c r="H11" s="6">
        <v>307.60000000000002</v>
      </c>
      <c r="I11" s="5">
        <v>555.25199999999995</v>
      </c>
      <c r="J11" s="7">
        <v>1.055439814814815E-3</v>
      </c>
    </row>
    <row r="12" spans="1:10" x14ac:dyDescent="0.3">
      <c r="A12" s="3">
        <v>7</v>
      </c>
      <c r="B12" s="4" t="s">
        <v>397</v>
      </c>
      <c r="C12" s="5">
        <v>91.149000000000001</v>
      </c>
      <c r="D12" s="5">
        <v>25.385999999999999</v>
      </c>
      <c r="E12" s="5">
        <v>18.646999999999998</v>
      </c>
      <c r="F12" s="5">
        <v>19.442</v>
      </c>
      <c r="G12" s="5">
        <v>27.673999999999999</v>
      </c>
      <c r="H12" s="6">
        <v>306.8</v>
      </c>
      <c r="I12" s="5">
        <v>646.40099999999995</v>
      </c>
      <c r="J12" s="7">
        <v>1.0549652777777779E-3</v>
      </c>
    </row>
    <row r="13" spans="1:10" x14ac:dyDescent="0.3">
      <c r="A13" s="3">
        <v>8</v>
      </c>
      <c r="B13" s="4" t="s">
        <v>398</v>
      </c>
      <c r="C13" s="5">
        <v>91.299000000000007</v>
      </c>
      <c r="D13" s="5">
        <v>25.597999999999999</v>
      </c>
      <c r="E13" s="5">
        <v>18.724</v>
      </c>
      <c r="F13" s="5">
        <v>19.385000000000002</v>
      </c>
      <c r="G13" s="5">
        <v>27.591999999999999</v>
      </c>
      <c r="H13" s="6">
        <v>303.3</v>
      </c>
      <c r="I13" s="5">
        <v>737.7</v>
      </c>
      <c r="J13" s="7">
        <v>1.0567013888888889E-3</v>
      </c>
    </row>
    <row r="14" spans="1:10" x14ac:dyDescent="0.3">
      <c r="A14" s="3">
        <v>9</v>
      </c>
      <c r="B14" s="4" t="s">
        <v>399</v>
      </c>
      <c r="C14" s="5">
        <v>90.962999999999994</v>
      </c>
      <c r="D14" s="5">
        <v>25.446000000000002</v>
      </c>
      <c r="E14" s="5">
        <v>18.649999999999999</v>
      </c>
      <c r="F14" s="5">
        <v>19.427</v>
      </c>
      <c r="G14" s="5">
        <v>27.44</v>
      </c>
      <c r="H14" s="6">
        <v>305.89999999999998</v>
      </c>
      <c r="I14" s="5">
        <v>828.66300000000001</v>
      </c>
      <c r="J14" s="7">
        <v>1.0528124999999999E-3</v>
      </c>
    </row>
    <row r="15" spans="1:10" x14ac:dyDescent="0.3">
      <c r="A15" s="3">
        <v>10</v>
      </c>
      <c r="B15" s="4" t="s">
        <v>400</v>
      </c>
      <c r="C15" s="5">
        <v>91.227999999999994</v>
      </c>
      <c r="D15" s="5">
        <v>25.506</v>
      </c>
      <c r="E15" s="5">
        <v>18.876999999999999</v>
      </c>
      <c r="F15" s="5">
        <v>19.423999999999999</v>
      </c>
      <c r="G15" s="5">
        <v>27.420999999999999</v>
      </c>
      <c r="H15" s="6">
        <v>305.89999999999998</v>
      </c>
      <c r="I15" s="5">
        <v>919.89099999999996</v>
      </c>
      <c r="J15" s="7">
        <v>1.0558796296296291E-3</v>
      </c>
    </row>
    <row r="16" spans="1:10" x14ac:dyDescent="0.3">
      <c r="A16" s="3">
        <v>11</v>
      </c>
      <c r="B16" s="4" t="s">
        <v>401</v>
      </c>
      <c r="C16" s="5">
        <v>90.953999999999994</v>
      </c>
      <c r="D16" s="5">
        <v>25.324000000000002</v>
      </c>
      <c r="E16" s="5">
        <v>18.917999999999999</v>
      </c>
      <c r="F16" s="5">
        <v>19.364999999999998</v>
      </c>
      <c r="G16" s="5">
        <v>27.347000000000001</v>
      </c>
      <c r="H16" s="6">
        <v>307.60000000000002</v>
      </c>
      <c r="I16" s="5">
        <v>1010.845</v>
      </c>
      <c r="J16" s="7">
        <v>1.052708333333333E-3</v>
      </c>
    </row>
    <row r="17" spans="1:10" x14ac:dyDescent="0.3">
      <c r="A17" s="3">
        <v>12</v>
      </c>
      <c r="B17" s="4" t="s">
        <v>329</v>
      </c>
      <c r="C17" s="5">
        <v>91.177999999999997</v>
      </c>
      <c r="D17" s="5">
        <v>25.684999999999999</v>
      </c>
      <c r="E17" s="5">
        <v>18.748999999999999</v>
      </c>
      <c r="F17" s="5">
        <v>19.375</v>
      </c>
      <c r="G17" s="5">
        <v>27.369</v>
      </c>
      <c r="H17" s="6">
        <v>307.60000000000002</v>
      </c>
      <c r="I17" s="5">
        <v>1102.0229999999999</v>
      </c>
      <c r="J17" s="7">
        <v>1.0553009259259259E-3</v>
      </c>
    </row>
    <row r="18" spans="1:10" x14ac:dyDescent="0.3">
      <c r="A18" s="3">
        <v>13</v>
      </c>
      <c r="B18" s="4" t="s">
        <v>402</v>
      </c>
      <c r="C18" s="5">
        <v>91.356999999999999</v>
      </c>
      <c r="D18" s="5">
        <v>25.396000000000001</v>
      </c>
      <c r="E18" s="5">
        <v>18.754000000000001</v>
      </c>
      <c r="F18" s="5">
        <v>19.773</v>
      </c>
      <c r="G18" s="5">
        <v>27.434000000000001</v>
      </c>
      <c r="H18" s="6">
        <v>305.89999999999998</v>
      </c>
      <c r="I18" s="5">
        <v>1193.3800000000001</v>
      </c>
      <c r="J18" s="7">
        <v>1.0573726851851851E-3</v>
      </c>
    </row>
    <row r="19" spans="1:10" x14ac:dyDescent="0.3">
      <c r="A19" s="3">
        <v>14</v>
      </c>
      <c r="B19" s="4" t="s">
        <v>403</v>
      </c>
      <c r="C19" s="5">
        <v>92.417000000000002</v>
      </c>
      <c r="D19" s="5">
        <v>26.38</v>
      </c>
      <c r="E19" s="5">
        <v>18.794</v>
      </c>
      <c r="F19" s="5">
        <v>19.739000000000001</v>
      </c>
      <c r="G19" s="5">
        <v>27.504000000000001</v>
      </c>
      <c r="H19" s="6">
        <v>308.5</v>
      </c>
      <c r="I19" s="5">
        <v>1285.797</v>
      </c>
      <c r="J19" s="7">
        <v>1.0696412037037039E-3</v>
      </c>
    </row>
    <row r="20" spans="1:10" x14ac:dyDescent="0.3">
      <c r="A20" s="3">
        <v>15</v>
      </c>
      <c r="B20" s="4" t="s">
        <v>404</v>
      </c>
      <c r="C20" s="5">
        <v>91.159000000000006</v>
      </c>
      <c r="D20" s="5">
        <v>25.370999999999999</v>
      </c>
      <c r="E20" s="5">
        <v>18.811</v>
      </c>
      <c r="F20" s="5">
        <v>19.561</v>
      </c>
      <c r="G20" s="5">
        <v>27.416</v>
      </c>
      <c r="H20" s="6">
        <v>305.89999999999998</v>
      </c>
      <c r="I20" s="5">
        <v>1376.9559999999999</v>
      </c>
      <c r="J20" s="7">
        <v>1.055081018518519E-3</v>
      </c>
    </row>
    <row r="21" spans="1:10" x14ac:dyDescent="0.3">
      <c r="A21" s="3">
        <v>16</v>
      </c>
      <c r="B21" s="4" t="s">
        <v>405</v>
      </c>
      <c r="C21" s="5">
        <v>91.233999999999995</v>
      </c>
      <c r="D21" s="5">
        <v>25.472999999999999</v>
      </c>
      <c r="E21" s="5">
        <v>18.806000000000001</v>
      </c>
      <c r="F21" s="5">
        <v>19.5</v>
      </c>
      <c r="G21" s="5">
        <v>27.454999999999998</v>
      </c>
      <c r="H21" s="6">
        <v>305.89999999999998</v>
      </c>
      <c r="I21" s="5">
        <v>1468.19</v>
      </c>
      <c r="J21" s="7">
        <v>1.055949074074074E-3</v>
      </c>
    </row>
    <row r="22" spans="1:10" x14ac:dyDescent="0.3">
      <c r="A22" s="3">
        <v>17</v>
      </c>
      <c r="B22" s="4" t="s">
        <v>406</v>
      </c>
      <c r="C22" s="5">
        <v>91.453999999999994</v>
      </c>
      <c r="D22" s="5">
        <v>25.481999999999999</v>
      </c>
      <c r="E22" s="5">
        <v>18.841999999999999</v>
      </c>
      <c r="F22" s="5">
        <v>19.530999999999999</v>
      </c>
      <c r="G22" s="5">
        <v>27.599</v>
      </c>
      <c r="H22" s="6">
        <v>307.60000000000002</v>
      </c>
      <c r="I22" s="5">
        <v>1559.644</v>
      </c>
      <c r="J22" s="7">
        <v>1.05849537037037E-3</v>
      </c>
    </row>
    <row r="23" spans="1:10" x14ac:dyDescent="0.3">
      <c r="A23" s="3">
        <v>18</v>
      </c>
      <c r="B23" s="4" t="s">
        <v>407</v>
      </c>
      <c r="C23" s="5">
        <v>91.481999999999999</v>
      </c>
      <c r="D23" s="5">
        <v>25.454000000000001</v>
      </c>
      <c r="E23" s="5">
        <v>18.791</v>
      </c>
      <c r="F23" s="5">
        <v>19.597999999999999</v>
      </c>
      <c r="G23" s="5">
        <v>27.638999999999999</v>
      </c>
      <c r="H23" s="6">
        <v>305</v>
      </c>
      <c r="I23" s="5">
        <v>1651.126</v>
      </c>
      <c r="J23" s="7">
        <v>1.058819444444444E-3</v>
      </c>
    </row>
    <row r="24" spans="1:10" x14ac:dyDescent="0.3">
      <c r="A24" s="3">
        <v>19</v>
      </c>
      <c r="B24" s="4" t="s">
        <v>408</v>
      </c>
      <c r="C24" s="5">
        <v>91.691999999999993</v>
      </c>
      <c r="D24" s="5">
        <v>25.545999999999999</v>
      </c>
      <c r="E24" s="5">
        <v>18.974</v>
      </c>
      <c r="F24" s="5">
        <v>19.526</v>
      </c>
      <c r="G24" s="5">
        <v>27.646000000000001</v>
      </c>
      <c r="H24" s="6">
        <v>308.5</v>
      </c>
      <c r="I24" s="5">
        <v>1742.818</v>
      </c>
      <c r="J24" s="7">
        <v>1.0612499999999999E-3</v>
      </c>
    </row>
    <row r="25" spans="1:10" x14ac:dyDescent="0.3">
      <c r="A25" s="3">
        <v>20</v>
      </c>
      <c r="B25" s="4" t="s">
        <v>409</v>
      </c>
      <c r="C25" s="5">
        <v>92.01</v>
      </c>
      <c r="D25" s="5">
        <v>25.655999999999999</v>
      </c>
      <c r="E25" s="5">
        <v>18.972000000000001</v>
      </c>
      <c r="F25" s="5">
        <v>19.626999999999999</v>
      </c>
      <c r="G25" s="5">
        <v>27.754999999999999</v>
      </c>
      <c r="H25" s="6">
        <v>307.60000000000002</v>
      </c>
      <c r="I25" s="5">
        <v>1834.828</v>
      </c>
      <c r="J25" s="7">
        <v>1.0649305555555559E-3</v>
      </c>
    </row>
    <row r="26" spans="1:10" x14ac:dyDescent="0.3">
      <c r="A26" s="3">
        <v>21</v>
      </c>
      <c r="B26" s="4" t="s">
        <v>410</v>
      </c>
      <c r="C26" s="5">
        <v>92.45</v>
      </c>
      <c r="D26" s="5">
        <v>25.937999999999999</v>
      </c>
      <c r="E26" s="5">
        <v>18.972999999999999</v>
      </c>
      <c r="F26" s="5">
        <v>19.722999999999999</v>
      </c>
      <c r="G26" s="5">
        <v>27.815999999999999</v>
      </c>
      <c r="H26" s="6">
        <v>294.2</v>
      </c>
      <c r="I26" s="5">
        <v>1927.278</v>
      </c>
      <c r="J26" s="7">
        <v>1.0700231481481481E-3</v>
      </c>
    </row>
    <row r="27" spans="1:10" x14ac:dyDescent="0.3">
      <c r="A27" s="3">
        <v>22</v>
      </c>
      <c r="B27" s="4" t="s">
        <v>411</v>
      </c>
      <c r="C27" s="5">
        <v>91.753</v>
      </c>
      <c r="D27" s="5">
        <v>25.491</v>
      </c>
      <c r="E27" s="5">
        <v>19.010999999999999</v>
      </c>
      <c r="F27" s="5">
        <v>19.582000000000001</v>
      </c>
      <c r="G27" s="5">
        <v>27.669</v>
      </c>
      <c r="H27" s="6">
        <v>306.8</v>
      </c>
      <c r="I27" s="5">
        <v>2019.0309999999999</v>
      </c>
      <c r="J27" s="7">
        <v>1.0619560185185189E-3</v>
      </c>
    </row>
    <row r="28" spans="1:10" x14ac:dyDescent="0.3">
      <c r="A28" s="3">
        <v>23</v>
      </c>
      <c r="B28" s="4" t="s">
        <v>412</v>
      </c>
      <c r="C28" s="5">
        <v>91.650999999999996</v>
      </c>
      <c r="D28" s="5">
        <v>25.506</v>
      </c>
      <c r="E28" s="5">
        <v>18.919</v>
      </c>
      <c r="F28" s="5">
        <v>19.548999999999999</v>
      </c>
      <c r="G28" s="5">
        <v>27.677</v>
      </c>
      <c r="H28" s="6">
        <v>305</v>
      </c>
      <c r="I28" s="5">
        <v>2110.6819999999998</v>
      </c>
      <c r="J28" s="7">
        <v>1.060775462962963E-3</v>
      </c>
    </row>
    <row r="29" spans="1:10" x14ac:dyDescent="0.3">
      <c r="A29" s="3">
        <v>24</v>
      </c>
      <c r="B29" s="4" t="s">
        <v>413</v>
      </c>
      <c r="C29" s="5">
        <v>91.977000000000004</v>
      </c>
      <c r="D29" s="5">
        <v>25.654</v>
      </c>
      <c r="E29" s="5">
        <v>19.006</v>
      </c>
      <c r="F29" s="5">
        <v>19.622</v>
      </c>
      <c r="G29" s="5">
        <v>27.695</v>
      </c>
      <c r="H29" s="6">
        <v>304.2</v>
      </c>
      <c r="I29" s="5">
        <v>2202.6590000000001</v>
      </c>
      <c r="J29" s="7">
        <v>1.0645486111111109E-3</v>
      </c>
    </row>
    <row r="30" spans="1:10" x14ac:dyDescent="0.3">
      <c r="A30" s="3">
        <v>25</v>
      </c>
      <c r="B30" s="4" t="s">
        <v>414</v>
      </c>
      <c r="C30" s="5">
        <v>91.816999999999993</v>
      </c>
      <c r="D30" s="5">
        <v>25.51</v>
      </c>
      <c r="E30" s="5">
        <v>18.920000000000002</v>
      </c>
      <c r="F30" s="5">
        <v>19.670000000000002</v>
      </c>
      <c r="G30" s="5">
        <v>27.716999999999999</v>
      </c>
      <c r="H30" s="6">
        <v>308.5</v>
      </c>
      <c r="I30" s="5">
        <v>2294.4760000000001</v>
      </c>
      <c r="J30" s="7">
        <v>1.0626967592592591E-3</v>
      </c>
    </row>
    <row r="31" spans="1:10" x14ac:dyDescent="0.3">
      <c r="A31" s="3">
        <v>26</v>
      </c>
      <c r="B31" s="4" t="s">
        <v>415</v>
      </c>
      <c r="C31" s="5">
        <v>92</v>
      </c>
      <c r="D31" s="5">
        <v>25.584</v>
      </c>
      <c r="E31" s="5">
        <v>19.033000000000001</v>
      </c>
      <c r="F31" s="5">
        <v>19.646999999999998</v>
      </c>
      <c r="G31" s="5">
        <v>27.736000000000001</v>
      </c>
      <c r="H31" s="6">
        <v>305.89999999999998</v>
      </c>
      <c r="I31" s="5">
        <v>2386.4760000000001</v>
      </c>
      <c r="J31" s="7">
        <v>1.0648148148148151E-3</v>
      </c>
    </row>
    <row r="32" spans="1:10" x14ac:dyDescent="0.3">
      <c r="A32" s="3">
        <v>27</v>
      </c>
      <c r="B32" s="4" t="s">
        <v>416</v>
      </c>
      <c r="C32" s="5">
        <v>91.768000000000001</v>
      </c>
      <c r="D32" s="5">
        <v>25.565000000000001</v>
      </c>
      <c r="E32" s="5">
        <v>18.893999999999998</v>
      </c>
      <c r="F32" s="5">
        <v>19.59</v>
      </c>
      <c r="G32" s="5">
        <v>27.719000000000001</v>
      </c>
      <c r="H32" s="6">
        <v>305.89999999999998</v>
      </c>
      <c r="I32" s="5">
        <v>2478.2440000000001</v>
      </c>
      <c r="J32" s="7">
        <v>1.0621296296296301E-3</v>
      </c>
    </row>
  </sheetData>
  <autoFilter ref="A5:J32" xr:uid="{00000000-0009-0000-0000-00000E000000}"/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417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418</v>
      </c>
      <c r="C3" s="1" t="s">
        <v>3</v>
      </c>
      <c r="D3" s="1" t="s">
        <v>322</v>
      </c>
      <c r="E3" s="1" t="s">
        <v>5</v>
      </c>
      <c r="F3" s="1">
        <v>27</v>
      </c>
      <c r="G3" s="1" t="s">
        <v>6</v>
      </c>
      <c r="H3" s="1">
        <v>23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419</v>
      </c>
      <c r="C6" s="5">
        <v>98.988</v>
      </c>
      <c r="D6" s="5">
        <v>31.195</v>
      </c>
      <c r="E6" s="5">
        <v>19.725000000000001</v>
      </c>
      <c r="F6" s="5">
        <v>19.888000000000002</v>
      </c>
      <c r="G6" s="5">
        <v>28.18</v>
      </c>
      <c r="H6" s="6">
        <v>272.7</v>
      </c>
      <c r="I6" s="5">
        <v>98.988</v>
      </c>
      <c r="J6" s="7">
        <v>1.145694444444444E-3</v>
      </c>
    </row>
    <row r="7" spans="1:10" x14ac:dyDescent="0.3">
      <c r="A7" s="3">
        <v>2</v>
      </c>
      <c r="B7" s="4" t="s">
        <v>420</v>
      </c>
      <c r="C7" s="5">
        <v>92.031999999999996</v>
      </c>
      <c r="D7" s="5">
        <v>26.04</v>
      </c>
      <c r="E7" s="5">
        <v>19.001999999999999</v>
      </c>
      <c r="F7" s="5">
        <v>19.45</v>
      </c>
      <c r="G7" s="5">
        <v>27.54</v>
      </c>
      <c r="H7" s="6">
        <v>311.2</v>
      </c>
      <c r="I7" s="5">
        <v>191.02</v>
      </c>
      <c r="J7" s="7">
        <v>1.0651851851851851E-3</v>
      </c>
    </row>
    <row r="8" spans="1:10" x14ac:dyDescent="0.3">
      <c r="A8" s="3">
        <v>3</v>
      </c>
      <c r="B8" s="4" t="s">
        <v>421</v>
      </c>
      <c r="C8" s="5">
        <v>91.593999999999994</v>
      </c>
      <c r="D8" s="5">
        <v>25.593</v>
      </c>
      <c r="E8" s="5">
        <v>19.052</v>
      </c>
      <c r="F8" s="5">
        <v>19.472999999999999</v>
      </c>
      <c r="G8" s="5">
        <v>27.475999999999999</v>
      </c>
      <c r="H8" s="6">
        <v>308.5</v>
      </c>
      <c r="I8" s="5">
        <v>282.61399999999998</v>
      </c>
      <c r="J8" s="7">
        <v>1.060115740740741E-3</v>
      </c>
    </row>
    <row r="9" spans="1:10" x14ac:dyDescent="0.3">
      <c r="A9" s="3">
        <v>4</v>
      </c>
      <c r="B9" s="4" t="s">
        <v>422</v>
      </c>
      <c r="C9" s="5">
        <v>91.254000000000005</v>
      </c>
      <c r="D9" s="5">
        <v>25.448</v>
      </c>
      <c r="E9" s="5">
        <v>18.989000000000001</v>
      </c>
      <c r="F9" s="5">
        <v>19.402000000000001</v>
      </c>
      <c r="G9" s="5">
        <v>27.414999999999999</v>
      </c>
      <c r="H9" s="6">
        <v>305</v>
      </c>
      <c r="I9" s="5">
        <v>373.86799999999999</v>
      </c>
      <c r="J9" s="7">
        <v>1.0561805555555561E-3</v>
      </c>
    </row>
    <row r="10" spans="1:10" x14ac:dyDescent="0.3">
      <c r="A10" s="3">
        <v>5</v>
      </c>
      <c r="B10" s="4" t="s">
        <v>423</v>
      </c>
      <c r="C10" s="5">
        <v>91.138999999999996</v>
      </c>
      <c r="D10" s="5">
        <v>25.306000000000001</v>
      </c>
      <c r="E10" s="5">
        <v>19.109000000000002</v>
      </c>
      <c r="F10" s="5">
        <v>19.396000000000001</v>
      </c>
      <c r="G10" s="5">
        <v>27.327999999999999</v>
      </c>
      <c r="H10" s="6">
        <v>305.89999999999998</v>
      </c>
      <c r="I10" s="5">
        <v>465.00700000000001</v>
      </c>
      <c r="J10" s="7">
        <v>1.0548495370370371E-3</v>
      </c>
    </row>
    <row r="11" spans="1:10" x14ac:dyDescent="0.3">
      <c r="A11" s="3">
        <v>6</v>
      </c>
      <c r="B11" s="4" t="s">
        <v>424</v>
      </c>
      <c r="C11" s="5">
        <v>90.97</v>
      </c>
      <c r="D11" s="5">
        <v>25.33</v>
      </c>
      <c r="E11" s="5">
        <v>18.943999999999999</v>
      </c>
      <c r="F11" s="5">
        <v>19.401</v>
      </c>
      <c r="G11" s="5">
        <v>27.295000000000002</v>
      </c>
      <c r="H11" s="6">
        <v>307.60000000000002</v>
      </c>
      <c r="I11" s="5">
        <v>555.97699999999998</v>
      </c>
      <c r="J11" s="7">
        <v>1.052893518518519E-3</v>
      </c>
    </row>
    <row r="12" spans="1:10" x14ac:dyDescent="0.3">
      <c r="A12" s="3">
        <v>7</v>
      </c>
      <c r="B12" s="4" t="s">
        <v>425</v>
      </c>
      <c r="C12" s="5">
        <v>91.302999999999997</v>
      </c>
      <c r="D12" s="5">
        <v>25.349</v>
      </c>
      <c r="E12" s="5">
        <v>18.809999999999999</v>
      </c>
      <c r="F12" s="5">
        <v>19.448</v>
      </c>
      <c r="G12" s="5">
        <v>27.696000000000002</v>
      </c>
      <c r="H12" s="6">
        <v>304.2</v>
      </c>
      <c r="I12" s="5">
        <v>647.28</v>
      </c>
      <c r="J12" s="7">
        <v>1.0567476851851851E-3</v>
      </c>
    </row>
    <row r="13" spans="1:10" x14ac:dyDescent="0.3">
      <c r="A13" s="3">
        <v>8</v>
      </c>
      <c r="B13" s="4" t="s">
        <v>426</v>
      </c>
      <c r="C13" s="5">
        <v>91.103999999999999</v>
      </c>
      <c r="D13" s="5">
        <v>25.335000000000001</v>
      </c>
      <c r="E13" s="5">
        <v>18.876999999999999</v>
      </c>
      <c r="F13" s="5">
        <v>19.459</v>
      </c>
      <c r="G13" s="5">
        <v>27.433</v>
      </c>
      <c r="H13" s="6">
        <v>310.3</v>
      </c>
      <c r="I13" s="5">
        <v>738.38400000000001</v>
      </c>
      <c r="J13" s="7">
        <v>1.054444444444444E-3</v>
      </c>
    </row>
    <row r="14" spans="1:10" x14ac:dyDescent="0.3">
      <c r="A14" s="3">
        <v>9</v>
      </c>
      <c r="B14" s="4" t="s">
        <v>330</v>
      </c>
      <c r="C14" s="5">
        <v>91.14</v>
      </c>
      <c r="D14" s="5">
        <v>25.390999999999998</v>
      </c>
      <c r="E14" s="5">
        <v>18.882000000000001</v>
      </c>
      <c r="F14" s="5">
        <v>19.468</v>
      </c>
      <c r="G14" s="5">
        <v>27.399000000000001</v>
      </c>
      <c r="H14" s="6">
        <v>311.2</v>
      </c>
      <c r="I14" s="5">
        <v>829.524</v>
      </c>
      <c r="J14" s="7">
        <v>1.054861111111111E-3</v>
      </c>
    </row>
    <row r="15" spans="1:10" x14ac:dyDescent="0.3">
      <c r="A15" s="3">
        <v>10</v>
      </c>
      <c r="B15" s="4" t="s">
        <v>427</v>
      </c>
      <c r="C15" s="5">
        <v>91.146000000000001</v>
      </c>
      <c r="D15" s="5">
        <v>25.363</v>
      </c>
      <c r="E15" s="5">
        <v>18.945</v>
      </c>
      <c r="F15" s="5">
        <v>19.393999999999998</v>
      </c>
      <c r="G15" s="5">
        <v>27.443999999999999</v>
      </c>
      <c r="H15" s="6">
        <v>307.60000000000002</v>
      </c>
      <c r="I15" s="5">
        <v>920.67</v>
      </c>
      <c r="J15" s="7">
        <v>1.054930555555555E-3</v>
      </c>
    </row>
    <row r="16" spans="1:10" x14ac:dyDescent="0.3">
      <c r="A16" s="3">
        <v>11</v>
      </c>
      <c r="B16" s="4" t="s">
        <v>428</v>
      </c>
      <c r="C16" s="5">
        <v>91.471000000000004</v>
      </c>
      <c r="D16" s="5">
        <v>25.302</v>
      </c>
      <c r="E16" s="5">
        <v>19.251000000000001</v>
      </c>
      <c r="F16" s="5">
        <v>19.483000000000001</v>
      </c>
      <c r="G16" s="5">
        <v>27.434999999999999</v>
      </c>
      <c r="H16" s="6">
        <v>311.2</v>
      </c>
      <c r="I16" s="5">
        <v>1012.141</v>
      </c>
      <c r="J16" s="7">
        <v>1.0586921296296299E-3</v>
      </c>
    </row>
    <row r="17" spans="1:10" x14ac:dyDescent="0.3">
      <c r="A17" s="3">
        <v>12</v>
      </c>
      <c r="B17" s="4" t="s">
        <v>429</v>
      </c>
      <c r="C17" s="5">
        <v>91.117999999999995</v>
      </c>
      <c r="D17" s="5">
        <v>25.331</v>
      </c>
      <c r="E17" s="5">
        <v>18.96</v>
      </c>
      <c r="F17" s="5">
        <v>19.422000000000001</v>
      </c>
      <c r="G17" s="5">
        <v>27.405000000000001</v>
      </c>
      <c r="H17" s="6">
        <v>308.5</v>
      </c>
      <c r="I17" s="5">
        <v>1103.259</v>
      </c>
      <c r="J17" s="7">
        <v>1.054606481481481E-3</v>
      </c>
    </row>
    <row r="18" spans="1:10" x14ac:dyDescent="0.3">
      <c r="A18" s="3">
        <v>13</v>
      </c>
      <c r="B18" s="4" t="s">
        <v>430</v>
      </c>
      <c r="C18" s="5">
        <v>91.477000000000004</v>
      </c>
      <c r="D18" s="5">
        <v>25.323</v>
      </c>
      <c r="E18" s="5">
        <v>19.024999999999999</v>
      </c>
      <c r="F18" s="5">
        <v>19.71</v>
      </c>
      <c r="G18" s="5">
        <v>27.419</v>
      </c>
      <c r="H18" s="6">
        <v>309.39999999999998</v>
      </c>
      <c r="I18" s="5">
        <v>1194.7360000000001</v>
      </c>
      <c r="J18" s="7">
        <v>1.0587615740740739E-3</v>
      </c>
    </row>
    <row r="19" spans="1:10" x14ac:dyDescent="0.3">
      <c r="A19" s="3">
        <v>14</v>
      </c>
      <c r="B19" s="4" t="s">
        <v>384</v>
      </c>
      <c r="C19" s="5">
        <v>91.525000000000006</v>
      </c>
      <c r="D19" s="5">
        <v>25.484000000000002</v>
      </c>
      <c r="E19" s="5">
        <v>18.922999999999998</v>
      </c>
      <c r="F19" s="5">
        <v>19.622</v>
      </c>
      <c r="G19" s="5">
        <v>27.495999999999999</v>
      </c>
      <c r="H19" s="6">
        <v>313</v>
      </c>
      <c r="I19" s="5">
        <v>1286.261</v>
      </c>
      <c r="J19" s="7">
        <v>1.0593171296296301E-3</v>
      </c>
    </row>
    <row r="20" spans="1:10" x14ac:dyDescent="0.3">
      <c r="A20" s="3">
        <v>15</v>
      </c>
      <c r="B20" s="4" t="s">
        <v>431</v>
      </c>
      <c r="C20" s="5">
        <v>92.087000000000003</v>
      </c>
      <c r="D20" s="5">
        <v>25.355</v>
      </c>
      <c r="E20" s="5">
        <v>19.265999999999998</v>
      </c>
      <c r="F20" s="5">
        <v>19.824999999999999</v>
      </c>
      <c r="G20" s="5">
        <v>27.640999999999998</v>
      </c>
      <c r="H20" s="6">
        <v>310.3</v>
      </c>
      <c r="I20" s="5">
        <v>1378.348</v>
      </c>
      <c r="J20" s="7">
        <v>1.065821759259259E-3</v>
      </c>
    </row>
    <row r="21" spans="1:10" x14ac:dyDescent="0.3">
      <c r="A21" s="3">
        <v>16</v>
      </c>
      <c r="B21" s="4" t="s">
        <v>432</v>
      </c>
      <c r="C21" s="5">
        <v>91.7</v>
      </c>
      <c r="D21" s="5">
        <v>25.442</v>
      </c>
      <c r="E21" s="5">
        <v>19</v>
      </c>
      <c r="F21" s="5">
        <v>19.582999999999998</v>
      </c>
      <c r="G21" s="5">
        <v>27.675000000000001</v>
      </c>
      <c r="H21" s="6">
        <v>309.39999999999998</v>
      </c>
      <c r="I21" s="5">
        <v>1470.048</v>
      </c>
      <c r="J21" s="7">
        <v>1.0613425925925929E-3</v>
      </c>
    </row>
    <row r="22" spans="1:10" x14ac:dyDescent="0.3">
      <c r="A22" s="3">
        <v>17</v>
      </c>
      <c r="B22" s="4" t="s">
        <v>338</v>
      </c>
      <c r="C22" s="5">
        <v>91.635999999999996</v>
      </c>
      <c r="D22" s="5">
        <v>25.49</v>
      </c>
      <c r="E22" s="5">
        <v>19.03</v>
      </c>
      <c r="F22" s="5">
        <v>19.533000000000001</v>
      </c>
      <c r="G22" s="5">
        <v>27.582999999999998</v>
      </c>
      <c r="H22" s="6">
        <v>310.3</v>
      </c>
      <c r="I22" s="5">
        <v>1561.684</v>
      </c>
      <c r="J22" s="7">
        <v>1.0606018518518521E-3</v>
      </c>
    </row>
    <row r="23" spans="1:10" x14ac:dyDescent="0.3">
      <c r="A23" s="3">
        <v>18</v>
      </c>
      <c r="B23" s="4" t="s">
        <v>433</v>
      </c>
      <c r="C23" s="5">
        <v>91.683000000000007</v>
      </c>
      <c r="D23" s="5">
        <v>25.488</v>
      </c>
      <c r="E23" s="5">
        <v>19.074999999999999</v>
      </c>
      <c r="F23" s="5">
        <v>19.579999999999998</v>
      </c>
      <c r="G23" s="5">
        <v>27.54</v>
      </c>
      <c r="H23" s="6">
        <v>311.2</v>
      </c>
      <c r="I23" s="5">
        <v>1653.367</v>
      </c>
      <c r="J23" s="7">
        <v>1.061145833333333E-3</v>
      </c>
    </row>
    <row r="24" spans="1:10" x14ac:dyDescent="0.3">
      <c r="A24" s="3">
        <v>19</v>
      </c>
      <c r="B24" s="4" t="s">
        <v>434</v>
      </c>
      <c r="C24" s="5">
        <v>91.563999999999993</v>
      </c>
      <c r="D24" s="5">
        <v>25.350999999999999</v>
      </c>
      <c r="E24" s="5">
        <v>18.957000000000001</v>
      </c>
      <c r="F24" s="5">
        <v>19.581</v>
      </c>
      <c r="G24" s="5">
        <v>27.675000000000001</v>
      </c>
      <c r="H24" s="6">
        <v>312.10000000000002</v>
      </c>
      <c r="I24" s="5">
        <v>1744.931</v>
      </c>
      <c r="J24" s="7">
        <v>1.059768518518518E-3</v>
      </c>
    </row>
    <row r="25" spans="1:10" x14ac:dyDescent="0.3">
      <c r="A25" s="3">
        <v>20</v>
      </c>
      <c r="B25" s="4" t="s">
        <v>435</v>
      </c>
      <c r="C25" s="5">
        <v>91.698999999999998</v>
      </c>
      <c r="D25" s="5">
        <v>25.449000000000002</v>
      </c>
      <c r="E25" s="5">
        <v>19.065000000000001</v>
      </c>
      <c r="F25" s="5">
        <v>19.57</v>
      </c>
      <c r="G25" s="5">
        <v>27.614999999999998</v>
      </c>
      <c r="H25" s="6">
        <v>313</v>
      </c>
      <c r="I25" s="5">
        <v>1836.63</v>
      </c>
      <c r="J25" s="7">
        <v>1.061331018518519E-3</v>
      </c>
    </row>
    <row r="26" spans="1:10" x14ac:dyDescent="0.3">
      <c r="A26" s="3">
        <v>21</v>
      </c>
      <c r="B26" s="4" t="s">
        <v>436</v>
      </c>
      <c r="C26" s="5">
        <v>91.759</v>
      </c>
      <c r="D26" s="5">
        <v>25.5</v>
      </c>
      <c r="E26" s="5">
        <v>19.102</v>
      </c>
      <c r="F26" s="5">
        <v>19.611000000000001</v>
      </c>
      <c r="G26" s="5">
        <v>27.545999999999999</v>
      </c>
      <c r="H26" s="6">
        <v>311.2</v>
      </c>
      <c r="I26" s="5">
        <v>1928.3889999999999</v>
      </c>
      <c r="J26" s="7">
        <v>1.062025462962963E-3</v>
      </c>
    </row>
    <row r="27" spans="1:10" x14ac:dyDescent="0.3">
      <c r="A27" s="3">
        <v>22</v>
      </c>
      <c r="B27" s="4" t="s">
        <v>437</v>
      </c>
      <c r="C27" s="5">
        <v>91.561000000000007</v>
      </c>
      <c r="D27" s="5">
        <v>25.436</v>
      </c>
      <c r="E27" s="5">
        <v>19.106000000000002</v>
      </c>
      <c r="F27" s="5">
        <v>19.503</v>
      </c>
      <c r="G27" s="5">
        <v>27.515999999999998</v>
      </c>
      <c r="H27" s="6">
        <v>310.3</v>
      </c>
      <c r="I27" s="5">
        <v>2019.95</v>
      </c>
      <c r="J27" s="7">
        <v>1.059733796296296E-3</v>
      </c>
    </row>
    <row r="28" spans="1:10" x14ac:dyDescent="0.3">
      <c r="A28" s="3">
        <v>23</v>
      </c>
      <c r="B28" s="4" t="s">
        <v>438</v>
      </c>
      <c r="C28" s="5">
        <v>91.569000000000003</v>
      </c>
      <c r="D28" s="5">
        <v>25.463999999999999</v>
      </c>
      <c r="E28" s="5">
        <v>18.914000000000001</v>
      </c>
      <c r="F28" s="5">
        <v>19.568000000000001</v>
      </c>
      <c r="G28" s="5">
        <v>27.623000000000001</v>
      </c>
      <c r="H28" s="6">
        <v>310.3</v>
      </c>
      <c r="I28" s="5">
        <v>2111.5189999999998</v>
      </c>
      <c r="J28" s="7">
        <v>1.059826388888889E-3</v>
      </c>
    </row>
    <row r="29" spans="1:10" x14ac:dyDescent="0.3">
      <c r="A29" s="3">
        <v>24</v>
      </c>
      <c r="B29" s="4" t="s">
        <v>439</v>
      </c>
      <c r="C29" s="5">
        <v>91.99</v>
      </c>
      <c r="D29" s="5">
        <v>25.53</v>
      </c>
      <c r="E29" s="5">
        <v>19.097000000000001</v>
      </c>
      <c r="F29" s="5">
        <v>19.713999999999999</v>
      </c>
      <c r="G29" s="5">
        <v>27.649000000000001</v>
      </c>
      <c r="H29" s="6">
        <v>310.3</v>
      </c>
      <c r="I29" s="5">
        <v>2203.509</v>
      </c>
      <c r="J29" s="7">
        <v>1.064699074074074E-3</v>
      </c>
    </row>
    <row r="30" spans="1:10" x14ac:dyDescent="0.3">
      <c r="A30" s="3">
        <v>25</v>
      </c>
      <c r="B30" s="4" t="s">
        <v>440</v>
      </c>
      <c r="C30" s="5">
        <v>92.007999999999996</v>
      </c>
      <c r="D30" s="5">
        <v>25.558</v>
      </c>
      <c r="E30" s="5">
        <v>19.045000000000002</v>
      </c>
      <c r="F30" s="5">
        <v>19.626999999999999</v>
      </c>
      <c r="G30" s="5">
        <v>27.777999999999999</v>
      </c>
      <c r="H30" s="6">
        <v>311.2</v>
      </c>
      <c r="I30" s="5">
        <v>2295.5169999999998</v>
      </c>
      <c r="J30" s="7">
        <v>1.064907407407407E-3</v>
      </c>
    </row>
    <row r="31" spans="1:10" x14ac:dyDescent="0.3">
      <c r="A31" s="3">
        <v>26</v>
      </c>
      <c r="B31" s="4" t="s">
        <v>441</v>
      </c>
      <c r="C31" s="5">
        <v>92.337999999999994</v>
      </c>
      <c r="D31" s="5">
        <v>25.547000000000001</v>
      </c>
      <c r="E31" s="5">
        <v>19.184000000000001</v>
      </c>
      <c r="F31" s="5">
        <v>19.699000000000002</v>
      </c>
      <c r="G31" s="5">
        <v>27.908000000000001</v>
      </c>
      <c r="H31" s="6">
        <v>310.3</v>
      </c>
      <c r="I31" s="5">
        <v>2387.855</v>
      </c>
      <c r="J31" s="7">
        <v>1.068726851851852E-3</v>
      </c>
    </row>
    <row r="32" spans="1:10" x14ac:dyDescent="0.3">
      <c r="A32" s="3">
        <v>27</v>
      </c>
      <c r="B32" s="4" t="s">
        <v>442</v>
      </c>
      <c r="C32" s="5">
        <v>92.894999999999996</v>
      </c>
      <c r="D32" s="5">
        <v>25.626000000000001</v>
      </c>
      <c r="E32" s="5">
        <v>19.295999999999999</v>
      </c>
      <c r="F32" s="5">
        <v>19.667000000000002</v>
      </c>
      <c r="G32" s="5">
        <v>28.306000000000001</v>
      </c>
      <c r="H32" s="6">
        <v>309.39999999999998</v>
      </c>
      <c r="I32" s="5">
        <v>2480.75</v>
      </c>
      <c r="J32" s="7">
        <v>1.0751736111111109E-3</v>
      </c>
    </row>
  </sheetData>
  <autoFilter ref="A5:J32" xr:uid="{00000000-0009-0000-0000-00000F000000}"/>
  <mergeCells count="1">
    <mergeCell ref="A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2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443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266</v>
      </c>
      <c r="C3" s="1" t="s">
        <v>3</v>
      </c>
      <c r="D3" s="1" t="s">
        <v>130</v>
      </c>
      <c r="E3" s="1" t="s">
        <v>5</v>
      </c>
      <c r="F3" s="1">
        <v>27</v>
      </c>
      <c r="G3" s="1" t="s">
        <v>6</v>
      </c>
      <c r="H3" s="1">
        <v>22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444</v>
      </c>
      <c r="C6" s="5">
        <v>99.495999999999995</v>
      </c>
      <c r="D6" s="5">
        <v>31.379000000000001</v>
      </c>
      <c r="E6" s="5">
        <v>19.873000000000001</v>
      </c>
      <c r="F6" s="5">
        <v>19.998999999999999</v>
      </c>
      <c r="G6" s="5">
        <v>28.245000000000001</v>
      </c>
      <c r="H6" s="6">
        <v>270.60000000000002</v>
      </c>
      <c r="I6" s="5">
        <v>99.495999999999995</v>
      </c>
      <c r="J6" s="7">
        <v>1.151574074074074E-3</v>
      </c>
    </row>
    <row r="7" spans="1:10" x14ac:dyDescent="0.3">
      <c r="A7" s="3">
        <v>2</v>
      </c>
      <c r="B7" s="4" t="s">
        <v>445</v>
      </c>
      <c r="C7" s="5">
        <v>94.989000000000004</v>
      </c>
      <c r="D7" s="5">
        <v>27.722999999999999</v>
      </c>
      <c r="E7" s="5">
        <v>19.577000000000002</v>
      </c>
      <c r="F7" s="5">
        <v>19.72</v>
      </c>
      <c r="G7" s="5">
        <v>27.969000000000001</v>
      </c>
      <c r="H7" s="6">
        <v>313</v>
      </c>
      <c r="I7" s="5">
        <v>194.48500000000001</v>
      </c>
      <c r="J7" s="7">
        <v>1.0994097222222221E-3</v>
      </c>
    </row>
    <row r="8" spans="1:10" x14ac:dyDescent="0.3">
      <c r="A8" s="3">
        <v>3</v>
      </c>
      <c r="B8" s="4" t="s">
        <v>446</v>
      </c>
      <c r="C8" s="5">
        <v>92.57</v>
      </c>
      <c r="D8" s="5">
        <v>25.777000000000001</v>
      </c>
      <c r="E8" s="5">
        <v>19.114999999999998</v>
      </c>
      <c r="F8" s="5">
        <v>19.716000000000001</v>
      </c>
      <c r="G8" s="5">
        <v>27.962</v>
      </c>
      <c r="H8" s="6">
        <v>308.5</v>
      </c>
      <c r="I8" s="5">
        <v>287.05500000000001</v>
      </c>
      <c r="J8" s="7">
        <v>1.071412037037037E-3</v>
      </c>
    </row>
    <row r="9" spans="1:10" x14ac:dyDescent="0.3">
      <c r="A9" s="3">
        <v>4</v>
      </c>
      <c r="B9" s="4" t="s">
        <v>447</v>
      </c>
      <c r="C9" s="5">
        <v>92.162000000000006</v>
      </c>
      <c r="D9" s="5">
        <v>25.574000000000002</v>
      </c>
      <c r="E9" s="5">
        <v>19.2</v>
      </c>
      <c r="F9" s="5">
        <v>19.593</v>
      </c>
      <c r="G9" s="5">
        <v>27.795000000000002</v>
      </c>
      <c r="H9" s="6">
        <v>311.2</v>
      </c>
      <c r="I9" s="5">
        <v>379.21699999999998</v>
      </c>
      <c r="J9" s="7">
        <v>1.066689814814815E-3</v>
      </c>
    </row>
    <row r="10" spans="1:10" x14ac:dyDescent="0.3">
      <c r="A10" s="3">
        <v>5</v>
      </c>
      <c r="B10" s="4" t="s">
        <v>448</v>
      </c>
      <c r="C10" s="5">
        <v>92.27</v>
      </c>
      <c r="D10" s="5">
        <v>25.431000000000001</v>
      </c>
      <c r="E10" s="5">
        <v>19.369</v>
      </c>
      <c r="F10" s="5">
        <v>19.658999999999999</v>
      </c>
      <c r="G10" s="5">
        <v>27.811</v>
      </c>
      <c r="H10" s="6">
        <v>311.2</v>
      </c>
      <c r="I10" s="5">
        <v>471.48700000000002</v>
      </c>
      <c r="J10" s="7">
        <v>1.067939814814815E-3</v>
      </c>
    </row>
    <row r="11" spans="1:10" x14ac:dyDescent="0.3">
      <c r="A11" s="3">
        <v>6</v>
      </c>
      <c r="B11" s="4" t="s">
        <v>449</v>
      </c>
      <c r="C11" s="5">
        <v>92.617000000000004</v>
      </c>
      <c r="D11" s="5">
        <v>25.795000000000002</v>
      </c>
      <c r="E11" s="5">
        <v>19.260000000000002</v>
      </c>
      <c r="F11" s="5">
        <v>19.545000000000002</v>
      </c>
      <c r="G11" s="5">
        <v>28.016999999999999</v>
      </c>
      <c r="H11" s="6">
        <v>310.3</v>
      </c>
      <c r="I11" s="5">
        <v>564.10400000000004</v>
      </c>
      <c r="J11" s="7">
        <v>1.071956018518519E-3</v>
      </c>
    </row>
    <row r="12" spans="1:10" x14ac:dyDescent="0.3">
      <c r="A12" s="3">
        <v>7</v>
      </c>
      <c r="B12" s="4" t="s">
        <v>450</v>
      </c>
      <c r="C12" s="5">
        <v>92.616</v>
      </c>
      <c r="D12" s="5">
        <v>25.951000000000001</v>
      </c>
      <c r="E12" s="5">
        <v>19.120999999999999</v>
      </c>
      <c r="F12" s="5">
        <v>19.734999999999999</v>
      </c>
      <c r="G12" s="5">
        <v>27.809000000000001</v>
      </c>
      <c r="H12" s="6">
        <v>311.2</v>
      </c>
      <c r="I12" s="5">
        <v>656.72</v>
      </c>
      <c r="J12" s="7">
        <v>1.0719444444444439E-3</v>
      </c>
    </row>
    <row r="13" spans="1:10" x14ac:dyDescent="0.3">
      <c r="A13" s="3">
        <v>8</v>
      </c>
      <c r="B13" s="4" t="s">
        <v>451</v>
      </c>
      <c r="C13" s="5">
        <v>91.905000000000001</v>
      </c>
      <c r="D13" s="5">
        <v>25.462</v>
      </c>
      <c r="E13" s="5">
        <v>19.084</v>
      </c>
      <c r="F13" s="5">
        <v>19.481999999999999</v>
      </c>
      <c r="G13" s="5">
        <v>27.876999999999999</v>
      </c>
      <c r="H13" s="6">
        <v>310.3</v>
      </c>
      <c r="I13" s="5">
        <v>748.625</v>
      </c>
      <c r="J13" s="7">
        <v>1.063715277777778E-3</v>
      </c>
    </row>
    <row r="14" spans="1:10" x14ac:dyDescent="0.3">
      <c r="A14" s="3">
        <v>9</v>
      </c>
      <c r="B14" s="4" t="s">
        <v>452</v>
      </c>
      <c r="C14" s="5">
        <v>92.085999999999999</v>
      </c>
      <c r="D14" s="5">
        <v>25.460999999999999</v>
      </c>
      <c r="E14" s="5">
        <v>18.989000000000001</v>
      </c>
      <c r="F14" s="5">
        <v>19.832999999999998</v>
      </c>
      <c r="G14" s="5">
        <v>27.803000000000001</v>
      </c>
      <c r="H14" s="6">
        <v>310.3</v>
      </c>
      <c r="I14" s="5">
        <v>840.71100000000001</v>
      </c>
      <c r="J14" s="7">
        <v>1.065810185185185E-3</v>
      </c>
    </row>
    <row r="15" spans="1:10" x14ac:dyDescent="0.3">
      <c r="A15" s="3">
        <v>10</v>
      </c>
      <c r="B15" s="4" t="s">
        <v>453</v>
      </c>
      <c r="C15" s="5">
        <v>91.66</v>
      </c>
      <c r="D15" s="5">
        <v>25.422999999999998</v>
      </c>
      <c r="E15" s="5">
        <v>18.989000000000001</v>
      </c>
      <c r="F15" s="5">
        <v>19.568000000000001</v>
      </c>
      <c r="G15" s="5">
        <v>27.68</v>
      </c>
      <c r="H15" s="6">
        <v>309.39999999999998</v>
      </c>
      <c r="I15" s="5">
        <v>932.37099999999998</v>
      </c>
      <c r="J15" s="7">
        <v>1.0608796296296291E-3</v>
      </c>
    </row>
    <row r="16" spans="1:10" x14ac:dyDescent="0.3">
      <c r="A16" s="3">
        <v>11</v>
      </c>
      <c r="B16" s="4" t="s">
        <v>454</v>
      </c>
      <c r="C16" s="5">
        <v>91.754000000000005</v>
      </c>
      <c r="D16" s="5">
        <v>25.404</v>
      </c>
      <c r="E16" s="5">
        <v>19.042999999999999</v>
      </c>
      <c r="F16" s="5">
        <v>19.591999999999999</v>
      </c>
      <c r="G16" s="5">
        <v>27.715</v>
      </c>
      <c r="H16" s="6">
        <v>311.2</v>
      </c>
      <c r="I16" s="5">
        <v>1024.125</v>
      </c>
      <c r="J16" s="7">
        <v>1.0619675925925931E-3</v>
      </c>
    </row>
    <row r="17" spans="1:10" x14ac:dyDescent="0.3">
      <c r="A17" s="3">
        <v>12</v>
      </c>
      <c r="B17" s="4" t="s">
        <v>455</v>
      </c>
      <c r="C17" s="5">
        <v>91.69</v>
      </c>
      <c r="D17" s="5">
        <v>25.37</v>
      </c>
      <c r="E17" s="5">
        <v>18.931999999999999</v>
      </c>
      <c r="F17" s="5">
        <v>19.599</v>
      </c>
      <c r="G17" s="5">
        <v>27.789000000000001</v>
      </c>
      <c r="H17" s="6">
        <v>310.3</v>
      </c>
      <c r="I17" s="5">
        <v>1115.8150000000001</v>
      </c>
      <c r="J17" s="7">
        <v>1.061226851851852E-3</v>
      </c>
    </row>
    <row r="18" spans="1:10" x14ac:dyDescent="0.3">
      <c r="A18" s="3">
        <v>13</v>
      </c>
      <c r="B18" s="4" t="s">
        <v>456</v>
      </c>
      <c r="C18" s="5">
        <v>92.459000000000003</v>
      </c>
      <c r="D18" s="5">
        <v>25.469000000000001</v>
      </c>
      <c r="E18" s="5">
        <v>19.222000000000001</v>
      </c>
      <c r="F18" s="5">
        <v>19.530999999999999</v>
      </c>
      <c r="G18" s="5">
        <v>28.236999999999998</v>
      </c>
      <c r="H18" s="6">
        <v>311.2</v>
      </c>
      <c r="I18" s="5">
        <v>1208.2739999999999</v>
      </c>
      <c r="J18" s="7">
        <v>1.070127314814815E-3</v>
      </c>
    </row>
    <row r="19" spans="1:10" x14ac:dyDescent="0.3">
      <c r="A19" s="3">
        <v>14</v>
      </c>
      <c r="B19" s="4" t="s">
        <v>457</v>
      </c>
      <c r="C19" s="5">
        <v>92.537000000000006</v>
      </c>
      <c r="D19" s="5">
        <v>25.538</v>
      </c>
      <c r="E19" s="5">
        <v>19.420000000000002</v>
      </c>
      <c r="F19" s="5">
        <v>19.623999999999999</v>
      </c>
      <c r="G19" s="5">
        <v>27.954999999999998</v>
      </c>
      <c r="H19" s="6">
        <v>310.3</v>
      </c>
      <c r="I19" s="5">
        <v>1300.8109999999999</v>
      </c>
      <c r="J19" s="7">
        <v>1.071030092592593E-3</v>
      </c>
    </row>
    <row r="20" spans="1:10" x14ac:dyDescent="0.3">
      <c r="A20" s="3">
        <v>15</v>
      </c>
      <c r="B20" s="4" t="s">
        <v>458</v>
      </c>
      <c r="C20" s="5">
        <v>91.974999999999994</v>
      </c>
      <c r="D20" s="5">
        <v>25.486000000000001</v>
      </c>
      <c r="E20" s="5">
        <v>19.119</v>
      </c>
      <c r="F20" s="5">
        <v>19.641999999999999</v>
      </c>
      <c r="G20" s="5">
        <v>27.728000000000002</v>
      </c>
      <c r="H20" s="6">
        <v>309.39999999999998</v>
      </c>
      <c r="I20" s="5">
        <v>1392.7860000000001</v>
      </c>
      <c r="J20" s="7">
        <v>1.0645254629629631E-3</v>
      </c>
    </row>
    <row r="21" spans="1:10" x14ac:dyDescent="0.3">
      <c r="A21" s="3">
        <v>16</v>
      </c>
      <c r="B21" s="4" t="s">
        <v>459</v>
      </c>
      <c r="C21" s="5">
        <v>91.575000000000003</v>
      </c>
      <c r="D21" s="5">
        <v>25.361999999999998</v>
      </c>
      <c r="E21" s="5">
        <v>18.966999999999999</v>
      </c>
      <c r="F21" s="5">
        <v>19.553999999999998</v>
      </c>
      <c r="G21" s="5">
        <v>27.692</v>
      </c>
      <c r="H21" s="6">
        <v>310.3</v>
      </c>
      <c r="I21" s="5">
        <v>1484.3610000000001</v>
      </c>
      <c r="J21" s="7">
        <v>1.059895833333333E-3</v>
      </c>
    </row>
    <row r="22" spans="1:10" x14ac:dyDescent="0.3">
      <c r="A22" s="3">
        <v>17</v>
      </c>
      <c r="B22" s="4" t="s">
        <v>460</v>
      </c>
      <c r="C22" s="5">
        <v>91.436999999999998</v>
      </c>
      <c r="D22" s="5">
        <v>25.411000000000001</v>
      </c>
      <c r="E22" s="5">
        <v>18.934000000000001</v>
      </c>
      <c r="F22" s="5">
        <v>19.488</v>
      </c>
      <c r="G22" s="5">
        <v>27.603999999999999</v>
      </c>
      <c r="H22" s="6">
        <v>310.3</v>
      </c>
      <c r="I22" s="5">
        <v>1575.798</v>
      </c>
      <c r="J22" s="7">
        <v>1.058298611111111E-3</v>
      </c>
    </row>
    <row r="23" spans="1:10" x14ac:dyDescent="0.3">
      <c r="A23" s="3">
        <v>18</v>
      </c>
      <c r="B23" s="4" t="s">
        <v>461</v>
      </c>
      <c r="C23" s="5">
        <v>91.581999999999994</v>
      </c>
      <c r="D23" s="5">
        <v>25.356000000000002</v>
      </c>
      <c r="E23" s="5">
        <v>19.018999999999998</v>
      </c>
      <c r="F23" s="5">
        <v>19.491</v>
      </c>
      <c r="G23" s="5">
        <v>27.716000000000001</v>
      </c>
      <c r="H23" s="6">
        <v>311.2</v>
      </c>
      <c r="I23" s="5">
        <v>1667.38</v>
      </c>
      <c r="J23" s="7">
        <v>1.0599768518518521E-3</v>
      </c>
    </row>
    <row r="24" spans="1:10" x14ac:dyDescent="0.3">
      <c r="A24" s="3">
        <v>19</v>
      </c>
      <c r="B24" s="4" t="s">
        <v>462</v>
      </c>
      <c r="C24" s="5">
        <v>91.686999999999998</v>
      </c>
      <c r="D24" s="5">
        <v>25.353999999999999</v>
      </c>
      <c r="E24" s="5">
        <v>19.099</v>
      </c>
      <c r="F24" s="5">
        <v>19.507999999999999</v>
      </c>
      <c r="G24" s="5">
        <v>27.725999999999999</v>
      </c>
      <c r="H24" s="6">
        <v>312.10000000000002</v>
      </c>
      <c r="I24" s="5">
        <v>1759.067</v>
      </c>
      <c r="J24" s="7">
        <v>1.06119212962963E-3</v>
      </c>
    </row>
    <row r="25" spans="1:10" x14ac:dyDescent="0.3">
      <c r="A25" s="3">
        <v>20</v>
      </c>
      <c r="B25" s="4" t="s">
        <v>463</v>
      </c>
      <c r="C25" s="5">
        <v>92.391999999999996</v>
      </c>
      <c r="D25" s="5">
        <v>25.445</v>
      </c>
      <c r="E25" s="5">
        <v>19.452000000000002</v>
      </c>
      <c r="F25" s="5">
        <v>19.782</v>
      </c>
      <c r="G25" s="5">
        <v>27.713000000000001</v>
      </c>
      <c r="H25" s="6">
        <v>312.10000000000002</v>
      </c>
      <c r="I25" s="5">
        <v>1851.4590000000001</v>
      </c>
      <c r="J25" s="7">
        <v>1.0693518518518519E-3</v>
      </c>
    </row>
    <row r="26" spans="1:10" x14ac:dyDescent="0.3">
      <c r="A26" s="3">
        <v>21</v>
      </c>
      <c r="B26" s="4" t="s">
        <v>338</v>
      </c>
      <c r="C26" s="5">
        <v>91.635999999999996</v>
      </c>
      <c r="D26" s="5">
        <v>25.282</v>
      </c>
      <c r="E26" s="5">
        <v>19.033999999999999</v>
      </c>
      <c r="F26" s="5">
        <v>19.672999999999998</v>
      </c>
      <c r="G26" s="5">
        <v>27.646999999999998</v>
      </c>
      <c r="H26" s="6">
        <v>312.10000000000002</v>
      </c>
      <c r="I26" s="5">
        <v>1943.095</v>
      </c>
      <c r="J26" s="7">
        <v>1.0606018518518521E-3</v>
      </c>
    </row>
    <row r="27" spans="1:10" x14ac:dyDescent="0.3">
      <c r="A27" s="3">
        <v>22</v>
      </c>
      <c r="B27" s="4" t="s">
        <v>464</v>
      </c>
      <c r="C27" s="5">
        <v>91.432000000000002</v>
      </c>
      <c r="D27" s="5">
        <v>25.331</v>
      </c>
      <c r="E27" s="5">
        <v>18.981999999999999</v>
      </c>
      <c r="F27" s="5">
        <v>19.513999999999999</v>
      </c>
      <c r="G27" s="5">
        <v>27.605</v>
      </c>
      <c r="H27" s="6">
        <v>310.3</v>
      </c>
      <c r="I27" s="5">
        <v>2034.527</v>
      </c>
      <c r="J27" s="7">
        <v>1.0582407407407411E-3</v>
      </c>
    </row>
    <row r="28" spans="1:10" x14ac:dyDescent="0.3">
      <c r="A28" s="3">
        <v>23</v>
      </c>
      <c r="B28" s="4" t="s">
        <v>465</v>
      </c>
      <c r="C28" s="5">
        <v>91.483000000000004</v>
      </c>
      <c r="D28" s="5">
        <v>25.29</v>
      </c>
      <c r="E28" s="5">
        <v>18.963999999999999</v>
      </c>
      <c r="F28" s="5">
        <v>19.577000000000002</v>
      </c>
      <c r="G28" s="5">
        <v>27.652000000000001</v>
      </c>
      <c r="H28" s="6">
        <v>312.10000000000002</v>
      </c>
      <c r="I28" s="5">
        <v>2126.0100000000002</v>
      </c>
      <c r="J28" s="7">
        <v>1.0588310185185191E-3</v>
      </c>
    </row>
    <row r="29" spans="1:10" x14ac:dyDescent="0.3">
      <c r="A29" s="3">
        <v>24</v>
      </c>
      <c r="B29" s="4" t="s">
        <v>466</v>
      </c>
      <c r="C29" s="5">
        <v>91.61</v>
      </c>
      <c r="D29" s="5">
        <v>25.369</v>
      </c>
      <c r="E29" s="5">
        <v>18.978999999999999</v>
      </c>
      <c r="F29" s="5">
        <v>19.547000000000001</v>
      </c>
      <c r="G29" s="5">
        <v>27.715</v>
      </c>
      <c r="H29" s="6">
        <v>311.2</v>
      </c>
      <c r="I29" s="5">
        <v>2217.62</v>
      </c>
      <c r="J29" s="7">
        <v>1.0603009259259259E-3</v>
      </c>
    </row>
    <row r="30" spans="1:10" x14ac:dyDescent="0.3">
      <c r="A30" s="3">
        <v>25</v>
      </c>
      <c r="B30" s="4" t="s">
        <v>467</v>
      </c>
      <c r="C30" s="5">
        <v>92.108999999999995</v>
      </c>
      <c r="D30" s="5">
        <v>25.437000000000001</v>
      </c>
      <c r="E30" s="5">
        <v>18.994</v>
      </c>
      <c r="F30" s="5">
        <v>19.553000000000001</v>
      </c>
      <c r="G30" s="5">
        <v>28.125</v>
      </c>
      <c r="H30" s="6">
        <v>311.2</v>
      </c>
      <c r="I30" s="5">
        <v>2309.7289999999998</v>
      </c>
      <c r="J30" s="7">
        <v>1.066076388888889E-3</v>
      </c>
    </row>
    <row r="31" spans="1:10" x14ac:dyDescent="0.3">
      <c r="A31" s="3">
        <v>26</v>
      </c>
      <c r="B31" s="4" t="s">
        <v>468</v>
      </c>
      <c r="C31" s="5">
        <v>94.816000000000003</v>
      </c>
      <c r="D31" s="5">
        <v>25.658000000000001</v>
      </c>
      <c r="E31" s="5">
        <v>19.68</v>
      </c>
      <c r="F31" s="5">
        <v>20.521999999999998</v>
      </c>
      <c r="G31" s="5">
        <v>28.956</v>
      </c>
      <c r="H31" s="6">
        <v>309.39999999999998</v>
      </c>
      <c r="I31" s="5">
        <v>2404.5450000000001</v>
      </c>
      <c r="J31" s="7">
        <v>1.097407407407407E-3</v>
      </c>
    </row>
    <row r="32" spans="1:10" x14ac:dyDescent="0.3">
      <c r="A32" s="3">
        <v>27</v>
      </c>
      <c r="B32" s="4" t="s">
        <v>469</v>
      </c>
      <c r="C32" s="5">
        <v>97.632999999999996</v>
      </c>
      <c r="D32" s="5">
        <v>26.515999999999998</v>
      </c>
      <c r="E32" s="5">
        <v>20.216999999999999</v>
      </c>
      <c r="F32" s="5">
        <v>20.81</v>
      </c>
      <c r="G32" s="5">
        <v>30.09</v>
      </c>
      <c r="H32" s="6">
        <v>308.5</v>
      </c>
      <c r="I32" s="5">
        <v>2502.1779999999999</v>
      </c>
      <c r="J32" s="7">
        <v>1.1300115740740741E-3</v>
      </c>
    </row>
  </sheetData>
  <autoFilter ref="A5:J32" xr:uid="{00000000-0009-0000-0000-000010000000}"/>
  <mergeCells count="1">
    <mergeCell ref="A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470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471</v>
      </c>
      <c r="C3" s="1" t="s">
        <v>3</v>
      </c>
      <c r="D3" s="1" t="s">
        <v>239</v>
      </c>
      <c r="E3" s="1" t="s">
        <v>5</v>
      </c>
      <c r="F3" s="1">
        <v>8</v>
      </c>
      <c r="G3" s="1" t="s">
        <v>6</v>
      </c>
      <c r="H3" s="1">
        <v>5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472</v>
      </c>
      <c r="C6" s="5">
        <v>98.99</v>
      </c>
      <c r="D6" s="5">
        <v>31.274000000000001</v>
      </c>
      <c r="E6" s="5">
        <v>19.731999999999999</v>
      </c>
      <c r="F6" s="5">
        <v>20.033999999999999</v>
      </c>
      <c r="G6" s="5">
        <v>27.95</v>
      </c>
      <c r="H6" s="6">
        <v>269.3</v>
      </c>
      <c r="I6" s="5">
        <v>98.99</v>
      </c>
      <c r="J6" s="7">
        <v>1.1457175925925921E-3</v>
      </c>
    </row>
    <row r="7" spans="1:10" x14ac:dyDescent="0.3">
      <c r="A7" s="3">
        <v>2</v>
      </c>
      <c r="B7" s="4" t="s">
        <v>473</v>
      </c>
      <c r="C7" s="5">
        <v>92.334000000000003</v>
      </c>
      <c r="D7" s="5">
        <v>25.911000000000001</v>
      </c>
      <c r="E7" s="5">
        <v>19.163</v>
      </c>
      <c r="F7" s="5">
        <v>19.677</v>
      </c>
      <c r="G7" s="5">
        <v>27.582999999999998</v>
      </c>
      <c r="H7" s="6">
        <v>298.3</v>
      </c>
      <c r="I7" s="5">
        <v>191.32400000000001</v>
      </c>
      <c r="J7" s="7">
        <v>1.068680555555556E-3</v>
      </c>
    </row>
    <row r="8" spans="1:10" x14ac:dyDescent="0.3">
      <c r="A8" s="3">
        <v>3</v>
      </c>
      <c r="B8" s="4" t="s">
        <v>474</v>
      </c>
      <c r="C8" s="5">
        <v>92.081999999999994</v>
      </c>
      <c r="D8" s="5">
        <v>25.574999999999999</v>
      </c>
      <c r="E8" s="5">
        <v>19.062000000000001</v>
      </c>
      <c r="F8" s="5">
        <v>19.535</v>
      </c>
      <c r="G8" s="5">
        <v>27.91</v>
      </c>
      <c r="H8" s="6">
        <v>305</v>
      </c>
      <c r="I8" s="5">
        <v>283.40600000000001</v>
      </c>
      <c r="J8" s="7">
        <v>1.0657638888888891E-3</v>
      </c>
    </row>
    <row r="9" spans="1:10" x14ac:dyDescent="0.3">
      <c r="A9" s="3">
        <v>4</v>
      </c>
      <c r="B9" s="4" t="s">
        <v>345</v>
      </c>
      <c r="C9" s="5">
        <v>91.585999999999999</v>
      </c>
      <c r="D9" s="5">
        <v>25.577999999999999</v>
      </c>
      <c r="E9" s="5">
        <v>18.983000000000001</v>
      </c>
      <c r="F9" s="5">
        <v>19.463000000000001</v>
      </c>
      <c r="G9" s="5">
        <v>27.562000000000001</v>
      </c>
      <c r="H9" s="6">
        <v>309.39999999999998</v>
      </c>
      <c r="I9" s="5">
        <v>374.99200000000002</v>
      </c>
      <c r="J9" s="7">
        <v>1.060023148148148E-3</v>
      </c>
    </row>
    <row r="10" spans="1:10" x14ac:dyDescent="0.3">
      <c r="A10" s="3">
        <v>5</v>
      </c>
      <c r="B10" s="4" t="s">
        <v>475</v>
      </c>
      <c r="C10" s="5">
        <v>92.052999999999997</v>
      </c>
      <c r="D10" s="5">
        <v>25.431999999999999</v>
      </c>
      <c r="E10" s="5">
        <v>19.088000000000001</v>
      </c>
      <c r="F10" s="5">
        <v>19.896999999999998</v>
      </c>
      <c r="G10" s="5">
        <v>27.635999999999999</v>
      </c>
      <c r="H10" s="6">
        <v>309.39999999999998</v>
      </c>
      <c r="I10" s="5">
        <v>467.04500000000002</v>
      </c>
      <c r="J10" s="7">
        <v>1.0654282407407409E-3</v>
      </c>
    </row>
    <row r="11" spans="1:10" x14ac:dyDescent="0.3">
      <c r="A11" s="3">
        <v>6</v>
      </c>
      <c r="B11" s="4" t="s">
        <v>476</v>
      </c>
      <c r="C11" s="5">
        <v>91.879000000000005</v>
      </c>
      <c r="D11" s="5">
        <v>25.585999999999999</v>
      </c>
      <c r="E11" s="5">
        <v>19.018000000000001</v>
      </c>
      <c r="F11" s="5">
        <v>19.567</v>
      </c>
      <c r="G11" s="5">
        <v>27.707999999999998</v>
      </c>
      <c r="H11" s="6">
        <v>306.8</v>
      </c>
      <c r="I11" s="5">
        <v>558.92399999999998</v>
      </c>
      <c r="J11" s="7">
        <v>1.0634143518518521E-3</v>
      </c>
    </row>
    <row r="12" spans="1:10" x14ac:dyDescent="0.3">
      <c r="A12" s="3">
        <v>7</v>
      </c>
      <c r="B12" s="4" t="s">
        <v>477</v>
      </c>
      <c r="C12" s="5">
        <v>92.021000000000001</v>
      </c>
      <c r="D12" s="5">
        <v>25.587</v>
      </c>
      <c r="E12" s="5">
        <v>18.96</v>
      </c>
      <c r="F12" s="5">
        <v>19.588000000000001</v>
      </c>
      <c r="G12" s="5">
        <v>27.885999999999999</v>
      </c>
      <c r="H12" s="6">
        <v>305.89999999999998</v>
      </c>
      <c r="I12" s="5">
        <v>650.94500000000005</v>
      </c>
      <c r="J12" s="7">
        <v>1.0650578703703701E-3</v>
      </c>
    </row>
    <row r="13" spans="1:10" x14ac:dyDescent="0.3">
      <c r="A13" s="3">
        <v>8</v>
      </c>
      <c r="B13" s="4" t="s">
        <v>478</v>
      </c>
      <c r="C13" s="5">
        <v>94.760999999999996</v>
      </c>
      <c r="D13" s="5">
        <v>25.649000000000001</v>
      </c>
      <c r="E13" s="5">
        <v>19.231000000000002</v>
      </c>
      <c r="F13" s="5">
        <v>20.207000000000001</v>
      </c>
      <c r="G13" s="5">
        <v>29.673999999999999</v>
      </c>
      <c r="H13" s="6">
        <v>305.89999999999998</v>
      </c>
      <c r="I13" s="5">
        <v>745.70600000000002</v>
      </c>
      <c r="J13" s="7">
        <v>1.0967708333333331E-3</v>
      </c>
    </row>
  </sheetData>
  <autoFilter ref="A5:J13" xr:uid="{00000000-0009-0000-0000-000011000000}"/>
  <mergeCells count="1">
    <mergeCell ref="A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479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156</v>
      </c>
      <c r="C3" s="1" t="s">
        <v>3</v>
      </c>
      <c r="D3" s="1" t="s">
        <v>157</v>
      </c>
      <c r="E3" s="1" t="s">
        <v>5</v>
      </c>
      <c r="F3" s="1">
        <v>5</v>
      </c>
      <c r="G3" s="1" t="s">
        <v>6</v>
      </c>
      <c r="H3" s="1">
        <v>4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480</v>
      </c>
      <c r="C6" s="5">
        <v>97.314999999999998</v>
      </c>
      <c r="D6" s="5">
        <v>30.359000000000002</v>
      </c>
      <c r="E6" s="5">
        <v>19.373000000000001</v>
      </c>
      <c r="F6" s="5">
        <v>19.776</v>
      </c>
      <c r="G6" s="5">
        <v>27.806999999999999</v>
      </c>
      <c r="H6" s="6">
        <v>270.60000000000002</v>
      </c>
      <c r="I6" s="5">
        <v>97.314999999999998</v>
      </c>
      <c r="J6" s="7">
        <v>1.126331018518518E-3</v>
      </c>
    </row>
    <row r="7" spans="1:10" x14ac:dyDescent="0.3">
      <c r="A7" s="3">
        <v>2</v>
      </c>
      <c r="B7" s="4" t="s">
        <v>481</v>
      </c>
      <c r="C7" s="5">
        <v>91.945999999999998</v>
      </c>
      <c r="D7" s="5">
        <v>25.724</v>
      </c>
      <c r="E7" s="5">
        <v>19.097000000000001</v>
      </c>
      <c r="F7" s="5">
        <v>19.509</v>
      </c>
      <c r="G7" s="5">
        <v>27.616</v>
      </c>
      <c r="H7" s="6">
        <v>300</v>
      </c>
      <c r="I7" s="5">
        <v>189.261</v>
      </c>
      <c r="J7" s="7">
        <v>1.0641898148148149E-3</v>
      </c>
    </row>
    <row r="8" spans="1:10" x14ac:dyDescent="0.3">
      <c r="A8" s="3">
        <v>3</v>
      </c>
      <c r="B8" s="4" t="s">
        <v>482</v>
      </c>
      <c r="C8" s="5">
        <v>91.337999999999994</v>
      </c>
      <c r="D8" s="5">
        <v>25.376999999999999</v>
      </c>
      <c r="E8" s="5">
        <v>18.800999999999998</v>
      </c>
      <c r="F8" s="5">
        <v>19.53</v>
      </c>
      <c r="G8" s="5">
        <v>27.63</v>
      </c>
      <c r="H8" s="6">
        <v>312.10000000000002</v>
      </c>
      <c r="I8" s="5">
        <v>280.59899999999999</v>
      </c>
      <c r="J8" s="7">
        <v>1.057152777777778E-3</v>
      </c>
    </row>
    <row r="9" spans="1:10" x14ac:dyDescent="0.3">
      <c r="A9" s="3">
        <v>4</v>
      </c>
      <c r="B9" s="4" t="s">
        <v>483</v>
      </c>
      <c r="C9" s="5">
        <v>91.277000000000001</v>
      </c>
      <c r="D9" s="5">
        <v>25.283000000000001</v>
      </c>
      <c r="E9" s="5">
        <v>18.933</v>
      </c>
      <c r="F9" s="5">
        <v>19.498000000000001</v>
      </c>
      <c r="G9" s="5">
        <v>27.562999999999999</v>
      </c>
      <c r="H9" s="6">
        <v>316.7</v>
      </c>
      <c r="I9" s="5">
        <v>371.87599999999998</v>
      </c>
      <c r="J9" s="7">
        <v>1.0564467592592589E-3</v>
      </c>
    </row>
    <row r="10" spans="1:10" x14ac:dyDescent="0.3">
      <c r="A10" s="3">
        <v>5</v>
      </c>
      <c r="B10" s="4" t="s">
        <v>484</v>
      </c>
      <c r="C10" s="5">
        <v>91.072000000000003</v>
      </c>
      <c r="D10" s="5">
        <v>25.193999999999999</v>
      </c>
      <c r="E10" s="5">
        <v>18.818000000000001</v>
      </c>
      <c r="F10" s="5">
        <v>19.431000000000001</v>
      </c>
      <c r="G10" s="5">
        <v>27.629000000000001</v>
      </c>
      <c r="H10" s="6">
        <v>316.7</v>
      </c>
      <c r="I10" s="5">
        <v>462.94799999999998</v>
      </c>
      <c r="J10" s="7">
        <v>1.054074074074074E-3</v>
      </c>
    </row>
  </sheetData>
  <autoFilter ref="A5:J10" xr:uid="{00000000-0009-0000-0000-000012000000}"/>
  <mergeCells count="1">
    <mergeCell ref="A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485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471</v>
      </c>
      <c r="C3" s="1" t="s">
        <v>3</v>
      </c>
      <c r="D3" s="1" t="s">
        <v>239</v>
      </c>
      <c r="E3" s="1" t="s">
        <v>5</v>
      </c>
      <c r="F3" s="1">
        <v>5</v>
      </c>
      <c r="G3" s="1" t="s">
        <v>6</v>
      </c>
      <c r="H3" s="1">
        <v>4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486</v>
      </c>
      <c r="C6" s="5">
        <v>98.194999999999993</v>
      </c>
      <c r="D6" s="5">
        <v>31.114999999999998</v>
      </c>
      <c r="E6" s="5">
        <v>19.548999999999999</v>
      </c>
      <c r="F6" s="5">
        <v>19.745999999999999</v>
      </c>
      <c r="G6" s="5">
        <v>27.785</v>
      </c>
      <c r="H6" s="6">
        <v>266.60000000000002</v>
      </c>
      <c r="I6" s="5">
        <v>98.194999999999993</v>
      </c>
      <c r="J6" s="7">
        <v>1.136516203703704E-3</v>
      </c>
    </row>
    <row r="7" spans="1:10" x14ac:dyDescent="0.3">
      <c r="A7" s="3">
        <v>2</v>
      </c>
      <c r="B7" s="4" t="s">
        <v>487</v>
      </c>
      <c r="C7" s="5">
        <v>92.129000000000005</v>
      </c>
      <c r="D7" s="5">
        <v>25.806000000000001</v>
      </c>
      <c r="E7" s="5">
        <v>19.052</v>
      </c>
      <c r="F7" s="5">
        <v>19.593</v>
      </c>
      <c r="G7" s="5">
        <v>27.678000000000001</v>
      </c>
      <c r="H7" s="6">
        <v>300</v>
      </c>
      <c r="I7" s="5">
        <v>190.32400000000001</v>
      </c>
      <c r="J7" s="7">
        <v>1.06630787037037E-3</v>
      </c>
    </row>
    <row r="8" spans="1:10" x14ac:dyDescent="0.3">
      <c r="A8" s="3">
        <v>3</v>
      </c>
      <c r="B8" s="4" t="s">
        <v>488</v>
      </c>
      <c r="C8" s="5">
        <v>91.823999999999998</v>
      </c>
      <c r="D8" s="5">
        <v>25.736999999999998</v>
      </c>
      <c r="E8" s="5">
        <v>18.989000000000001</v>
      </c>
      <c r="F8" s="5">
        <v>19.475999999999999</v>
      </c>
      <c r="G8" s="5">
        <v>27.622</v>
      </c>
      <c r="H8" s="6">
        <v>291.10000000000002</v>
      </c>
      <c r="I8" s="5">
        <v>282.14800000000002</v>
      </c>
      <c r="J8" s="7">
        <v>1.0627777777777779E-3</v>
      </c>
    </row>
    <row r="9" spans="1:10" x14ac:dyDescent="0.3">
      <c r="A9" s="3">
        <v>4</v>
      </c>
      <c r="B9" s="4" t="s">
        <v>489</v>
      </c>
      <c r="C9" s="5">
        <v>91.397999999999996</v>
      </c>
      <c r="D9" s="5">
        <v>25.539000000000001</v>
      </c>
      <c r="E9" s="5">
        <v>18.863</v>
      </c>
      <c r="F9" s="5">
        <v>19.536999999999999</v>
      </c>
      <c r="G9" s="5">
        <v>27.459</v>
      </c>
      <c r="H9" s="6">
        <v>301.60000000000002</v>
      </c>
      <c r="I9" s="5">
        <v>373.54599999999999</v>
      </c>
      <c r="J9" s="7">
        <v>1.057847222222222E-3</v>
      </c>
    </row>
    <row r="10" spans="1:10" x14ac:dyDescent="0.3">
      <c r="A10" s="3">
        <v>5</v>
      </c>
      <c r="B10" s="4" t="s">
        <v>490</v>
      </c>
      <c r="C10" s="5">
        <v>92.043000000000006</v>
      </c>
      <c r="D10" s="5">
        <v>25.407</v>
      </c>
      <c r="E10" s="5">
        <v>19.640999999999998</v>
      </c>
      <c r="F10" s="5">
        <v>19.486999999999998</v>
      </c>
      <c r="G10" s="5">
        <v>27.507999999999999</v>
      </c>
      <c r="H10" s="6">
        <v>307.60000000000002</v>
      </c>
      <c r="I10" s="5">
        <v>465.589</v>
      </c>
      <c r="J10" s="7">
        <v>1.0653125000000001E-3</v>
      </c>
    </row>
  </sheetData>
  <autoFilter ref="A5:J10" xr:uid="{00000000-0009-0000-0000-000013000000}"/>
  <mergeCells count="1">
    <mergeCell ref="A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"/>
  <sheetViews>
    <sheetView zoomScale="80" zoomScaleNormal="80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</cols>
  <sheetData>
    <row r="1" spans="1:10" ht="21" x14ac:dyDescent="0.4">
      <c r="A1" s="10" t="s">
        <v>491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3">
      <c r="A3" s="1" t="s">
        <v>1</v>
      </c>
      <c r="B3" s="1" t="s">
        <v>185</v>
      </c>
      <c r="C3" s="1" t="s">
        <v>3</v>
      </c>
      <c r="D3" s="1" t="s">
        <v>157</v>
      </c>
      <c r="E3" s="1" t="s">
        <v>5</v>
      </c>
      <c r="F3" s="1">
        <v>1</v>
      </c>
      <c r="G3" s="1" t="s">
        <v>6</v>
      </c>
      <c r="H3" s="1">
        <v>0</v>
      </c>
    </row>
    <row r="5" spans="1:10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x14ac:dyDescent="0.3">
      <c r="A6" s="3">
        <v>1</v>
      </c>
      <c r="B6" s="4" t="s">
        <v>492</v>
      </c>
      <c r="C6" s="5">
        <v>95.718999999999994</v>
      </c>
      <c r="D6" s="5">
        <v>29.51</v>
      </c>
      <c r="E6" s="5">
        <v>19.081</v>
      </c>
      <c r="F6" s="5">
        <v>19.581</v>
      </c>
      <c r="G6" s="5">
        <v>27.547000000000001</v>
      </c>
      <c r="H6" s="6">
        <v>262.7</v>
      </c>
      <c r="I6" s="5">
        <v>95.718999999999994</v>
      </c>
      <c r="J6" s="7">
        <v>1.107858796296296E-3</v>
      </c>
    </row>
  </sheetData>
  <autoFilter ref="A5:J6" xr:uid="{00000000-0009-0000-0000-000014000000}"/>
  <mergeCells count="1">
    <mergeCell ref="A1:J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79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.6640625" customWidth="1"/>
    <col min="2" max="14" width="16.6640625" customWidth="1"/>
  </cols>
  <sheetData>
    <row r="1" spans="1:14" x14ac:dyDescent="0.3">
      <c r="A1" t="s">
        <v>493</v>
      </c>
      <c r="B1" t="s">
        <v>494</v>
      </c>
      <c r="C1" t="s">
        <v>495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496</v>
      </c>
      <c r="N1" t="s">
        <v>497</v>
      </c>
    </row>
    <row r="2" spans="1:14" x14ac:dyDescent="0.3">
      <c r="A2" t="s">
        <v>498</v>
      </c>
      <c r="B2">
        <v>72</v>
      </c>
      <c r="C2">
        <v>1</v>
      </c>
      <c r="D2">
        <v>1</v>
      </c>
      <c r="E2" t="s">
        <v>17</v>
      </c>
      <c r="F2">
        <v>94.554000000000002</v>
      </c>
      <c r="G2">
        <v>29.024000000000001</v>
      </c>
      <c r="H2">
        <v>18.763999999999999</v>
      </c>
      <c r="I2">
        <v>19.477</v>
      </c>
      <c r="J2">
        <v>27.289000000000001</v>
      </c>
      <c r="K2">
        <v>252.9</v>
      </c>
      <c r="L2">
        <v>94.554000000000002</v>
      </c>
      <c r="M2" t="b">
        <v>0</v>
      </c>
      <c r="N2" t="b">
        <v>0</v>
      </c>
    </row>
    <row r="3" spans="1:14" x14ac:dyDescent="0.3">
      <c r="A3" t="s">
        <v>498</v>
      </c>
      <c r="B3">
        <v>72</v>
      </c>
      <c r="C3">
        <v>1</v>
      </c>
      <c r="D3">
        <v>2</v>
      </c>
      <c r="E3" t="s">
        <v>18</v>
      </c>
      <c r="F3">
        <v>90.77</v>
      </c>
      <c r="G3">
        <v>25.376999999999999</v>
      </c>
      <c r="H3">
        <v>18.654</v>
      </c>
      <c r="I3">
        <v>19.571000000000002</v>
      </c>
      <c r="J3">
        <v>27.167999999999999</v>
      </c>
      <c r="K3">
        <v>312.10000000000002</v>
      </c>
      <c r="L3">
        <v>185.32400000000001</v>
      </c>
      <c r="M3" t="b">
        <v>0</v>
      </c>
      <c r="N3" t="b">
        <v>0</v>
      </c>
    </row>
    <row r="4" spans="1:14" x14ac:dyDescent="0.3">
      <c r="A4" t="s">
        <v>498</v>
      </c>
      <c r="B4">
        <v>72</v>
      </c>
      <c r="C4">
        <v>1</v>
      </c>
      <c r="D4">
        <v>3</v>
      </c>
      <c r="E4" t="s">
        <v>19</v>
      </c>
      <c r="F4">
        <v>90.402000000000001</v>
      </c>
      <c r="G4">
        <v>25.312999999999999</v>
      </c>
      <c r="H4">
        <v>18.579000000000001</v>
      </c>
      <c r="I4">
        <v>19.263999999999999</v>
      </c>
      <c r="J4">
        <v>27.245999999999999</v>
      </c>
      <c r="K4">
        <v>310.3</v>
      </c>
      <c r="L4">
        <v>275.726</v>
      </c>
      <c r="M4" t="b">
        <v>0</v>
      </c>
      <c r="N4" t="b">
        <v>0</v>
      </c>
    </row>
    <row r="5" spans="1:14" x14ac:dyDescent="0.3">
      <c r="A5" t="s">
        <v>498</v>
      </c>
      <c r="B5">
        <v>72</v>
      </c>
      <c r="C5">
        <v>1</v>
      </c>
      <c r="D5">
        <v>4</v>
      </c>
      <c r="E5" t="s">
        <v>20</v>
      </c>
      <c r="F5">
        <v>90.367000000000004</v>
      </c>
      <c r="G5">
        <v>25.190999999999999</v>
      </c>
      <c r="H5">
        <v>18.654</v>
      </c>
      <c r="I5">
        <v>19.312999999999999</v>
      </c>
      <c r="J5">
        <v>27.209</v>
      </c>
      <c r="K5">
        <v>313.89999999999998</v>
      </c>
      <c r="L5">
        <v>366.09300000000002</v>
      </c>
      <c r="M5" t="b">
        <v>0</v>
      </c>
      <c r="N5" t="b">
        <v>0</v>
      </c>
    </row>
    <row r="6" spans="1:14" x14ac:dyDescent="0.3">
      <c r="A6" t="s">
        <v>498</v>
      </c>
      <c r="B6">
        <v>72</v>
      </c>
      <c r="C6">
        <v>1</v>
      </c>
      <c r="D6">
        <v>5</v>
      </c>
      <c r="E6" t="s">
        <v>21</v>
      </c>
      <c r="F6">
        <v>90.087000000000003</v>
      </c>
      <c r="G6">
        <v>25.146000000000001</v>
      </c>
      <c r="H6">
        <v>18.545999999999999</v>
      </c>
      <c r="I6">
        <v>19.201000000000001</v>
      </c>
      <c r="J6">
        <v>27.193999999999999</v>
      </c>
      <c r="K6">
        <v>314.8</v>
      </c>
      <c r="L6">
        <v>456.18</v>
      </c>
      <c r="M6" t="b">
        <v>0</v>
      </c>
      <c r="N6" t="b">
        <v>0</v>
      </c>
    </row>
    <row r="7" spans="1:14" x14ac:dyDescent="0.3">
      <c r="A7" t="s">
        <v>498</v>
      </c>
      <c r="B7">
        <v>72</v>
      </c>
      <c r="C7">
        <v>1</v>
      </c>
      <c r="D7">
        <v>6</v>
      </c>
      <c r="E7" t="s">
        <v>22</v>
      </c>
      <c r="F7">
        <v>90.38</v>
      </c>
      <c r="G7">
        <v>25.245999999999999</v>
      </c>
      <c r="H7">
        <v>18.635000000000002</v>
      </c>
      <c r="I7">
        <v>19.241</v>
      </c>
      <c r="J7">
        <v>27.257999999999999</v>
      </c>
      <c r="K7">
        <v>311.2</v>
      </c>
      <c r="L7">
        <v>546.55999999999995</v>
      </c>
      <c r="M7" t="b">
        <v>0</v>
      </c>
      <c r="N7" t="b">
        <v>0</v>
      </c>
    </row>
    <row r="8" spans="1:14" x14ac:dyDescent="0.3">
      <c r="A8" t="s">
        <v>498</v>
      </c>
      <c r="B8">
        <v>72</v>
      </c>
      <c r="C8">
        <v>1</v>
      </c>
      <c r="D8">
        <v>7</v>
      </c>
      <c r="E8" t="s">
        <v>23</v>
      </c>
      <c r="F8">
        <v>90.19</v>
      </c>
      <c r="G8">
        <v>25.088000000000001</v>
      </c>
      <c r="H8">
        <v>18.509</v>
      </c>
      <c r="I8">
        <v>19.321000000000002</v>
      </c>
      <c r="J8">
        <v>27.271999999999998</v>
      </c>
      <c r="K8">
        <v>313.89999999999998</v>
      </c>
      <c r="L8">
        <v>636.75</v>
      </c>
      <c r="M8" t="b">
        <v>0</v>
      </c>
      <c r="N8" t="b">
        <v>0</v>
      </c>
    </row>
    <row r="9" spans="1:14" x14ac:dyDescent="0.3">
      <c r="A9" t="s">
        <v>498</v>
      </c>
      <c r="B9">
        <v>72</v>
      </c>
      <c r="C9">
        <v>1</v>
      </c>
      <c r="D9">
        <v>8</v>
      </c>
      <c r="E9" t="s">
        <v>24</v>
      </c>
      <c r="F9">
        <v>90.132000000000005</v>
      </c>
      <c r="G9">
        <v>25.141999999999999</v>
      </c>
      <c r="H9">
        <v>18.611999999999998</v>
      </c>
      <c r="I9">
        <v>19.286999999999999</v>
      </c>
      <c r="J9">
        <v>27.091000000000001</v>
      </c>
      <c r="K9">
        <v>314.8</v>
      </c>
      <c r="L9">
        <v>726.88199999999995</v>
      </c>
      <c r="M9" t="b">
        <v>0</v>
      </c>
      <c r="N9" t="b">
        <v>0</v>
      </c>
    </row>
    <row r="10" spans="1:14" x14ac:dyDescent="0.3">
      <c r="A10" t="s">
        <v>498</v>
      </c>
      <c r="B10">
        <v>72</v>
      </c>
      <c r="C10">
        <v>1</v>
      </c>
      <c r="D10">
        <v>9</v>
      </c>
      <c r="E10" t="s">
        <v>25</v>
      </c>
      <c r="F10">
        <v>90.191999999999993</v>
      </c>
      <c r="G10">
        <v>25.109000000000002</v>
      </c>
      <c r="H10">
        <v>18.620999999999999</v>
      </c>
      <c r="I10">
        <v>19.259</v>
      </c>
      <c r="J10">
        <v>27.202999999999999</v>
      </c>
      <c r="K10">
        <v>313.89999999999998</v>
      </c>
      <c r="L10">
        <v>817.07399999999996</v>
      </c>
      <c r="M10" t="b">
        <v>0</v>
      </c>
      <c r="N10" t="b">
        <v>0</v>
      </c>
    </row>
    <row r="11" spans="1:14" x14ac:dyDescent="0.3">
      <c r="A11" t="s">
        <v>498</v>
      </c>
      <c r="B11">
        <v>72</v>
      </c>
      <c r="C11">
        <v>1</v>
      </c>
      <c r="D11">
        <v>10</v>
      </c>
      <c r="E11" t="s">
        <v>26</v>
      </c>
      <c r="F11">
        <v>90.31</v>
      </c>
      <c r="G11">
        <v>25.221</v>
      </c>
      <c r="H11">
        <v>18.594000000000001</v>
      </c>
      <c r="I11">
        <v>19.231999999999999</v>
      </c>
      <c r="J11">
        <v>27.263000000000002</v>
      </c>
      <c r="K11">
        <v>310.3</v>
      </c>
      <c r="L11">
        <v>907.38400000000001</v>
      </c>
      <c r="M11" t="b">
        <v>0</v>
      </c>
      <c r="N11" t="b">
        <v>0</v>
      </c>
    </row>
    <row r="12" spans="1:14" x14ac:dyDescent="0.3">
      <c r="A12" t="s">
        <v>498</v>
      </c>
      <c r="B12">
        <v>72</v>
      </c>
      <c r="C12">
        <v>1</v>
      </c>
      <c r="D12">
        <v>11</v>
      </c>
      <c r="E12" t="s">
        <v>27</v>
      </c>
      <c r="F12">
        <v>89.991</v>
      </c>
      <c r="G12">
        <v>25.035</v>
      </c>
      <c r="H12">
        <v>18.594999999999999</v>
      </c>
      <c r="I12">
        <v>19.178000000000001</v>
      </c>
      <c r="J12">
        <v>27.183</v>
      </c>
      <c r="K12">
        <v>313.89999999999998</v>
      </c>
      <c r="L12">
        <v>997.375</v>
      </c>
      <c r="M12" t="b">
        <v>0</v>
      </c>
      <c r="N12" t="b">
        <v>0</v>
      </c>
    </row>
    <row r="13" spans="1:14" x14ac:dyDescent="0.3">
      <c r="A13" t="s">
        <v>498</v>
      </c>
      <c r="B13">
        <v>72</v>
      </c>
      <c r="C13">
        <v>1</v>
      </c>
      <c r="D13">
        <v>12</v>
      </c>
      <c r="E13" t="s">
        <v>28</v>
      </c>
      <c r="F13">
        <v>90.11</v>
      </c>
      <c r="G13">
        <v>25.091999999999999</v>
      </c>
      <c r="H13">
        <v>18.565000000000001</v>
      </c>
      <c r="I13">
        <v>19.280999999999999</v>
      </c>
      <c r="J13">
        <v>27.172000000000001</v>
      </c>
      <c r="K13">
        <v>312.10000000000002</v>
      </c>
      <c r="L13">
        <v>1087.4849999999999</v>
      </c>
      <c r="M13" t="b">
        <v>0</v>
      </c>
      <c r="N13" t="b">
        <v>0</v>
      </c>
    </row>
    <row r="14" spans="1:14" x14ac:dyDescent="0.3">
      <c r="A14" t="s">
        <v>498</v>
      </c>
      <c r="B14">
        <v>72</v>
      </c>
      <c r="C14">
        <v>1</v>
      </c>
      <c r="D14">
        <v>13</v>
      </c>
      <c r="E14" t="s">
        <v>29</v>
      </c>
      <c r="F14">
        <v>90.147999999999996</v>
      </c>
      <c r="G14">
        <v>25.088000000000001</v>
      </c>
      <c r="H14">
        <v>18.667000000000002</v>
      </c>
      <c r="I14">
        <v>19.225999999999999</v>
      </c>
      <c r="J14">
        <v>27.167000000000002</v>
      </c>
      <c r="K14">
        <v>312.10000000000002</v>
      </c>
      <c r="L14">
        <v>1177.633</v>
      </c>
      <c r="M14" t="b">
        <v>0</v>
      </c>
      <c r="N14" t="b">
        <v>0</v>
      </c>
    </row>
    <row r="15" spans="1:14" x14ac:dyDescent="0.3">
      <c r="A15" t="s">
        <v>498</v>
      </c>
      <c r="B15">
        <v>72</v>
      </c>
      <c r="C15">
        <v>1</v>
      </c>
      <c r="D15">
        <v>14</v>
      </c>
      <c r="E15" t="s">
        <v>30</v>
      </c>
      <c r="F15">
        <v>90.186000000000007</v>
      </c>
      <c r="G15">
        <v>25.074999999999999</v>
      </c>
      <c r="H15">
        <v>18.550999999999998</v>
      </c>
      <c r="I15">
        <v>19.352</v>
      </c>
      <c r="J15">
        <v>27.207999999999998</v>
      </c>
      <c r="K15">
        <v>313</v>
      </c>
      <c r="L15">
        <v>1267.819</v>
      </c>
      <c r="M15" t="b">
        <v>0</v>
      </c>
      <c r="N15" t="b">
        <v>0</v>
      </c>
    </row>
    <row r="16" spans="1:14" x14ac:dyDescent="0.3">
      <c r="A16" t="s">
        <v>498</v>
      </c>
      <c r="B16">
        <v>72</v>
      </c>
      <c r="C16">
        <v>1</v>
      </c>
      <c r="D16">
        <v>15</v>
      </c>
      <c r="E16" t="s">
        <v>31</v>
      </c>
      <c r="F16">
        <v>90.061999999999998</v>
      </c>
      <c r="G16">
        <v>25.116</v>
      </c>
      <c r="H16">
        <v>18.565000000000001</v>
      </c>
      <c r="I16">
        <v>19.178999999999998</v>
      </c>
      <c r="J16">
        <v>27.202000000000002</v>
      </c>
      <c r="K16">
        <v>313</v>
      </c>
      <c r="L16">
        <v>1357.8810000000001</v>
      </c>
      <c r="M16" t="b">
        <v>0</v>
      </c>
      <c r="N16" t="b">
        <v>0</v>
      </c>
    </row>
    <row r="17" spans="1:14" x14ac:dyDescent="0.3">
      <c r="A17" t="s">
        <v>498</v>
      </c>
      <c r="B17">
        <v>72</v>
      </c>
      <c r="C17">
        <v>1</v>
      </c>
      <c r="D17">
        <v>16</v>
      </c>
      <c r="E17" t="s">
        <v>32</v>
      </c>
      <c r="F17">
        <v>90.576999999999998</v>
      </c>
      <c r="G17">
        <v>25.167000000000002</v>
      </c>
      <c r="H17">
        <v>18.722999999999999</v>
      </c>
      <c r="I17">
        <v>19.46</v>
      </c>
      <c r="J17">
        <v>27.227</v>
      </c>
      <c r="K17">
        <v>313</v>
      </c>
      <c r="L17">
        <v>1448.4580000000001</v>
      </c>
      <c r="M17" t="b">
        <v>0</v>
      </c>
      <c r="N17" t="b">
        <v>0</v>
      </c>
    </row>
    <row r="18" spans="1:14" x14ac:dyDescent="0.3">
      <c r="A18" t="s">
        <v>498</v>
      </c>
      <c r="B18">
        <v>72</v>
      </c>
      <c r="C18">
        <v>1</v>
      </c>
      <c r="D18">
        <v>17</v>
      </c>
      <c r="E18" t="s">
        <v>33</v>
      </c>
      <c r="F18">
        <v>90.201999999999998</v>
      </c>
      <c r="G18">
        <v>25.059000000000001</v>
      </c>
      <c r="H18">
        <v>18.571999999999999</v>
      </c>
      <c r="I18">
        <v>19.305</v>
      </c>
      <c r="J18">
        <v>27.265999999999998</v>
      </c>
      <c r="K18">
        <v>312.10000000000002</v>
      </c>
      <c r="L18">
        <v>1538.66</v>
      </c>
      <c r="M18" t="b">
        <v>0</v>
      </c>
      <c r="N18" t="b">
        <v>0</v>
      </c>
    </row>
    <row r="19" spans="1:14" x14ac:dyDescent="0.3">
      <c r="A19" t="s">
        <v>498</v>
      </c>
      <c r="B19">
        <v>72</v>
      </c>
      <c r="C19">
        <v>1</v>
      </c>
      <c r="D19">
        <v>18</v>
      </c>
      <c r="E19" t="s">
        <v>34</v>
      </c>
      <c r="F19">
        <v>90.515000000000001</v>
      </c>
      <c r="G19">
        <v>25.152000000000001</v>
      </c>
      <c r="H19">
        <v>18.663</v>
      </c>
      <c r="I19">
        <v>19.335000000000001</v>
      </c>
      <c r="J19">
        <v>27.364999999999998</v>
      </c>
      <c r="K19">
        <v>314.8</v>
      </c>
      <c r="L19">
        <v>1629.175</v>
      </c>
      <c r="M19" t="b">
        <v>0</v>
      </c>
      <c r="N19" t="b">
        <v>0</v>
      </c>
    </row>
    <row r="20" spans="1:14" x14ac:dyDescent="0.3">
      <c r="A20" t="s">
        <v>498</v>
      </c>
      <c r="B20">
        <v>72</v>
      </c>
      <c r="C20">
        <v>1</v>
      </c>
      <c r="D20">
        <v>19</v>
      </c>
      <c r="E20" t="s">
        <v>35</v>
      </c>
      <c r="F20">
        <v>89.96</v>
      </c>
      <c r="G20">
        <v>24.911999999999999</v>
      </c>
      <c r="H20">
        <v>18.507000000000001</v>
      </c>
      <c r="I20">
        <v>19.292000000000002</v>
      </c>
      <c r="J20">
        <v>27.248999999999999</v>
      </c>
      <c r="K20">
        <v>315.7</v>
      </c>
      <c r="L20">
        <v>1719.135</v>
      </c>
      <c r="M20" t="b">
        <v>0</v>
      </c>
      <c r="N20" t="b">
        <v>0</v>
      </c>
    </row>
    <row r="21" spans="1:14" x14ac:dyDescent="0.3">
      <c r="A21" t="s">
        <v>498</v>
      </c>
      <c r="B21">
        <v>72</v>
      </c>
      <c r="C21">
        <v>1</v>
      </c>
      <c r="D21">
        <v>20</v>
      </c>
      <c r="E21" t="s">
        <v>36</v>
      </c>
      <c r="F21">
        <v>90.582999999999998</v>
      </c>
      <c r="G21">
        <v>25.224</v>
      </c>
      <c r="H21">
        <v>18.678000000000001</v>
      </c>
      <c r="I21">
        <v>19.353000000000002</v>
      </c>
      <c r="J21">
        <v>27.327999999999999</v>
      </c>
      <c r="K21">
        <v>313</v>
      </c>
      <c r="L21">
        <v>1809.7180000000001</v>
      </c>
      <c r="M21" t="b">
        <v>0</v>
      </c>
      <c r="N21" t="b">
        <v>0</v>
      </c>
    </row>
    <row r="22" spans="1:14" x14ac:dyDescent="0.3">
      <c r="A22" t="s">
        <v>498</v>
      </c>
      <c r="B22">
        <v>72</v>
      </c>
      <c r="C22">
        <v>1</v>
      </c>
      <c r="D22">
        <v>21</v>
      </c>
      <c r="E22" t="s">
        <v>37</v>
      </c>
      <c r="F22">
        <v>90.396000000000001</v>
      </c>
      <c r="G22">
        <v>25.18</v>
      </c>
      <c r="H22">
        <v>18.579000000000001</v>
      </c>
      <c r="I22">
        <v>19.364999999999998</v>
      </c>
      <c r="J22">
        <v>27.271999999999998</v>
      </c>
      <c r="K22">
        <v>313</v>
      </c>
      <c r="L22">
        <v>1900.114</v>
      </c>
      <c r="M22" t="b">
        <v>0</v>
      </c>
      <c r="N22" t="b">
        <v>0</v>
      </c>
    </row>
    <row r="23" spans="1:14" x14ac:dyDescent="0.3">
      <c r="A23" t="s">
        <v>498</v>
      </c>
      <c r="B23">
        <v>72</v>
      </c>
      <c r="C23">
        <v>1</v>
      </c>
      <c r="D23">
        <v>22</v>
      </c>
      <c r="E23" t="s">
        <v>38</v>
      </c>
      <c r="F23">
        <v>90.965999999999994</v>
      </c>
      <c r="G23">
        <v>25.2</v>
      </c>
      <c r="H23">
        <v>18.844000000000001</v>
      </c>
      <c r="I23">
        <v>19.465</v>
      </c>
      <c r="J23">
        <v>27.457000000000001</v>
      </c>
      <c r="K23">
        <v>313</v>
      </c>
      <c r="L23">
        <v>1991.08</v>
      </c>
      <c r="M23" t="b">
        <v>0</v>
      </c>
      <c r="N23" t="b">
        <v>0</v>
      </c>
    </row>
    <row r="24" spans="1:14" x14ac:dyDescent="0.3">
      <c r="A24" t="s">
        <v>498</v>
      </c>
      <c r="B24">
        <v>72</v>
      </c>
      <c r="C24">
        <v>1</v>
      </c>
      <c r="D24">
        <v>23</v>
      </c>
      <c r="E24" t="s">
        <v>39</v>
      </c>
      <c r="F24">
        <v>90.927000000000007</v>
      </c>
      <c r="G24">
        <v>25.158000000000001</v>
      </c>
      <c r="H24">
        <v>18.75</v>
      </c>
      <c r="I24">
        <v>19.475999999999999</v>
      </c>
      <c r="J24">
        <v>27.542999999999999</v>
      </c>
      <c r="K24">
        <v>313</v>
      </c>
      <c r="L24">
        <v>2082.0070000000001</v>
      </c>
      <c r="M24" t="b">
        <v>0</v>
      </c>
      <c r="N24" t="b">
        <v>0</v>
      </c>
    </row>
    <row r="25" spans="1:14" x14ac:dyDescent="0.3">
      <c r="A25" t="s">
        <v>498</v>
      </c>
      <c r="B25">
        <v>72</v>
      </c>
      <c r="C25">
        <v>1</v>
      </c>
      <c r="D25">
        <v>24</v>
      </c>
      <c r="E25" t="s">
        <v>40</v>
      </c>
      <c r="F25">
        <v>90.86</v>
      </c>
      <c r="G25">
        <v>25.227</v>
      </c>
      <c r="H25">
        <v>18.794</v>
      </c>
      <c r="I25">
        <v>19.452999999999999</v>
      </c>
      <c r="J25">
        <v>27.385999999999999</v>
      </c>
      <c r="K25">
        <v>312.10000000000002</v>
      </c>
      <c r="L25">
        <v>2172.8670000000002</v>
      </c>
      <c r="M25" t="b">
        <v>0</v>
      </c>
      <c r="N25" t="b">
        <v>0</v>
      </c>
    </row>
    <row r="26" spans="1:14" x14ac:dyDescent="0.3">
      <c r="A26" t="s">
        <v>498</v>
      </c>
      <c r="B26">
        <v>72</v>
      </c>
      <c r="C26">
        <v>1</v>
      </c>
      <c r="D26">
        <v>25</v>
      </c>
      <c r="E26" t="s">
        <v>41</v>
      </c>
      <c r="F26">
        <v>91.099000000000004</v>
      </c>
      <c r="G26">
        <v>25.324000000000002</v>
      </c>
      <c r="H26">
        <v>18.79</v>
      </c>
      <c r="I26">
        <v>19.46</v>
      </c>
      <c r="J26">
        <v>27.524999999999999</v>
      </c>
      <c r="K26">
        <v>313.89999999999998</v>
      </c>
      <c r="L26">
        <v>2263.9659999999999</v>
      </c>
      <c r="M26" t="b">
        <v>0</v>
      </c>
      <c r="N26" t="b">
        <v>0</v>
      </c>
    </row>
    <row r="27" spans="1:14" x14ac:dyDescent="0.3">
      <c r="A27" t="s">
        <v>498</v>
      </c>
      <c r="B27">
        <v>72</v>
      </c>
      <c r="C27">
        <v>1</v>
      </c>
      <c r="D27">
        <v>26</v>
      </c>
      <c r="E27" t="s">
        <v>42</v>
      </c>
      <c r="F27">
        <v>91.122</v>
      </c>
      <c r="G27">
        <v>25.271000000000001</v>
      </c>
      <c r="H27">
        <v>18.788</v>
      </c>
      <c r="I27">
        <v>19.510000000000002</v>
      </c>
      <c r="J27">
        <v>27.553000000000001</v>
      </c>
      <c r="K27">
        <v>313</v>
      </c>
      <c r="L27">
        <v>2355.0880000000002</v>
      </c>
      <c r="M27" t="b">
        <v>0</v>
      </c>
      <c r="N27" t="b">
        <v>0</v>
      </c>
    </row>
    <row r="28" spans="1:14" x14ac:dyDescent="0.3">
      <c r="A28" t="s">
        <v>498</v>
      </c>
      <c r="B28">
        <v>72</v>
      </c>
      <c r="C28">
        <v>1</v>
      </c>
      <c r="D28">
        <v>27</v>
      </c>
      <c r="E28" t="s">
        <v>43</v>
      </c>
      <c r="F28">
        <v>91.494</v>
      </c>
      <c r="G28">
        <v>25.318999999999999</v>
      </c>
      <c r="H28">
        <v>18.838000000000001</v>
      </c>
      <c r="I28">
        <v>19.54</v>
      </c>
      <c r="J28">
        <v>27.797000000000001</v>
      </c>
      <c r="K28">
        <v>313</v>
      </c>
      <c r="L28">
        <v>2446.5819999999999</v>
      </c>
      <c r="M28" t="b">
        <v>0</v>
      </c>
      <c r="N28" t="b">
        <v>0</v>
      </c>
    </row>
    <row r="29" spans="1:14" x14ac:dyDescent="0.3">
      <c r="A29" t="s">
        <v>499</v>
      </c>
      <c r="B29">
        <v>25</v>
      </c>
      <c r="C29">
        <v>2</v>
      </c>
      <c r="D29">
        <v>1</v>
      </c>
      <c r="E29" t="s">
        <v>46</v>
      </c>
      <c r="F29">
        <v>94.004000000000005</v>
      </c>
      <c r="G29">
        <v>28.681999999999999</v>
      </c>
      <c r="H29">
        <v>18.654</v>
      </c>
      <c r="I29">
        <v>19.393000000000001</v>
      </c>
      <c r="J29">
        <v>27.274999999999999</v>
      </c>
      <c r="K29">
        <v>252.3</v>
      </c>
      <c r="L29">
        <v>94.004000000000005</v>
      </c>
      <c r="M29" t="b">
        <v>0</v>
      </c>
      <c r="N29" t="b">
        <v>0</v>
      </c>
    </row>
    <row r="30" spans="1:14" x14ac:dyDescent="0.3">
      <c r="A30" t="s">
        <v>499</v>
      </c>
      <c r="B30">
        <v>25</v>
      </c>
      <c r="C30">
        <v>2</v>
      </c>
      <c r="D30">
        <v>2</v>
      </c>
      <c r="E30" t="s">
        <v>47</v>
      </c>
      <c r="F30">
        <v>90.421000000000006</v>
      </c>
      <c r="G30">
        <v>25.259</v>
      </c>
      <c r="H30">
        <v>18.545000000000002</v>
      </c>
      <c r="I30">
        <v>19.327999999999999</v>
      </c>
      <c r="J30">
        <v>27.289000000000001</v>
      </c>
      <c r="K30">
        <v>306.8</v>
      </c>
      <c r="L30">
        <v>184.42500000000001</v>
      </c>
      <c r="M30" t="b">
        <v>0</v>
      </c>
      <c r="N30" t="b">
        <v>0</v>
      </c>
    </row>
    <row r="31" spans="1:14" x14ac:dyDescent="0.3">
      <c r="A31" t="s">
        <v>499</v>
      </c>
      <c r="B31">
        <v>25</v>
      </c>
      <c r="C31">
        <v>2</v>
      </c>
      <c r="D31">
        <v>3</v>
      </c>
      <c r="E31" t="s">
        <v>48</v>
      </c>
      <c r="F31">
        <v>90.585999999999999</v>
      </c>
      <c r="G31">
        <v>25.283999999999999</v>
      </c>
      <c r="H31">
        <v>18.684999999999999</v>
      </c>
      <c r="I31">
        <v>19.204000000000001</v>
      </c>
      <c r="J31">
        <v>27.413</v>
      </c>
      <c r="K31">
        <v>308.5</v>
      </c>
      <c r="L31">
        <v>275.01100000000002</v>
      </c>
      <c r="M31" t="b">
        <v>0</v>
      </c>
      <c r="N31" t="b">
        <v>0</v>
      </c>
    </row>
    <row r="32" spans="1:14" x14ac:dyDescent="0.3">
      <c r="A32" t="s">
        <v>499</v>
      </c>
      <c r="B32">
        <v>25</v>
      </c>
      <c r="C32">
        <v>2</v>
      </c>
      <c r="D32">
        <v>4</v>
      </c>
      <c r="E32" t="s">
        <v>49</v>
      </c>
      <c r="F32">
        <v>90.334999999999994</v>
      </c>
      <c r="G32">
        <v>25.2</v>
      </c>
      <c r="H32">
        <v>18.574000000000002</v>
      </c>
      <c r="I32">
        <v>19.274999999999999</v>
      </c>
      <c r="J32">
        <v>27.286000000000001</v>
      </c>
      <c r="K32">
        <v>308.5</v>
      </c>
      <c r="L32">
        <v>365.346</v>
      </c>
      <c r="M32" t="b">
        <v>0</v>
      </c>
      <c r="N32" t="b">
        <v>0</v>
      </c>
    </row>
    <row r="33" spans="1:14" x14ac:dyDescent="0.3">
      <c r="A33" t="s">
        <v>499</v>
      </c>
      <c r="B33">
        <v>25</v>
      </c>
      <c r="C33">
        <v>2</v>
      </c>
      <c r="D33">
        <v>5</v>
      </c>
      <c r="E33" t="s">
        <v>50</v>
      </c>
      <c r="F33">
        <v>90.027000000000001</v>
      </c>
      <c r="G33">
        <v>25.132000000000001</v>
      </c>
      <c r="H33">
        <v>18.545000000000002</v>
      </c>
      <c r="I33">
        <v>19.218</v>
      </c>
      <c r="J33">
        <v>27.132000000000001</v>
      </c>
      <c r="K33">
        <v>307.60000000000002</v>
      </c>
      <c r="L33">
        <v>455.37299999999999</v>
      </c>
      <c r="M33" t="b">
        <v>0</v>
      </c>
      <c r="N33" t="b">
        <v>0</v>
      </c>
    </row>
    <row r="34" spans="1:14" x14ac:dyDescent="0.3">
      <c r="A34" t="s">
        <v>499</v>
      </c>
      <c r="B34">
        <v>25</v>
      </c>
      <c r="C34">
        <v>2</v>
      </c>
      <c r="D34">
        <v>6</v>
      </c>
      <c r="E34" t="s">
        <v>51</v>
      </c>
      <c r="F34">
        <v>90.355000000000004</v>
      </c>
      <c r="G34">
        <v>25.222999999999999</v>
      </c>
      <c r="H34">
        <v>18.62</v>
      </c>
      <c r="I34">
        <v>19.285</v>
      </c>
      <c r="J34">
        <v>27.227</v>
      </c>
      <c r="K34">
        <v>306.8</v>
      </c>
      <c r="L34">
        <v>545.72799999999995</v>
      </c>
      <c r="M34" t="b">
        <v>0</v>
      </c>
      <c r="N34" t="b">
        <v>0</v>
      </c>
    </row>
    <row r="35" spans="1:14" x14ac:dyDescent="0.3">
      <c r="A35" t="s">
        <v>499</v>
      </c>
      <c r="B35">
        <v>25</v>
      </c>
      <c r="C35">
        <v>2</v>
      </c>
      <c r="D35">
        <v>7</v>
      </c>
      <c r="E35" t="s">
        <v>52</v>
      </c>
      <c r="F35">
        <v>90.548000000000002</v>
      </c>
      <c r="G35">
        <v>25.32</v>
      </c>
      <c r="H35">
        <v>18.588999999999999</v>
      </c>
      <c r="I35">
        <v>19.32</v>
      </c>
      <c r="J35">
        <v>27.318999999999999</v>
      </c>
      <c r="K35">
        <v>307.60000000000002</v>
      </c>
      <c r="L35">
        <v>636.27599999999995</v>
      </c>
      <c r="M35" t="b">
        <v>0</v>
      </c>
      <c r="N35" t="b">
        <v>0</v>
      </c>
    </row>
    <row r="36" spans="1:14" x14ac:dyDescent="0.3">
      <c r="A36" t="s">
        <v>499</v>
      </c>
      <c r="B36">
        <v>25</v>
      </c>
      <c r="C36">
        <v>2</v>
      </c>
      <c r="D36">
        <v>8</v>
      </c>
      <c r="E36" t="s">
        <v>53</v>
      </c>
      <c r="F36">
        <v>90.070999999999998</v>
      </c>
      <c r="G36">
        <v>25.189</v>
      </c>
      <c r="H36">
        <v>18.527999999999999</v>
      </c>
      <c r="I36">
        <v>19.202999999999999</v>
      </c>
      <c r="J36">
        <v>27.151</v>
      </c>
      <c r="K36">
        <v>308.5</v>
      </c>
      <c r="L36">
        <v>726.34699999999998</v>
      </c>
      <c r="M36" t="b">
        <v>0</v>
      </c>
      <c r="N36" t="b">
        <v>0</v>
      </c>
    </row>
    <row r="37" spans="1:14" x14ac:dyDescent="0.3">
      <c r="A37" t="s">
        <v>499</v>
      </c>
      <c r="B37">
        <v>25</v>
      </c>
      <c r="C37">
        <v>2</v>
      </c>
      <c r="D37">
        <v>9</v>
      </c>
      <c r="E37" t="s">
        <v>54</v>
      </c>
      <c r="F37">
        <v>90.274000000000001</v>
      </c>
      <c r="G37">
        <v>25.263999999999999</v>
      </c>
      <c r="H37">
        <v>18.545000000000002</v>
      </c>
      <c r="I37">
        <v>19.234000000000002</v>
      </c>
      <c r="J37">
        <v>27.231000000000002</v>
      </c>
      <c r="K37">
        <v>307.60000000000002</v>
      </c>
      <c r="L37">
        <v>816.62099999999998</v>
      </c>
      <c r="M37" t="b">
        <v>0</v>
      </c>
      <c r="N37" t="b">
        <v>0</v>
      </c>
    </row>
    <row r="38" spans="1:14" x14ac:dyDescent="0.3">
      <c r="A38" t="s">
        <v>499</v>
      </c>
      <c r="B38">
        <v>25</v>
      </c>
      <c r="C38">
        <v>2</v>
      </c>
      <c r="D38">
        <v>10</v>
      </c>
      <c r="E38" t="s">
        <v>55</v>
      </c>
      <c r="F38">
        <v>90.242000000000004</v>
      </c>
      <c r="G38">
        <v>25.154</v>
      </c>
      <c r="H38">
        <v>18.524999999999999</v>
      </c>
      <c r="I38">
        <v>19.265999999999998</v>
      </c>
      <c r="J38">
        <v>27.297000000000001</v>
      </c>
      <c r="K38">
        <v>306.8</v>
      </c>
      <c r="L38">
        <v>906.86300000000006</v>
      </c>
      <c r="M38" t="b">
        <v>0</v>
      </c>
      <c r="N38" t="b">
        <v>0</v>
      </c>
    </row>
    <row r="39" spans="1:14" x14ac:dyDescent="0.3">
      <c r="A39" t="s">
        <v>499</v>
      </c>
      <c r="B39">
        <v>25</v>
      </c>
      <c r="C39">
        <v>2</v>
      </c>
      <c r="D39">
        <v>11</v>
      </c>
      <c r="E39" t="s">
        <v>56</v>
      </c>
      <c r="F39">
        <v>90.075000000000003</v>
      </c>
      <c r="G39">
        <v>25.050999999999998</v>
      </c>
      <c r="H39">
        <v>18.637</v>
      </c>
      <c r="I39">
        <v>19.186</v>
      </c>
      <c r="J39">
        <v>27.201000000000001</v>
      </c>
      <c r="K39">
        <v>308.5</v>
      </c>
      <c r="L39">
        <v>996.93799999999999</v>
      </c>
      <c r="M39" t="b">
        <v>0</v>
      </c>
      <c r="N39" t="b">
        <v>0</v>
      </c>
    </row>
    <row r="40" spans="1:14" x14ac:dyDescent="0.3">
      <c r="A40" t="s">
        <v>499</v>
      </c>
      <c r="B40">
        <v>25</v>
      </c>
      <c r="C40">
        <v>2</v>
      </c>
      <c r="D40">
        <v>12</v>
      </c>
      <c r="E40" t="s">
        <v>57</v>
      </c>
      <c r="F40">
        <v>90.087999999999994</v>
      </c>
      <c r="G40">
        <v>25.167000000000002</v>
      </c>
      <c r="H40">
        <v>18.521999999999998</v>
      </c>
      <c r="I40">
        <v>19.184000000000001</v>
      </c>
      <c r="J40">
        <v>27.215</v>
      </c>
      <c r="K40">
        <v>307.60000000000002</v>
      </c>
      <c r="L40">
        <v>1087.0260000000001</v>
      </c>
      <c r="M40" t="b">
        <v>0</v>
      </c>
      <c r="N40" t="b">
        <v>0</v>
      </c>
    </row>
    <row r="41" spans="1:14" x14ac:dyDescent="0.3">
      <c r="A41" t="s">
        <v>499</v>
      </c>
      <c r="B41">
        <v>25</v>
      </c>
      <c r="C41">
        <v>2</v>
      </c>
      <c r="D41">
        <v>13</v>
      </c>
      <c r="E41" t="s">
        <v>58</v>
      </c>
      <c r="F41">
        <v>90.283000000000001</v>
      </c>
      <c r="G41">
        <v>25.13</v>
      </c>
      <c r="H41">
        <v>18.655000000000001</v>
      </c>
      <c r="I41">
        <v>19.277000000000001</v>
      </c>
      <c r="J41">
        <v>27.221</v>
      </c>
      <c r="K41">
        <v>308.5</v>
      </c>
      <c r="L41">
        <v>1177.309</v>
      </c>
      <c r="M41" t="b">
        <v>0</v>
      </c>
      <c r="N41" t="b">
        <v>0</v>
      </c>
    </row>
    <row r="42" spans="1:14" x14ac:dyDescent="0.3">
      <c r="A42" t="s">
        <v>499</v>
      </c>
      <c r="B42">
        <v>25</v>
      </c>
      <c r="C42">
        <v>2</v>
      </c>
      <c r="D42">
        <v>14</v>
      </c>
      <c r="E42" t="s">
        <v>59</v>
      </c>
      <c r="F42">
        <v>90.024000000000001</v>
      </c>
      <c r="G42">
        <v>25.177</v>
      </c>
      <c r="H42">
        <v>18.5</v>
      </c>
      <c r="I42">
        <v>19.198</v>
      </c>
      <c r="J42">
        <v>27.149000000000001</v>
      </c>
      <c r="K42">
        <v>308.5</v>
      </c>
      <c r="L42">
        <v>1267.3330000000001</v>
      </c>
      <c r="M42" t="b">
        <v>0</v>
      </c>
      <c r="N42" t="b">
        <v>0</v>
      </c>
    </row>
    <row r="43" spans="1:14" x14ac:dyDescent="0.3">
      <c r="A43" t="s">
        <v>499</v>
      </c>
      <c r="B43">
        <v>25</v>
      </c>
      <c r="C43">
        <v>2</v>
      </c>
      <c r="D43">
        <v>15</v>
      </c>
      <c r="E43" t="s">
        <v>60</v>
      </c>
      <c r="F43">
        <v>90.361000000000004</v>
      </c>
      <c r="G43">
        <v>25.152000000000001</v>
      </c>
      <c r="H43">
        <v>18.591000000000001</v>
      </c>
      <c r="I43">
        <v>19.228000000000002</v>
      </c>
      <c r="J43">
        <v>27.39</v>
      </c>
      <c r="K43">
        <v>307.60000000000002</v>
      </c>
      <c r="L43">
        <v>1357.694</v>
      </c>
      <c r="M43" t="b">
        <v>0</v>
      </c>
      <c r="N43" t="b">
        <v>0</v>
      </c>
    </row>
    <row r="44" spans="1:14" x14ac:dyDescent="0.3">
      <c r="A44" t="s">
        <v>499</v>
      </c>
      <c r="B44">
        <v>25</v>
      </c>
      <c r="C44">
        <v>2</v>
      </c>
      <c r="D44">
        <v>16</v>
      </c>
      <c r="E44" t="s">
        <v>61</v>
      </c>
      <c r="F44">
        <v>90.361999999999995</v>
      </c>
      <c r="G44">
        <v>25.143000000000001</v>
      </c>
      <c r="H44">
        <v>18.57</v>
      </c>
      <c r="I44">
        <v>19.285</v>
      </c>
      <c r="J44">
        <v>27.364000000000001</v>
      </c>
      <c r="K44">
        <v>309.39999999999998</v>
      </c>
      <c r="L44">
        <v>1448.056</v>
      </c>
      <c r="M44" t="b">
        <v>0</v>
      </c>
      <c r="N44" t="b">
        <v>0</v>
      </c>
    </row>
    <row r="45" spans="1:14" x14ac:dyDescent="0.3">
      <c r="A45" t="s">
        <v>499</v>
      </c>
      <c r="B45">
        <v>25</v>
      </c>
      <c r="C45">
        <v>2</v>
      </c>
      <c r="D45">
        <v>17</v>
      </c>
      <c r="E45" t="s">
        <v>62</v>
      </c>
      <c r="F45">
        <v>90.44</v>
      </c>
      <c r="G45">
        <v>25.161999999999999</v>
      </c>
      <c r="H45">
        <v>18.584</v>
      </c>
      <c r="I45">
        <v>19.393999999999998</v>
      </c>
      <c r="J45">
        <v>27.3</v>
      </c>
      <c r="K45">
        <v>309.39999999999998</v>
      </c>
      <c r="L45">
        <v>1538.4960000000001</v>
      </c>
      <c r="M45" t="b">
        <v>0</v>
      </c>
      <c r="N45" t="b">
        <v>0</v>
      </c>
    </row>
    <row r="46" spans="1:14" x14ac:dyDescent="0.3">
      <c r="A46" t="s">
        <v>499</v>
      </c>
      <c r="B46">
        <v>25</v>
      </c>
      <c r="C46">
        <v>2</v>
      </c>
      <c r="D46">
        <v>18</v>
      </c>
      <c r="E46" t="s">
        <v>63</v>
      </c>
      <c r="F46">
        <v>90.578999999999994</v>
      </c>
      <c r="G46">
        <v>25.137</v>
      </c>
      <c r="H46">
        <v>18.611000000000001</v>
      </c>
      <c r="I46">
        <v>19.451000000000001</v>
      </c>
      <c r="J46">
        <v>27.38</v>
      </c>
      <c r="K46">
        <v>308.5</v>
      </c>
      <c r="L46">
        <v>1629.075</v>
      </c>
      <c r="M46" t="b">
        <v>0</v>
      </c>
      <c r="N46" t="b">
        <v>0</v>
      </c>
    </row>
    <row r="47" spans="1:14" x14ac:dyDescent="0.3">
      <c r="A47" t="s">
        <v>499</v>
      </c>
      <c r="B47">
        <v>25</v>
      </c>
      <c r="C47">
        <v>2</v>
      </c>
      <c r="D47">
        <v>19</v>
      </c>
      <c r="E47" t="s">
        <v>64</v>
      </c>
      <c r="F47">
        <v>91.495000000000005</v>
      </c>
      <c r="G47">
        <v>25.843</v>
      </c>
      <c r="H47">
        <v>18.792000000000002</v>
      </c>
      <c r="I47">
        <v>19.422999999999998</v>
      </c>
      <c r="J47">
        <v>27.437000000000001</v>
      </c>
      <c r="K47">
        <v>307.60000000000002</v>
      </c>
      <c r="L47">
        <v>1720.57</v>
      </c>
      <c r="M47" t="b">
        <v>0</v>
      </c>
      <c r="N47" t="b">
        <v>0</v>
      </c>
    </row>
    <row r="48" spans="1:14" x14ac:dyDescent="0.3">
      <c r="A48" t="s">
        <v>499</v>
      </c>
      <c r="B48">
        <v>25</v>
      </c>
      <c r="C48">
        <v>2</v>
      </c>
      <c r="D48">
        <v>20</v>
      </c>
      <c r="E48" t="s">
        <v>65</v>
      </c>
      <c r="F48">
        <v>90.962000000000003</v>
      </c>
      <c r="G48">
        <v>25.294</v>
      </c>
      <c r="H48">
        <v>18.765999999999998</v>
      </c>
      <c r="I48">
        <v>19.384</v>
      </c>
      <c r="J48">
        <v>27.518000000000001</v>
      </c>
      <c r="K48">
        <v>308.5</v>
      </c>
      <c r="L48">
        <v>1811.5319999999999</v>
      </c>
      <c r="M48" t="b">
        <v>0</v>
      </c>
      <c r="N48" t="b">
        <v>0</v>
      </c>
    </row>
    <row r="49" spans="1:14" x14ac:dyDescent="0.3">
      <c r="A49" t="s">
        <v>499</v>
      </c>
      <c r="B49">
        <v>25</v>
      </c>
      <c r="C49">
        <v>2</v>
      </c>
      <c r="D49">
        <v>21</v>
      </c>
      <c r="E49" t="s">
        <v>66</v>
      </c>
      <c r="F49">
        <v>91.001000000000005</v>
      </c>
      <c r="G49">
        <v>25.343</v>
      </c>
      <c r="H49">
        <v>18.756</v>
      </c>
      <c r="I49">
        <v>19.472000000000001</v>
      </c>
      <c r="J49">
        <v>27.43</v>
      </c>
      <c r="K49">
        <v>308.5</v>
      </c>
      <c r="L49">
        <v>1902.5329999999999</v>
      </c>
      <c r="M49" t="b">
        <v>0</v>
      </c>
      <c r="N49" t="b">
        <v>0</v>
      </c>
    </row>
    <row r="50" spans="1:14" x14ac:dyDescent="0.3">
      <c r="A50" t="s">
        <v>499</v>
      </c>
      <c r="B50">
        <v>25</v>
      </c>
      <c r="C50">
        <v>2</v>
      </c>
      <c r="D50">
        <v>22</v>
      </c>
      <c r="E50" t="s">
        <v>67</v>
      </c>
      <c r="F50">
        <v>91.001999999999995</v>
      </c>
      <c r="G50">
        <v>25.286000000000001</v>
      </c>
      <c r="H50">
        <v>18.731999999999999</v>
      </c>
      <c r="I50">
        <v>19.506</v>
      </c>
      <c r="J50">
        <v>27.478000000000002</v>
      </c>
      <c r="K50">
        <v>309.39999999999998</v>
      </c>
      <c r="L50">
        <v>1993.5350000000001</v>
      </c>
      <c r="M50" t="b">
        <v>0</v>
      </c>
      <c r="N50" t="b">
        <v>0</v>
      </c>
    </row>
    <row r="51" spans="1:14" x14ac:dyDescent="0.3">
      <c r="A51" t="s">
        <v>499</v>
      </c>
      <c r="B51">
        <v>25</v>
      </c>
      <c r="C51">
        <v>2</v>
      </c>
      <c r="D51">
        <v>23</v>
      </c>
      <c r="E51" t="s">
        <v>68</v>
      </c>
      <c r="F51">
        <v>90.863</v>
      </c>
      <c r="G51">
        <v>25.323</v>
      </c>
      <c r="H51">
        <v>18.702000000000002</v>
      </c>
      <c r="I51">
        <v>19.396999999999998</v>
      </c>
      <c r="J51">
        <v>27.440999999999999</v>
      </c>
      <c r="K51">
        <v>307.60000000000002</v>
      </c>
      <c r="L51">
        <v>2084.3980000000001</v>
      </c>
      <c r="M51" t="b">
        <v>0</v>
      </c>
      <c r="N51" t="b">
        <v>0</v>
      </c>
    </row>
    <row r="52" spans="1:14" x14ac:dyDescent="0.3">
      <c r="A52" t="s">
        <v>499</v>
      </c>
      <c r="B52">
        <v>25</v>
      </c>
      <c r="C52">
        <v>2</v>
      </c>
      <c r="D52">
        <v>24</v>
      </c>
      <c r="E52" t="s">
        <v>69</v>
      </c>
      <c r="F52">
        <v>91.043999999999997</v>
      </c>
      <c r="G52">
        <v>25.363</v>
      </c>
      <c r="H52">
        <v>18.783000000000001</v>
      </c>
      <c r="I52">
        <v>19.452000000000002</v>
      </c>
      <c r="J52">
        <v>27.446000000000002</v>
      </c>
      <c r="K52">
        <v>308.5</v>
      </c>
      <c r="L52">
        <v>2175.442</v>
      </c>
      <c r="M52" t="b">
        <v>0</v>
      </c>
      <c r="N52" t="b">
        <v>0</v>
      </c>
    </row>
    <row r="53" spans="1:14" x14ac:dyDescent="0.3">
      <c r="A53" t="s">
        <v>499</v>
      </c>
      <c r="B53">
        <v>25</v>
      </c>
      <c r="C53">
        <v>2</v>
      </c>
      <c r="D53">
        <v>25</v>
      </c>
      <c r="E53" t="s">
        <v>70</v>
      </c>
      <c r="F53">
        <v>91.28</v>
      </c>
      <c r="G53">
        <v>25.335000000000001</v>
      </c>
      <c r="H53">
        <v>18.739999999999998</v>
      </c>
      <c r="I53">
        <v>19.498999999999999</v>
      </c>
      <c r="J53">
        <v>27.706</v>
      </c>
      <c r="K53">
        <v>309.39999999999998</v>
      </c>
      <c r="L53">
        <v>2266.7220000000002</v>
      </c>
      <c r="M53" t="b">
        <v>0</v>
      </c>
      <c r="N53" t="b">
        <v>0</v>
      </c>
    </row>
    <row r="54" spans="1:14" x14ac:dyDescent="0.3">
      <c r="A54" t="s">
        <v>499</v>
      </c>
      <c r="B54">
        <v>25</v>
      </c>
      <c r="C54">
        <v>2</v>
      </c>
      <c r="D54">
        <v>26</v>
      </c>
      <c r="E54" t="s">
        <v>71</v>
      </c>
      <c r="F54">
        <v>91.695999999999998</v>
      </c>
      <c r="G54">
        <v>25.492000000000001</v>
      </c>
      <c r="H54">
        <v>18.981999999999999</v>
      </c>
      <c r="I54">
        <v>19.518999999999998</v>
      </c>
      <c r="J54">
        <v>27.702999999999999</v>
      </c>
      <c r="K54">
        <v>309.39999999999998</v>
      </c>
      <c r="L54">
        <v>2358.4180000000001</v>
      </c>
      <c r="M54" t="b">
        <v>0</v>
      </c>
      <c r="N54" t="b">
        <v>0</v>
      </c>
    </row>
    <row r="55" spans="1:14" x14ac:dyDescent="0.3">
      <c r="A55" t="s">
        <v>499</v>
      </c>
      <c r="B55">
        <v>25</v>
      </c>
      <c r="C55">
        <v>2</v>
      </c>
      <c r="D55">
        <v>27</v>
      </c>
      <c r="E55" t="s">
        <v>72</v>
      </c>
      <c r="F55">
        <v>92.424000000000007</v>
      </c>
      <c r="G55">
        <v>25.477</v>
      </c>
      <c r="H55">
        <v>18.992999999999999</v>
      </c>
      <c r="I55">
        <v>19.550999999999998</v>
      </c>
      <c r="J55">
        <v>28.402999999999999</v>
      </c>
      <c r="K55">
        <v>307.60000000000002</v>
      </c>
      <c r="L55">
        <v>2450.8420000000001</v>
      </c>
      <c r="M55" t="b">
        <v>0</v>
      </c>
      <c r="N55" t="b">
        <v>0</v>
      </c>
    </row>
    <row r="56" spans="1:14" x14ac:dyDescent="0.3">
      <c r="A56" t="s">
        <v>500</v>
      </c>
      <c r="B56">
        <v>89</v>
      </c>
      <c r="C56">
        <v>3</v>
      </c>
      <c r="D56">
        <v>1</v>
      </c>
      <c r="E56" t="s">
        <v>74</v>
      </c>
      <c r="F56">
        <v>95.908000000000001</v>
      </c>
      <c r="G56">
        <v>29.637</v>
      </c>
      <c r="H56">
        <v>19.113</v>
      </c>
      <c r="I56">
        <v>19.518000000000001</v>
      </c>
      <c r="J56">
        <v>27.64</v>
      </c>
      <c r="K56">
        <v>261.5</v>
      </c>
      <c r="L56">
        <v>95.908000000000001</v>
      </c>
      <c r="M56" t="b">
        <v>0</v>
      </c>
      <c r="N56" t="b">
        <v>0</v>
      </c>
    </row>
    <row r="57" spans="1:14" x14ac:dyDescent="0.3">
      <c r="A57" t="s">
        <v>500</v>
      </c>
      <c r="B57">
        <v>89</v>
      </c>
      <c r="C57">
        <v>3</v>
      </c>
      <c r="D57">
        <v>2</v>
      </c>
      <c r="E57" t="s">
        <v>75</v>
      </c>
      <c r="F57">
        <v>90.972999999999999</v>
      </c>
      <c r="G57">
        <v>25.646999999999998</v>
      </c>
      <c r="H57">
        <v>18.571000000000002</v>
      </c>
      <c r="I57">
        <v>19.390999999999998</v>
      </c>
      <c r="J57">
        <v>27.364000000000001</v>
      </c>
      <c r="K57">
        <v>294.2</v>
      </c>
      <c r="L57">
        <v>186.881</v>
      </c>
      <c r="M57" t="b">
        <v>0</v>
      </c>
      <c r="N57" t="b">
        <v>0</v>
      </c>
    </row>
    <row r="58" spans="1:14" x14ac:dyDescent="0.3">
      <c r="A58" t="s">
        <v>500</v>
      </c>
      <c r="B58">
        <v>89</v>
      </c>
      <c r="C58">
        <v>3</v>
      </c>
      <c r="D58">
        <v>3</v>
      </c>
      <c r="E58" t="s">
        <v>76</v>
      </c>
      <c r="F58">
        <v>90.372</v>
      </c>
      <c r="G58">
        <v>25.195</v>
      </c>
      <c r="H58">
        <v>18.472000000000001</v>
      </c>
      <c r="I58">
        <v>19.413</v>
      </c>
      <c r="J58">
        <v>27.292000000000002</v>
      </c>
      <c r="K58">
        <v>313.89999999999998</v>
      </c>
      <c r="L58">
        <v>277.25299999999999</v>
      </c>
      <c r="M58" t="b">
        <v>0</v>
      </c>
      <c r="N58" t="b">
        <v>0</v>
      </c>
    </row>
    <row r="59" spans="1:14" x14ac:dyDescent="0.3">
      <c r="A59" t="s">
        <v>500</v>
      </c>
      <c r="B59">
        <v>89</v>
      </c>
      <c r="C59">
        <v>3</v>
      </c>
      <c r="D59">
        <v>4</v>
      </c>
      <c r="E59" t="s">
        <v>77</v>
      </c>
      <c r="F59">
        <v>90.436000000000007</v>
      </c>
      <c r="G59">
        <v>25.183</v>
      </c>
      <c r="H59">
        <v>18.696000000000002</v>
      </c>
      <c r="I59">
        <v>19.294</v>
      </c>
      <c r="J59">
        <v>27.263000000000002</v>
      </c>
      <c r="K59">
        <v>313.89999999999998</v>
      </c>
      <c r="L59">
        <v>367.68900000000002</v>
      </c>
      <c r="M59" t="b">
        <v>0</v>
      </c>
      <c r="N59" t="b">
        <v>0</v>
      </c>
    </row>
    <row r="60" spans="1:14" x14ac:dyDescent="0.3">
      <c r="A60" t="s">
        <v>500</v>
      </c>
      <c r="B60">
        <v>89</v>
      </c>
      <c r="C60">
        <v>3</v>
      </c>
      <c r="D60">
        <v>5</v>
      </c>
      <c r="E60" t="s">
        <v>78</v>
      </c>
      <c r="F60">
        <v>90.275000000000006</v>
      </c>
      <c r="G60">
        <v>25.271000000000001</v>
      </c>
      <c r="H60">
        <v>18.52</v>
      </c>
      <c r="I60">
        <v>19.251999999999999</v>
      </c>
      <c r="J60">
        <v>27.231999999999999</v>
      </c>
      <c r="K60">
        <v>313.89999999999998</v>
      </c>
      <c r="L60">
        <v>457.964</v>
      </c>
      <c r="M60" t="b">
        <v>0</v>
      </c>
      <c r="N60" t="b">
        <v>0</v>
      </c>
    </row>
    <row r="61" spans="1:14" x14ac:dyDescent="0.3">
      <c r="A61" t="s">
        <v>500</v>
      </c>
      <c r="B61">
        <v>89</v>
      </c>
      <c r="C61">
        <v>3</v>
      </c>
      <c r="D61">
        <v>6</v>
      </c>
      <c r="E61" t="s">
        <v>79</v>
      </c>
      <c r="F61">
        <v>90.144000000000005</v>
      </c>
      <c r="G61">
        <v>25.097000000000001</v>
      </c>
      <c r="H61">
        <v>18.452999999999999</v>
      </c>
      <c r="I61">
        <v>19.382999999999999</v>
      </c>
      <c r="J61">
        <v>27.210999999999999</v>
      </c>
      <c r="K61">
        <v>313</v>
      </c>
      <c r="L61">
        <v>548.10799999999995</v>
      </c>
      <c r="M61" t="b">
        <v>0</v>
      </c>
      <c r="N61" t="b">
        <v>0</v>
      </c>
    </row>
    <row r="62" spans="1:14" x14ac:dyDescent="0.3">
      <c r="A62" t="s">
        <v>500</v>
      </c>
      <c r="B62">
        <v>89</v>
      </c>
      <c r="C62">
        <v>3</v>
      </c>
      <c r="D62">
        <v>7</v>
      </c>
      <c r="E62" t="s">
        <v>80</v>
      </c>
      <c r="F62">
        <v>90.230999999999995</v>
      </c>
      <c r="G62">
        <v>25.061</v>
      </c>
      <c r="H62">
        <v>18.484999999999999</v>
      </c>
      <c r="I62">
        <v>19.273</v>
      </c>
      <c r="J62">
        <v>27.411999999999999</v>
      </c>
      <c r="K62">
        <v>314.8</v>
      </c>
      <c r="L62">
        <v>638.33900000000006</v>
      </c>
      <c r="M62" t="b">
        <v>0</v>
      </c>
      <c r="N62" t="b">
        <v>0</v>
      </c>
    </row>
    <row r="63" spans="1:14" x14ac:dyDescent="0.3">
      <c r="A63" t="s">
        <v>500</v>
      </c>
      <c r="B63">
        <v>89</v>
      </c>
      <c r="C63">
        <v>3</v>
      </c>
      <c r="D63">
        <v>8</v>
      </c>
      <c r="E63" t="s">
        <v>81</v>
      </c>
      <c r="F63">
        <v>90.457999999999998</v>
      </c>
      <c r="G63">
        <v>25.207999999999998</v>
      </c>
      <c r="H63">
        <v>18.579000000000001</v>
      </c>
      <c r="I63">
        <v>19.3</v>
      </c>
      <c r="J63">
        <v>27.370999999999999</v>
      </c>
      <c r="K63">
        <v>313</v>
      </c>
      <c r="L63">
        <v>728.79700000000003</v>
      </c>
      <c r="M63" t="b">
        <v>0</v>
      </c>
      <c r="N63" t="b">
        <v>0</v>
      </c>
    </row>
    <row r="64" spans="1:14" x14ac:dyDescent="0.3">
      <c r="A64" t="s">
        <v>500</v>
      </c>
      <c r="B64">
        <v>89</v>
      </c>
      <c r="C64">
        <v>3</v>
      </c>
      <c r="D64">
        <v>9</v>
      </c>
      <c r="E64" t="s">
        <v>82</v>
      </c>
      <c r="F64">
        <v>90.322999999999993</v>
      </c>
      <c r="G64">
        <v>25.216999999999999</v>
      </c>
      <c r="H64">
        <v>18.492999999999999</v>
      </c>
      <c r="I64">
        <v>19.385000000000002</v>
      </c>
      <c r="J64">
        <v>27.228000000000002</v>
      </c>
      <c r="K64">
        <v>312.10000000000002</v>
      </c>
      <c r="L64">
        <v>819.12</v>
      </c>
      <c r="M64" t="b">
        <v>0</v>
      </c>
      <c r="N64" t="b">
        <v>0</v>
      </c>
    </row>
    <row r="65" spans="1:14" x14ac:dyDescent="0.3">
      <c r="A65" t="s">
        <v>500</v>
      </c>
      <c r="B65">
        <v>89</v>
      </c>
      <c r="C65">
        <v>3</v>
      </c>
      <c r="D65">
        <v>10</v>
      </c>
      <c r="E65" t="s">
        <v>83</v>
      </c>
      <c r="F65">
        <v>90.212000000000003</v>
      </c>
      <c r="G65">
        <v>25.138999999999999</v>
      </c>
      <c r="H65">
        <v>18.523</v>
      </c>
      <c r="I65">
        <v>19.239999999999998</v>
      </c>
      <c r="J65">
        <v>27.31</v>
      </c>
      <c r="K65">
        <v>313.89999999999998</v>
      </c>
      <c r="L65">
        <v>909.33199999999999</v>
      </c>
      <c r="M65" t="b">
        <v>0</v>
      </c>
      <c r="N65" t="b">
        <v>0</v>
      </c>
    </row>
    <row r="66" spans="1:14" x14ac:dyDescent="0.3">
      <c r="A66" t="s">
        <v>500</v>
      </c>
      <c r="B66">
        <v>89</v>
      </c>
      <c r="C66">
        <v>3</v>
      </c>
      <c r="D66">
        <v>11</v>
      </c>
      <c r="E66" t="s">
        <v>84</v>
      </c>
      <c r="F66">
        <v>90.308000000000007</v>
      </c>
      <c r="G66">
        <v>25.135999999999999</v>
      </c>
      <c r="H66">
        <v>18.521000000000001</v>
      </c>
      <c r="I66">
        <v>19.297000000000001</v>
      </c>
      <c r="J66">
        <v>27.353999999999999</v>
      </c>
      <c r="K66">
        <v>313.89999999999998</v>
      </c>
      <c r="L66">
        <v>999.64</v>
      </c>
      <c r="M66" t="b">
        <v>0</v>
      </c>
      <c r="N66" t="b">
        <v>0</v>
      </c>
    </row>
    <row r="67" spans="1:14" x14ac:dyDescent="0.3">
      <c r="A67" t="s">
        <v>500</v>
      </c>
      <c r="B67">
        <v>89</v>
      </c>
      <c r="C67">
        <v>3</v>
      </c>
      <c r="D67">
        <v>12</v>
      </c>
      <c r="E67" t="s">
        <v>85</v>
      </c>
      <c r="F67">
        <v>90.346999999999994</v>
      </c>
      <c r="G67">
        <v>25.157</v>
      </c>
      <c r="H67">
        <v>18.555</v>
      </c>
      <c r="I67">
        <v>19.302</v>
      </c>
      <c r="J67">
        <v>27.332999999999998</v>
      </c>
      <c r="K67">
        <v>312.10000000000002</v>
      </c>
      <c r="L67">
        <v>1089.9870000000001</v>
      </c>
      <c r="M67" t="b">
        <v>0</v>
      </c>
      <c r="N67" t="b">
        <v>0</v>
      </c>
    </row>
    <row r="68" spans="1:14" x14ac:dyDescent="0.3">
      <c r="A68" t="s">
        <v>500</v>
      </c>
      <c r="B68">
        <v>89</v>
      </c>
      <c r="C68">
        <v>3</v>
      </c>
      <c r="D68">
        <v>13</v>
      </c>
      <c r="E68" t="s">
        <v>86</v>
      </c>
      <c r="F68">
        <v>90.292000000000002</v>
      </c>
      <c r="G68">
        <v>25.106000000000002</v>
      </c>
      <c r="H68">
        <v>18.567</v>
      </c>
      <c r="I68">
        <v>19.315000000000001</v>
      </c>
      <c r="J68">
        <v>27.303999999999998</v>
      </c>
      <c r="K68">
        <v>313.89999999999998</v>
      </c>
      <c r="L68">
        <v>1180.279</v>
      </c>
      <c r="M68" t="b">
        <v>0</v>
      </c>
      <c r="N68" t="b">
        <v>0</v>
      </c>
    </row>
    <row r="69" spans="1:14" x14ac:dyDescent="0.3">
      <c r="A69" t="s">
        <v>500</v>
      </c>
      <c r="B69">
        <v>89</v>
      </c>
      <c r="C69">
        <v>3</v>
      </c>
      <c r="D69">
        <v>14</v>
      </c>
      <c r="E69" t="s">
        <v>87</v>
      </c>
      <c r="F69">
        <v>90.263000000000005</v>
      </c>
      <c r="G69">
        <v>25.155999999999999</v>
      </c>
      <c r="H69">
        <v>18.588999999999999</v>
      </c>
      <c r="I69">
        <v>19.308</v>
      </c>
      <c r="J69">
        <v>27.21</v>
      </c>
      <c r="K69">
        <v>313.89999999999998</v>
      </c>
      <c r="L69">
        <v>1270.5419999999999</v>
      </c>
      <c r="M69" t="b">
        <v>0</v>
      </c>
      <c r="N69" t="b">
        <v>0</v>
      </c>
    </row>
    <row r="70" spans="1:14" x14ac:dyDescent="0.3">
      <c r="A70" t="s">
        <v>500</v>
      </c>
      <c r="B70">
        <v>89</v>
      </c>
      <c r="C70">
        <v>3</v>
      </c>
      <c r="D70">
        <v>15</v>
      </c>
      <c r="E70" t="s">
        <v>88</v>
      </c>
      <c r="F70">
        <v>90.248000000000005</v>
      </c>
      <c r="G70">
        <v>25.148</v>
      </c>
      <c r="H70">
        <v>18.501999999999999</v>
      </c>
      <c r="I70">
        <v>19.302</v>
      </c>
      <c r="J70">
        <v>27.295999999999999</v>
      </c>
      <c r="K70">
        <v>313</v>
      </c>
      <c r="L70">
        <v>1360.79</v>
      </c>
      <c r="M70" t="b">
        <v>0</v>
      </c>
      <c r="N70" t="b">
        <v>0</v>
      </c>
    </row>
    <row r="71" spans="1:14" x14ac:dyDescent="0.3">
      <c r="A71" t="s">
        <v>500</v>
      </c>
      <c r="B71">
        <v>89</v>
      </c>
      <c r="C71">
        <v>3</v>
      </c>
      <c r="D71">
        <v>16</v>
      </c>
      <c r="E71" t="s">
        <v>89</v>
      </c>
      <c r="F71">
        <v>90.293999999999997</v>
      </c>
      <c r="G71">
        <v>25.108000000000001</v>
      </c>
      <c r="H71">
        <v>18.571999999999999</v>
      </c>
      <c r="I71">
        <v>19.311</v>
      </c>
      <c r="J71">
        <v>27.303000000000001</v>
      </c>
      <c r="K71">
        <v>313.89999999999998</v>
      </c>
      <c r="L71">
        <v>1451.0840000000001</v>
      </c>
      <c r="M71" t="b">
        <v>0</v>
      </c>
      <c r="N71" t="b">
        <v>0</v>
      </c>
    </row>
    <row r="72" spans="1:14" x14ac:dyDescent="0.3">
      <c r="A72" t="s">
        <v>500</v>
      </c>
      <c r="B72">
        <v>89</v>
      </c>
      <c r="C72">
        <v>3</v>
      </c>
      <c r="D72">
        <v>17</v>
      </c>
      <c r="E72" t="s">
        <v>90</v>
      </c>
      <c r="F72">
        <v>90.411000000000001</v>
      </c>
      <c r="G72">
        <v>25.173999999999999</v>
      </c>
      <c r="H72">
        <v>18.539000000000001</v>
      </c>
      <c r="I72">
        <v>19.361999999999998</v>
      </c>
      <c r="J72">
        <v>27.335999999999999</v>
      </c>
      <c r="K72">
        <v>313.89999999999998</v>
      </c>
      <c r="L72">
        <v>1541.4949999999999</v>
      </c>
      <c r="M72" t="b">
        <v>0</v>
      </c>
      <c r="N72" t="b">
        <v>0</v>
      </c>
    </row>
    <row r="73" spans="1:14" x14ac:dyDescent="0.3">
      <c r="A73" t="s">
        <v>500</v>
      </c>
      <c r="B73">
        <v>89</v>
      </c>
      <c r="C73">
        <v>3</v>
      </c>
      <c r="D73">
        <v>18</v>
      </c>
      <c r="E73" t="s">
        <v>91</v>
      </c>
      <c r="F73">
        <v>90.674000000000007</v>
      </c>
      <c r="G73">
        <v>25.192</v>
      </c>
      <c r="H73">
        <v>18.579999999999998</v>
      </c>
      <c r="I73">
        <v>19.422999999999998</v>
      </c>
      <c r="J73">
        <v>27.478999999999999</v>
      </c>
      <c r="K73">
        <v>313.89999999999998</v>
      </c>
      <c r="L73">
        <v>1632.1690000000001</v>
      </c>
      <c r="M73" t="b">
        <v>0</v>
      </c>
      <c r="N73" t="b">
        <v>0</v>
      </c>
    </row>
    <row r="74" spans="1:14" x14ac:dyDescent="0.3">
      <c r="A74" t="s">
        <v>500</v>
      </c>
      <c r="B74">
        <v>89</v>
      </c>
      <c r="C74">
        <v>3</v>
      </c>
      <c r="D74">
        <v>19</v>
      </c>
      <c r="E74" t="s">
        <v>92</v>
      </c>
      <c r="F74">
        <v>90.838999999999999</v>
      </c>
      <c r="G74">
        <v>25.268999999999998</v>
      </c>
      <c r="H74">
        <v>18.745999999999999</v>
      </c>
      <c r="I74">
        <v>19.431000000000001</v>
      </c>
      <c r="J74">
        <v>27.393000000000001</v>
      </c>
      <c r="K74">
        <v>313.89999999999998</v>
      </c>
      <c r="L74">
        <v>1723.008</v>
      </c>
      <c r="M74" t="b">
        <v>0</v>
      </c>
      <c r="N74" t="b">
        <v>0</v>
      </c>
    </row>
    <row r="75" spans="1:14" x14ac:dyDescent="0.3">
      <c r="A75" t="s">
        <v>500</v>
      </c>
      <c r="B75">
        <v>89</v>
      </c>
      <c r="C75">
        <v>3</v>
      </c>
      <c r="D75">
        <v>20</v>
      </c>
      <c r="E75" t="s">
        <v>93</v>
      </c>
      <c r="F75">
        <v>90.613</v>
      </c>
      <c r="G75">
        <v>25.21</v>
      </c>
      <c r="H75">
        <v>18.611000000000001</v>
      </c>
      <c r="I75">
        <v>19.408000000000001</v>
      </c>
      <c r="J75">
        <v>27.384</v>
      </c>
      <c r="K75">
        <v>313.89999999999998</v>
      </c>
      <c r="L75">
        <v>1813.6210000000001</v>
      </c>
      <c r="M75" t="b">
        <v>0</v>
      </c>
      <c r="N75" t="b">
        <v>0</v>
      </c>
    </row>
    <row r="76" spans="1:14" x14ac:dyDescent="0.3">
      <c r="A76" t="s">
        <v>500</v>
      </c>
      <c r="B76">
        <v>89</v>
      </c>
      <c r="C76">
        <v>3</v>
      </c>
      <c r="D76">
        <v>21</v>
      </c>
      <c r="E76" t="s">
        <v>94</v>
      </c>
      <c r="F76">
        <v>90.841999999999999</v>
      </c>
      <c r="G76">
        <v>25.189</v>
      </c>
      <c r="H76">
        <v>18.736000000000001</v>
      </c>
      <c r="I76">
        <v>19.515000000000001</v>
      </c>
      <c r="J76">
        <v>27.402000000000001</v>
      </c>
      <c r="K76">
        <v>314.8</v>
      </c>
      <c r="L76">
        <v>1904.463</v>
      </c>
      <c r="M76" t="b">
        <v>0</v>
      </c>
      <c r="N76" t="b">
        <v>0</v>
      </c>
    </row>
    <row r="77" spans="1:14" x14ac:dyDescent="0.3">
      <c r="A77" t="s">
        <v>500</v>
      </c>
      <c r="B77">
        <v>89</v>
      </c>
      <c r="C77">
        <v>3</v>
      </c>
      <c r="D77">
        <v>22</v>
      </c>
      <c r="E77" t="s">
        <v>95</v>
      </c>
      <c r="F77">
        <v>91.055999999999997</v>
      </c>
      <c r="G77">
        <v>25.303000000000001</v>
      </c>
      <c r="H77">
        <v>18.704999999999998</v>
      </c>
      <c r="I77">
        <v>19.53</v>
      </c>
      <c r="J77">
        <v>27.518000000000001</v>
      </c>
      <c r="K77">
        <v>313.89999999999998</v>
      </c>
      <c r="L77">
        <v>1995.519</v>
      </c>
      <c r="M77" t="b">
        <v>0</v>
      </c>
      <c r="N77" t="b">
        <v>0</v>
      </c>
    </row>
    <row r="78" spans="1:14" x14ac:dyDescent="0.3">
      <c r="A78" t="s">
        <v>500</v>
      </c>
      <c r="B78">
        <v>89</v>
      </c>
      <c r="C78">
        <v>3</v>
      </c>
      <c r="D78">
        <v>23</v>
      </c>
      <c r="E78" t="s">
        <v>96</v>
      </c>
      <c r="F78">
        <v>90.950999999999993</v>
      </c>
      <c r="G78">
        <v>25.283999999999999</v>
      </c>
      <c r="H78">
        <v>18.763999999999999</v>
      </c>
      <c r="I78">
        <v>19.489000000000001</v>
      </c>
      <c r="J78">
        <v>27.414000000000001</v>
      </c>
      <c r="K78">
        <v>313</v>
      </c>
      <c r="L78">
        <v>2086.4699999999998</v>
      </c>
      <c r="M78" t="b">
        <v>0</v>
      </c>
      <c r="N78" t="b">
        <v>0</v>
      </c>
    </row>
    <row r="79" spans="1:14" x14ac:dyDescent="0.3">
      <c r="A79" t="s">
        <v>500</v>
      </c>
      <c r="B79">
        <v>89</v>
      </c>
      <c r="C79">
        <v>3</v>
      </c>
      <c r="D79">
        <v>24</v>
      </c>
      <c r="E79" t="s">
        <v>97</v>
      </c>
      <c r="F79">
        <v>91.143000000000001</v>
      </c>
      <c r="G79">
        <v>25.469000000000001</v>
      </c>
      <c r="H79">
        <v>18.73</v>
      </c>
      <c r="I79">
        <v>19.422999999999998</v>
      </c>
      <c r="J79">
        <v>27.521000000000001</v>
      </c>
      <c r="K79">
        <v>313.89999999999998</v>
      </c>
      <c r="L79">
        <v>2177.6129999999998</v>
      </c>
      <c r="M79" t="b">
        <v>0</v>
      </c>
      <c r="N79" t="b">
        <v>0</v>
      </c>
    </row>
    <row r="80" spans="1:14" x14ac:dyDescent="0.3">
      <c r="A80" t="s">
        <v>500</v>
      </c>
      <c r="B80">
        <v>89</v>
      </c>
      <c r="C80">
        <v>3</v>
      </c>
      <c r="D80">
        <v>25</v>
      </c>
      <c r="E80" t="s">
        <v>98</v>
      </c>
      <c r="F80">
        <v>91.24</v>
      </c>
      <c r="G80">
        <v>25.277000000000001</v>
      </c>
      <c r="H80">
        <v>18.776</v>
      </c>
      <c r="I80">
        <v>19.597999999999999</v>
      </c>
      <c r="J80">
        <v>27.588999999999999</v>
      </c>
      <c r="K80">
        <v>316.7</v>
      </c>
      <c r="L80">
        <v>2268.8530000000001</v>
      </c>
      <c r="M80" t="b">
        <v>0</v>
      </c>
      <c r="N80" t="b">
        <v>0</v>
      </c>
    </row>
    <row r="81" spans="1:14" x14ac:dyDescent="0.3">
      <c r="A81" t="s">
        <v>500</v>
      </c>
      <c r="B81">
        <v>89</v>
      </c>
      <c r="C81">
        <v>3</v>
      </c>
      <c r="D81">
        <v>26</v>
      </c>
      <c r="E81" t="s">
        <v>99</v>
      </c>
      <c r="F81">
        <v>91.656000000000006</v>
      </c>
      <c r="G81">
        <v>25.547999999999998</v>
      </c>
      <c r="H81">
        <v>18.927</v>
      </c>
      <c r="I81">
        <v>19.547999999999998</v>
      </c>
      <c r="J81">
        <v>27.632999999999999</v>
      </c>
      <c r="K81">
        <v>314.8</v>
      </c>
      <c r="L81">
        <v>2360.509</v>
      </c>
      <c r="M81" t="b">
        <v>0</v>
      </c>
      <c r="N81" t="b">
        <v>0</v>
      </c>
    </row>
    <row r="82" spans="1:14" x14ac:dyDescent="0.3">
      <c r="A82" t="s">
        <v>500</v>
      </c>
      <c r="B82">
        <v>89</v>
      </c>
      <c r="C82">
        <v>3</v>
      </c>
      <c r="D82">
        <v>27</v>
      </c>
      <c r="E82" t="s">
        <v>100</v>
      </c>
      <c r="F82">
        <v>92.962999999999994</v>
      </c>
      <c r="G82">
        <v>25.565999999999999</v>
      </c>
      <c r="H82">
        <v>19.132000000000001</v>
      </c>
      <c r="I82">
        <v>19.738</v>
      </c>
      <c r="J82">
        <v>28.527000000000001</v>
      </c>
      <c r="K82">
        <v>314.8</v>
      </c>
      <c r="L82">
        <v>2453.4720000000002</v>
      </c>
      <c r="M82" t="b">
        <v>0</v>
      </c>
      <c r="N82" t="b">
        <v>0</v>
      </c>
    </row>
    <row r="83" spans="1:14" x14ac:dyDescent="0.3">
      <c r="A83" t="s">
        <v>501</v>
      </c>
      <c r="B83">
        <v>79</v>
      </c>
      <c r="C83">
        <v>4</v>
      </c>
      <c r="D83">
        <v>1</v>
      </c>
      <c r="E83" t="s">
        <v>102</v>
      </c>
      <c r="F83">
        <v>96.867999999999995</v>
      </c>
      <c r="G83">
        <v>29.963999999999999</v>
      </c>
      <c r="H83">
        <v>19.068999999999999</v>
      </c>
      <c r="I83">
        <v>19.757000000000001</v>
      </c>
      <c r="J83">
        <v>28.077999999999999</v>
      </c>
      <c r="K83">
        <v>262.7</v>
      </c>
      <c r="L83">
        <v>96.867999999999995</v>
      </c>
      <c r="M83" t="b">
        <v>0</v>
      </c>
      <c r="N83" t="b">
        <v>0</v>
      </c>
    </row>
    <row r="84" spans="1:14" x14ac:dyDescent="0.3">
      <c r="A84" t="s">
        <v>501</v>
      </c>
      <c r="B84">
        <v>79</v>
      </c>
      <c r="C84">
        <v>4</v>
      </c>
      <c r="D84">
        <v>2</v>
      </c>
      <c r="E84" t="s">
        <v>103</v>
      </c>
      <c r="F84">
        <v>91.325999999999993</v>
      </c>
      <c r="G84">
        <v>25.573</v>
      </c>
      <c r="H84">
        <v>18.686</v>
      </c>
      <c r="I84">
        <v>19.559999999999999</v>
      </c>
      <c r="J84">
        <v>27.507000000000001</v>
      </c>
      <c r="K84">
        <v>302.5</v>
      </c>
      <c r="L84">
        <v>188.19399999999999</v>
      </c>
      <c r="M84" t="b">
        <v>0</v>
      </c>
      <c r="N84" t="b">
        <v>0</v>
      </c>
    </row>
    <row r="85" spans="1:14" x14ac:dyDescent="0.3">
      <c r="A85" t="s">
        <v>501</v>
      </c>
      <c r="B85">
        <v>79</v>
      </c>
      <c r="C85">
        <v>4</v>
      </c>
      <c r="D85">
        <v>3</v>
      </c>
      <c r="E85" t="s">
        <v>104</v>
      </c>
      <c r="F85">
        <v>90.956000000000003</v>
      </c>
      <c r="G85">
        <v>25.440999999999999</v>
      </c>
      <c r="H85">
        <v>18.684000000000001</v>
      </c>
      <c r="I85">
        <v>19.408999999999999</v>
      </c>
      <c r="J85">
        <v>27.422000000000001</v>
      </c>
      <c r="K85">
        <v>310.3</v>
      </c>
      <c r="L85">
        <v>279.14999999999998</v>
      </c>
      <c r="M85" t="b">
        <v>0</v>
      </c>
      <c r="N85" t="b">
        <v>0</v>
      </c>
    </row>
    <row r="86" spans="1:14" x14ac:dyDescent="0.3">
      <c r="A86" t="s">
        <v>501</v>
      </c>
      <c r="B86">
        <v>79</v>
      </c>
      <c r="C86">
        <v>4</v>
      </c>
      <c r="D86">
        <v>4</v>
      </c>
      <c r="E86" t="s">
        <v>105</v>
      </c>
      <c r="F86">
        <v>90.659000000000006</v>
      </c>
      <c r="G86">
        <v>25.324000000000002</v>
      </c>
      <c r="H86">
        <v>18.555</v>
      </c>
      <c r="I86">
        <v>19.358000000000001</v>
      </c>
      <c r="J86">
        <v>27.422000000000001</v>
      </c>
      <c r="K86">
        <v>306.8</v>
      </c>
      <c r="L86">
        <v>369.80900000000003</v>
      </c>
      <c r="M86" t="b">
        <v>0</v>
      </c>
      <c r="N86" t="b">
        <v>0</v>
      </c>
    </row>
    <row r="87" spans="1:14" x14ac:dyDescent="0.3">
      <c r="A87" t="s">
        <v>501</v>
      </c>
      <c r="B87">
        <v>79</v>
      </c>
      <c r="C87">
        <v>4</v>
      </c>
      <c r="D87">
        <v>5</v>
      </c>
      <c r="E87" t="s">
        <v>106</v>
      </c>
      <c r="F87">
        <v>90.694000000000003</v>
      </c>
      <c r="G87">
        <v>25.306999999999999</v>
      </c>
      <c r="H87">
        <v>18.655999999999999</v>
      </c>
      <c r="I87">
        <v>19.382000000000001</v>
      </c>
      <c r="J87">
        <v>27.349</v>
      </c>
      <c r="K87">
        <v>310.3</v>
      </c>
      <c r="L87">
        <v>460.50299999999999</v>
      </c>
      <c r="M87" t="b">
        <v>0</v>
      </c>
      <c r="N87" t="b">
        <v>0</v>
      </c>
    </row>
    <row r="88" spans="1:14" x14ac:dyDescent="0.3">
      <c r="A88" t="s">
        <v>501</v>
      </c>
      <c r="B88">
        <v>79</v>
      </c>
      <c r="C88">
        <v>4</v>
      </c>
      <c r="D88">
        <v>6</v>
      </c>
      <c r="E88" t="s">
        <v>107</v>
      </c>
      <c r="F88">
        <v>90.427999999999997</v>
      </c>
      <c r="G88">
        <v>25.327999999999999</v>
      </c>
      <c r="H88">
        <v>18.562000000000001</v>
      </c>
      <c r="I88">
        <v>19.332000000000001</v>
      </c>
      <c r="J88">
        <v>27.206</v>
      </c>
      <c r="K88">
        <v>311.2</v>
      </c>
      <c r="L88">
        <v>550.93100000000004</v>
      </c>
      <c r="M88" t="b">
        <v>0</v>
      </c>
      <c r="N88" t="b">
        <v>0</v>
      </c>
    </row>
    <row r="89" spans="1:14" x14ac:dyDescent="0.3">
      <c r="A89" t="s">
        <v>501</v>
      </c>
      <c r="B89">
        <v>79</v>
      </c>
      <c r="C89">
        <v>4</v>
      </c>
      <c r="D89">
        <v>7</v>
      </c>
      <c r="E89" t="s">
        <v>108</v>
      </c>
      <c r="F89">
        <v>90.463999999999999</v>
      </c>
      <c r="G89">
        <v>25.21</v>
      </c>
      <c r="H89">
        <v>18.548999999999999</v>
      </c>
      <c r="I89">
        <v>19.391999999999999</v>
      </c>
      <c r="J89">
        <v>27.312999999999999</v>
      </c>
      <c r="K89">
        <v>313.89999999999998</v>
      </c>
      <c r="L89">
        <v>641.39499999999998</v>
      </c>
      <c r="M89" t="b">
        <v>0</v>
      </c>
      <c r="N89" t="b">
        <v>0</v>
      </c>
    </row>
    <row r="90" spans="1:14" x14ac:dyDescent="0.3">
      <c r="A90" t="s">
        <v>501</v>
      </c>
      <c r="B90">
        <v>79</v>
      </c>
      <c r="C90">
        <v>4</v>
      </c>
      <c r="D90">
        <v>8</v>
      </c>
      <c r="E90" t="s">
        <v>109</v>
      </c>
      <c r="F90">
        <v>90.301000000000002</v>
      </c>
      <c r="G90">
        <v>25.234000000000002</v>
      </c>
      <c r="H90">
        <v>18.545000000000002</v>
      </c>
      <c r="I90">
        <v>19.321999999999999</v>
      </c>
      <c r="J90">
        <v>27.2</v>
      </c>
      <c r="K90">
        <v>313</v>
      </c>
      <c r="L90">
        <v>731.69600000000003</v>
      </c>
      <c r="M90" t="b">
        <v>0</v>
      </c>
      <c r="N90" t="b">
        <v>0</v>
      </c>
    </row>
    <row r="91" spans="1:14" x14ac:dyDescent="0.3">
      <c r="A91" t="s">
        <v>501</v>
      </c>
      <c r="B91">
        <v>79</v>
      </c>
      <c r="C91">
        <v>4</v>
      </c>
      <c r="D91">
        <v>9</v>
      </c>
      <c r="E91" t="s">
        <v>110</v>
      </c>
      <c r="F91">
        <v>90.736999999999995</v>
      </c>
      <c r="G91">
        <v>25.297999999999998</v>
      </c>
      <c r="H91">
        <v>18.532</v>
      </c>
      <c r="I91">
        <v>19.588999999999999</v>
      </c>
      <c r="J91">
        <v>27.318000000000001</v>
      </c>
      <c r="K91">
        <v>311.2</v>
      </c>
      <c r="L91">
        <v>822.43299999999999</v>
      </c>
      <c r="M91" t="b">
        <v>0</v>
      </c>
      <c r="N91" t="b">
        <v>0</v>
      </c>
    </row>
    <row r="92" spans="1:14" x14ac:dyDescent="0.3">
      <c r="A92" t="s">
        <v>501</v>
      </c>
      <c r="B92">
        <v>79</v>
      </c>
      <c r="C92">
        <v>4</v>
      </c>
      <c r="D92">
        <v>10</v>
      </c>
      <c r="E92" t="s">
        <v>111</v>
      </c>
      <c r="F92">
        <v>90.456999999999994</v>
      </c>
      <c r="G92">
        <v>25.285</v>
      </c>
      <c r="H92">
        <v>18.486000000000001</v>
      </c>
      <c r="I92">
        <v>19.34</v>
      </c>
      <c r="J92">
        <v>27.346</v>
      </c>
      <c r="K92">
        <v>313.89999999999998</v>
      </c>
      <c r="L92">
        <v>912.89</v>
      </c>
      <c r="M92" t="b">
        <v>0</v>
      </c>
      <c r="N92" t="b">
        <v>0</v>
      </c>
    </row>
    <row r="93" spans="1:14" x14ac:dyDescent="0.3">
      <c r="A93" t="s">
        <v>501</v>
      </c>
      <c r="B93">
        <v>79</v>
      </c>
      <c r="C93">
        <v>4</v>
      </c>
      <c r="D93">
        <v>11</v>
      </c>
      <c r="E93" t="s">
        <v>112</v>
      </c>
      <c r="F93">
        <v>90.477000000000004</v>
      </c>
      <c r="G93">
        <v>25.172999999999998</v>
      </c>
      <c r="H93">
        <v>18.545000000000002</v>
      </c>
      <c r="I93">
        <v>19.427</v>
      </c>
      <c r="J93">
        <v>27.332000000000001</v>
      </c>
      <c r="K93">
        <v>313</v>
      </c>
      <c r="L93">
        <v>1003.367</v>
      </c>
      <c r="M93" t="b">
        <v>0</v>
      </c>
      <c r="N93" t="b">
        <v>0</v>
      </c>
    </row>
    <row r="94" spans="1:14" x14ac:dyDescent="0.3">
      <c r="A94" t="s">
        <v>501</v>
      </c>
      <c r="B94">
        <v>79</v>
      </c>
      <c r="C94">
        <v>4</v>
      </c>
      <c r="D94">
        <v>12</v>
      </c>
      <c r="E94" t="s">
        <v>113</v>
      </c>
      <c r="F94">
        <v>90.343000000000004</v>
      </c>
      <c r="G94">
        <v>25.256</v>
      </c>
      <c r="H94">
        <v>18.463999999999999</v>
      </c>
      <c r="I94">
        <v>19.308</v>
      </c>
      <c r="J94">
        <v>27.315000000000001</v>
      </c>
      <c r="K94">
        <v>313</v>
      </c>
      <c r="L94">
        <v>1093.71</v>
      </c>
      <c r="M94" t="b">
        <v>0</v>
      </c>
      <c r="N94" t="b">
        <v>0</v>
      </c>
    </row>
    <row r="95" spans="1:14" x14ac:dyDescent="0.3">
      <c r="A95" t="s">
        <v>501</v>
      </c>
      <c r="B95">
        <v>79</v>
      </c>
      <c r="C95">
        <v>4</v>
      </c>
      <c r="D95">
        <v>13</v>
      </c>
      <c r="E95" t="s">
        <v>114</v>
      </c>
      <c r="F95">
        <v>90.935000000000002</v>
      </c>
      <c r="G95">
        <v>25.231000000000002</v>
      </c>
      <c r="H95">
        <v>18.552</v>
      </c>
      <c r="I95">
        <v>19.684000000000001</v>
      </c>
      <c r="J95">
        <v>27.468</v>
      </c>
      <c r="K95">
        <v>311.2</v>
      </c>
      <c r="L95">
        <v>1184.645</v>
      </c>
      <c r="M95" t="b">
        <v>0</v>
      </c>
      <c r="N95" t="b">
        <v>0</v>
      </c>
    </row>
    <row r="96" spans="1:14" x14ac:dyDescent="0.3">
      <c r="A96" t="s">
        <v>501</v>
      </c>
      <c r="B96">
        <v>79</v>
      </c>
      <c r="C96">
        <v>4</v>
      </c>
      <c r="D96">
        <v>14</v>
      </c>
      <c r="E96" t="s">
        <v>115</v>
      </c>
      <c r="F96">
        <v>90.504999999999995</v>
      </c>
      <c r="G96">
        <v>25.314</v>
      </c>
      <c r="H96">
        <v>18.552</v>
      </c>
      <c r="I96">
        <v>19.433</v>
      </c>
      <c r="J96">
        <v>27.206</v>
      </c>
      <c r="K96">
        <v>314.8</v>
      </c>
      <c r="L96">
        <v>1275.1500000000001</v>
      </c>
      <c r="M96" t="b">
        <v>0</v>
      </c>
      <c r="N96" t="b">
        <v>0</v>
      </c>
    </row>
    <row r="97" spans="1:14" x14ac:dyDescent="0.3">
      <c r="A97" t="s">
        <v>501</v>
      </c>
      <c r="B97">
        <v>79</v>
      </c>
      <c r="C97">
        <v>4</v>
      </c>
      <c r="D97">
        <v>15</v>
      </c>
      <c r="E97" t="s">
        <v>116</v>
      </c>
      <c r="F97">
        <v>90.480999999999995</v>
      </c>
      <c r="G97">
        <v>25.276</v>
      </c>
      <c r="H97">
        <v>18.545999999999999</v>
      </c>
      <c r="I97">
        <v>19.353999999999999</v>
      </c>
      <c r="J97">
        <v>27.305</v>
      </c>
      <c r="K97">
        <v>314.8</v>
      </c>
      <c r="L97">
        <v>1365.6310000000001</v>
      </c>
      <c r="M97" t="b">
        <v>0</v>
      </c>
      <c r="N97" t="b">
        <v>0</v>
      </c>
    </row>
    <row r="98" spans="1:14" x14ac:dyDescent="0.3">
      <c r="A98" t="s">
        <v>501</v>
      </c>
      <c r="B98">
        <v>79</v>
      </c>
      <c r="C98">
        <v>4</v>
      </c>
      <c r="D98">
        <v>16</v>
      </c>
      <c r="E98" t="s">
        <v>117</v>
      </c>
      <c r="F98">
        <v>90.731999999999999</v>
      </c>
      <c r="G98">
        <v>25.331</v>
      </c>
      <c r="H98">
        <v>18.696000000000002</v>
      </c>
      <c r="I98">
        <v>19.378</v>
      </c>
      <c r="J98">
        <v>27.327000000000002</v>
      </c>
      <c r="K98">
        <v>309.39999999999998</v>
      </c>
      <c r="L98">
        <v>1456.3630000000001</v>
      </c>
      <c r="M98" t="b">
        <v>0</v>
      </c>
      <c r="N98" t="b">
        <v>0</v>
      </c>
    </row>
    <row r="99" spans="1:14" x14ac:dyDescent="0.3">
      <c r="A99" t="s">
        <v>501</v>
      </c>
      <c r="B99">
        <v>79</v>
      </c>
      <c r="C99">
        <v>4</v>
      </c>
      <c r="D99">
        <v>17</v>
      </c>
      <c r="E99" t="s">
        <v>118</v>
      </c>
      <c r="F99">
        <v>91.061000000000007</v>
      </c>
      <c r="G99">
        <v>25.247</v>
      </c>
      <c r="H99">
        <v>18.827000000000002</v>
      </c>
      <c r="I99">
        <v>19.405999999999999</v>
      </c>
      <c r="J99">
        <v>27.581</v>
      </c>
      <c r="K99">
        <v>313.89999999999998</v>
      </c>
      <c r="L99">
        <v>1547.424</v>
      </c>
      <c r="M99" t="b">
        <v>0</v>
      </c>
      <c r="N99" t="b">
        <v>0</v>
      </c>
    </row>
    <row r="100" spans="1:14" x14ac:dyDescent="0.3">
      <c r="A100" t="s">
        <v>501</v>
      </c>
      <c r="B100">
        <v>79</v>
      </c>
      <c r="C100">
        <v>4</v>
      </c>
      <c r="D100">
        <v>18</v>
      </c>
      <c r="E100" t="s">
        <v>119</v>
      </c>
      <c r="F100">
        <v>90.858000000000004</v>
      </c>
      <c r="G100">
        <v>25.46</v>
      </c>
      <c r="H100">
        <v>18.558</v>
      </c>
      <c r="I100">
        <v>19.437000000000001</v>
      </c>
      <c r="J100">
        <v>27.402999999999999</v>
      </c>
      <c r="K100">
        <v>310.3</v>
      </c>
      <c r="L100">
        <v>1638.2819999999999</v>
      </c>
      <c r="M100" t="b">
        <v>0</v>
      </c>
      <c r="N100" t="b">
        <v>0</v>
      </c>
    </row>
    <row r="101" spans="1:14" x14ac:dyDescent="0.3">
      <c r="A101" t="s">
        <v>501</v>
      </c>
      <c r="B101">
        <v>79</v>
      </c>
      <c r="C101">
        <v>4</v>
      </c>
      <c r="D101">
        <v>19</v>
      </c>
      <c r="E101" t="s">
        <v>120</v>
      </c>
      <c r="F101">
        <v>91.242999999999995</v>
      </c>
      <c r="G101">
        <v>25.257000000000001</v>
      </c>
      <c r="H101">
        <v>18.562000000000001</v>
      </c>
      <c r="I101">
        <v>20.113</v>
      </c>
      <c r="J101">
        <v>27.311</v>
      </c>
      <c r="K101">
        <v>306.8</v>
      </c>
      <c r="L101">
        <v>1729.5250000000001</v>
      </c>
      <c r="M101" t="b">
        <v>0</v>
      </c>
      <c r="N101" t="b">
        <v>0</v>
      </c>
    </row>
    <row r="102" spans="1:14" x14ac:dyDescent="0.3">
      <c r="A102" t="s">
        <v>501</v>
      </c>
      <c r="B102">
        <v>79</v>
      </c>
      <c r="C102">
        <v>4</v>
      </c>
      <c r="D102">
        <v>20</v>
      </c>
      <c r="E102" t="s">
        <v>121</v>
      </c>
      <c r="F102">
        <v>90.608999999999995</v>
      </c>
      <c r="G102">
        <v>25.253</v>
      </c>
      <c r="H102">
        <v>18.646000000000001</v>
      </c>
      <c r="I102">
        <v>19.364000000000001</v>
      </c>
      <c r="J102">
        <v>27.346</v>
      </c>
      <c r="K102">
        <v>312.10000000000002</v>
      </c>
      <c r="L102">
        <v>1820.134</v>
      </c>
      <c r="M102" t="b">
        <v>0</v>
      </c>
      <c r="N102" t="b">
        <v>0</v>
      </c>
    </row>
    <row r="103" spans="1:14" x14ac:dyDescent="0.3">
      <c r="A103" t="s">
        <v>501</v>
      </c>
      <c r="B103">
        <v>79</v>
      </c>
      <c r="C103">
        <v>4</v>
      </c>
      <c r="D103">
        <v>21</v>
      </c>
      <c r="E103" t="s">
        <v>105</v>
      </c>
      <c r="F103">
        <v>90.659000000000006</v>
      </c>
      <c r="G103">
        <v>25.32</v>
      </c>
      <c r="H103">
        <v>18.617999999999999</v>
      </c>
      <c r="I103">
        <v>19.363</v>
      </c>
      <c r="J103">
        <v>27.358000000000001</v>
      </c>
      <c r="K103">
        <v>309.39999999999998</v>
      </c>
      <c r="L103">
        <v>1910.7929999999999</v>
      </c>
      <c r="M103" t="b">
        <v>0</v>
      </c>
      <c r="N103" t="b">
        <v>0</v>
      </c>
    </row>
    <row r="104" spans="1:14" x14ac:dyDescent="0.3">
      <c r="A104" t="s">
        <v>501</v>
      </c>
      <c r="B104">
        <v>79</v>
      </c>
      <c r="C104">
        <v>4</v>
      </c>
      <c r="D104">
        <v>22</v>
      </c>
      <c r="E104" t="s">
        <v>122</v>
      </c>
      <c r="F104">
        <v>90.704999999999998</v>
      </c>
      <c r="G104">
        <v>25.173999999999999</v>
      </c>
      <c r="H104">
        <v>18.75</v>
      </c>
      <c r="I104">
        <v>19.428999999999998</v>
      </c>
      <c r="J104">
        <v>27.352</v>
      </c>
      <c r="K104">
        <v>312.10000000000002</v>
      </c>
      <c r="L104">
        <v>2001.498</v>
      </c>
      <c r="M104" t="b">
        <v>0</v>
      </c>
      <c r="N104" t="b">
        <v>0</v>
      </c>
    </row>
    <row r="105" spans="1:14" x14ac:dyDescent="0.3">
      <c r="A105" t="s">
        <v>501</v>
      </c>
      <c r="B105">
        <v>79</v>
      </c>
      <c r="C105">
        <v>4</v>
      </c>
      <c r="D105">
        <v>23</v>
      </c>
      <c r="E105" t="s">
        <v>123</v>
      </c>
      <c r="F105">
        <v>90.712000000000003</v>
      </c>
      <c r="G105">
        <v>25.248000000000001</v>
      </c>
      <c r="H105">
        <v>18.744</v>
      </c>
      <c r="I105">
        <v>19.338999999999999</v>
      </c>
      <c r="J105">
        <v>27.381</v>
      </c>
      <c r="K105">
        <v>313</v>
      </c>
      <c r="L105">
        <v>2092.21</v>
      </c>
      <c r="M105" t="b">
        <v>0</v>
      </c>
      <c r="N105" t="b">
        <v>0</v>
      </c>
    </row>
    <row r="106" spans="1:14" x14ac:dyDescent="0.3">
      <c r="A106" t="s">
        <v>501</v>
      </c>
      <c r="B106">
        <v>79</v>
      </c>
      <c r="C106">
        <v>4</v>
      </c>
      <c r="D106">
        <v>24</v>
      </c>
      <c r="E106" t="s">
        <v>124</v>
      </c>
      <c r="F106">
        <v>90.697000000000003</v>
      </c>
      <c r="G106">
        <v>25.251999999999999</v>
      </c>
      <c r="H106">
        <v>18.706</v>
      </c>
      <c r="I106">
        <v>19.402000000000001</v>
      </c>
      <c r="J106">
        <v>27.337</v>
      </c>
      <c r="K106">
        <v>307.60000000000002</v>
      </c>
      <c r="L106">
        <v>2182.9070000000002</v>
      </c>
      <c r="M106" t="b">
        <v>0</v>
      </c>
      <c r="N106" t="b">
        <v>0</v>
      </c>
    </row>
    <row r="107" spans="1:14" x14ac:dyDescent="0.3">
      <c r="A107" t="s">
        <v>501</v>
      </c>
      <c r="B107">
        <v>79</v>
      </c>
      <c r="C107">
        <v>4</v>
      </c>
      <c r="D107">
        <v>25</v>
      </c>
      <c r="E107" t="s">
        <v>125</v>
      </c>
      <c r="F107">
        <v>91.307000000000002</v>
      </c>
      <c r="G107">
        <v>25.216999999999999</v>
      </c>
      <c r="H107">
        <v>18.731999999999999</v>
      </c>
      <c r="I107">
        <v>19.379000000000001</v>
      </c>
      <c r="J107">
        <v>27.978999999999999</v>
      </c>
      <c r="K107">
        <v>310.3</v>
      </c>
      <c r="L107">
        <v>2274.2139999999999</v>
      </c>
      <c r="M107" t="b">
        <v>0</v>
      </c>
      <c r="N107" t="b">
        <v>0</v>
      </c>
    </row>
    <row r="108" spans="1:14" x14ac:dyDescent="0.3">
      <c r="A108" t="s">
        <v>501</v>
      </c>
      <c r="B108">
        <v>79</v>
      </c>
      <c r="C108">
        <v>4</v>
      </c>
      <c r="D108">
        <v>26</v>
      </c>
      <c r="E108" t="s">
        <v>126</v>
      </c>
      <c r="F108">
        <v>90.93</v>
      </c>
      <c r="G108">
        <v>25.324000000000002</v>
      </c>
      <c r="H108">
        <v>18.713000000000001</v>
      </c>
      <c r="I108">
        <v>19.420000000000002</v>
      </c>
      <c r="J108">
        <v>27.472999999999999</v>
      </c>
      <c r="K108">
        <v>313.89999999999998</v>
      </c>
      <c r="L108">
        <v>2365.1439999999998</v>
      </c>
      <c r="M108" t="b">
        <v>0</v>
      </c>
      <c r="N108" t="b">
        <v>0</v>
      </c>
    </row>
    <row r="109" spans="1:14" x14ac:dyDescent="0.3">
      <c r="A109" t="s">
        <v>501</v>
      </c>
      <c r="B109">
        <v>79</v>
      </c>
      <c r="C109">
        <v>4</v>
      </c>
      <c r="D109">
        <v>27</v>
      </c>
      <c r="E109" t="s">
        <v>127</v>
      </c>
      <c r="F109">
        <v>90.816000000000003</v>
      </c>
      <c r="G109">
        <v>25.251000000000001</v>
      </c>
      <c r="H109">
        <v>18.646999999999998</v>
      </c>
      <c r="I109">
        <v>19.454999999999998</v>
      </c>
      <c r="J109">
        <v>27.463000000000001</v>
      </c>
      <c r="K109">
        <v>314.8</v>
      </c>
      <c r="L109">
        <v>2455.96</v>
      </c>
      <c r="M109" t="b">
        <v>0</v>
      </c>
      <c r="N109" t="b">
        <v>0</v>
      </c>
    </row>
    <row r="110" spans="1:14" x14ac:dyDescent="0.3">
      <c r="A110" t="s">
        <v>502</v>
      </c>
      <c r="B110">
        <v>37</v>
      </c>
      <c r="C110">
        <v>5</v>
      </c>
      <c r="D110">
        <v>1</v>
      </c>
      <c r="E110" t="s">
        <v>131</v>
      </c>
      <c r="F110">
        <v>96.69</v>
      </c>
      <c r="G110">
        <v>30.242000000000001</v>
      </c>
      <c r="H110">
        <v>19.202000000000002</v>
      </c>
      <c r="I110">
        <v>19.608000000000001</v>
      </c>
      <c r="J110">
        <v>27.638000000000002</v>
      </c>
      <c r="K110">
        <v>266.60000000000002</v>
      </c>
      <c r="L110">
        <v>96.69</v>
      </c>
      <c r="M110" t="b">
        <v>0</v>
      </c>
      <c r="N110" t="b">
        <v>0</v>
      </c>
    </row>
    <row r="111" spans="1:14" x14ac:dyDescent="0.3">
      <c r="A111" t="s">
        <v>502</v>
      </c>
      <c r="B111">
        <v>37</v>
      </c>
      <c r="C111">
        <v>5</v>
      </c>
      <c r="D111">
        <v>2</v>
      </c>
      <c r="E111" t="s">
        <v>132</v>
      </c>
      <c r="F111">
        <v>90.768000000000001</v>
      </c>
      <c r="G111">
        <v>25.347999999999999</v>
      </c>
      <c r="H111">
        <v>18.783000000000001</v>
      </c>
      <c r="I111">
        <v>19.434999999999999</v>
      </c>
      <c r="J111">
        <v>27.202000000000002</v>
      </c>
      <c r="K111">
        <v>306.8</v>
      </c>
      <c r="L111">
        <v>187.458</v>
      </c>
      <c r="M111" t="b">
        <v>0</v>
      </c>
      <c r="N111" t="b">
        <v>0</v>
      </c>
    </row>
    <row r="112" spans="1:14" x14ac:dyDescent="0.3">
      <c r="A112" t="s">
        <v>502</v>
      </c>
      <c r="B112">
        <v>37</v>
      </c>
      <c r="C112">
        <v>5</v>
      </c>
      <c r="D112">
        <v>3</v>
      </c>
      <c r="E112" t="s">
        <v>133</v>
      </c>
      <c r="F112">
        <v>90.546000000000006</v>
      </c>
      <c r="G112">
        <v>25.297999999999998</v>
      </c>
      <c r="H112">
        <v>18.751000000000001</v>
      </c>
      <c r="I112">
        <v>19.276</v>
      </c>
      <c r="J112">
        <v>27.221</v>
      </c>
      <c r="K112">
        <v>311.2</v>
      </c>
      <c r="L112">
        <v>278.00400000000002</v>
      </c>
      <c r="M112" t="b">
        <v>0</v>
      </c>
      <c r="N112" t="b">
        <v>0</v>
      </c>
    </row>
    <row r="113" spans="1:14" x14ac:dyDescent="0.3">
      <c r="A113" t="s">
        <v>502</v>
      </c>
      <c r="B113">
        <v>37</v>
      </c>
      <c r="C113">
        <v>5</v>
      </c>
      <c r="D113">
        <v>4</v>
      </c>
      <c r="E113" t="s">
        <v>134</v>
      </c>
      <c r="F113">
        <v>90.254000000000005</v>
      </c>
      <c r="G113">
        <v>25.126000000000001</v>
      </c>
      <c r="H113">
        <v>18.77</v>
      </c>
      <c r="I113">
        <v>19.204000000000001</v>
      </c>
      <c r="J113">
        <v>27.154</v>
      </c>
      <c r="K113">
        <v>314.8</v>
      </c>
      <c r="L113">
        <v>368.25799999999998</v>
      </c>
      <c r="M113" t="b">
        <v>0</v>
      </c>
      <c r="N113" t="b">
        <v>0</v>
      </c>
    </row>
    <row r="114" spans="1:14" x14ac:dyDescent="0.3">
      <c r="A114" t="s">
        <v>502</v>
      </c>
      <c r="B114">
        <v>37</v>
      </c>
      <c r="C114">
        <v>5</v>
      </c>
      <c r="D114">
        <v>5</v>
      </c>
      <c r="E114" t="s">
        <v>76</v>
      </c>
      <c r="F114">
        <v>90.372</v>
      </c>
      <c r="G114">
        <v>25.151</v>
      </c>
      <c r="H114">
        <v>18.745000000000001</v>
      </c>
      <c r="I114">
        <v>19.273</v>
      </c>
      <c r="J114">
        <v>27.202999999999999</v>
      </c>
      <c r="K114">
        <v>307.60000000000002</v>
      </c>
      <c r="L114">
        <v>458.63</v>
      </c>
      <c r="M114" t="b">
        <v>0</v>
      </c>
      <c r="N114" t="b">
        <v>0</v>
      </c>
    </row>
    <row r="115" spans="1:14" x14ac:dyDescent="0.3">
      <c r="A115" t="s">
        <v>502</v>
      </c>
      <c r="B115">
        <v>37</v>
      </c>
      <c r="C115">
        <v>5</v>
      </c>
      <c r="D115">
        <v>6</v>
      </c>
      <c r="E115" t="s">
        <v>135</v>
      </c>
      <c r="F115">
        <v>90.256</v>
      </c>
      <c r="G115">
        <v>25.198</v>
      </c>
      <c r="H115">
        <v>18.675999999999998</v>
      </c>
      <c r="I115">
        <v>19.190000000000001</v>
      </c>
      <c r="J115">
        <v>27.192</v>
      </c>
      <c r="K115">
        <v>311.2</v>
      </c>
      <c r="L115">
        <v>548.88599999999997</v>
      </c>
      <c r="M115" t="b">
        <v>0</v>
      </c>
      <c r="N115" t="b">
        <v>0</v>
      </c>
    </row>
    <row r="116" spans="1:14" x14ac:dyDescent="0.3">
      <c r="A116" t="s">
        <v>502</v>
      </c>
      <c r="B116">
        <v>37</v>
      </c>
      <c r="C116">
        <v>5</v>
      </c>
      <c r="D116">
        <v>7</v>
      </c>
      <c r="E116" t="s">
        <v>136</v>
      </c>
      <c r="F116">
        <v>90.572000000000003</v>
      </c>
      <c r="G116">
        <v>25.105</v>
      </c>
      <c r="H116">
        <v>18.629000000000001</v>
      </c>
      <c r="I116">
        <v>19.635999999999999</v>
      </c>
      <c r="J116">
        <v>27.202000000000002</v>
      </c>
      <c r="K116">
        <v>311.2</v>
      </c>
      <c r="L116">
        <v>639.45799999999997</v>
      </c>
      <c r="M116" t="b">
        <v>0</v>
      </c>
      <c r="N116" t="b">
        <v>0</v>
      </c>
    </row>
    <row r="117" spans="1:14" x14ac:dyDescent="0.3">
      <c r="A117" t="s">
        <v>502</v>
      </c>
      <c r="B117">
        <v>37</v>
      </c>
      <c r="C117">
        <v>5</v>
      </c>
      <c r="D117">
        <v>8</v>
      </c>
      <c r="E117" t="s">
        <v>137</v>
      </c>
      <c r="F117">
        <v>90.545000000000002</v>
      </c>
      <c r="G117">
        <v>25.096</v>
      </c>
      <c r="H117">
        <v>18.899999999999999</v>
      </c>
      <c r="I117">
        <v>19.334</v>
      </c>
      <c r="J117">
        <v>27.215</v>
      </c>
      <c r="K117">
        <v>314.8</v>
      </c>
      <c r="L117">
        <v>730.00300000000004</v>
      </c>
      <c r="M117" t="b">
        <v>0</v>
      </c>
      <c r="N117" t="b">
        <v>0</v>
      </c>
    </row>
    <row r="118" spans="1:14" x14ac:dyDescent="0.3">
      <c r="A118" t="s">
        <v>502</v>
      </c>
      <c r="B118">
        <v>37</v>
      </c>
      <c r="C118">
        <v>5</v>
      </c>
      <c r="D118">
        <v>9</v>
      </c>
      <c r="E118" t="s">
        <v>138</v>
      </c>
      <c r="F118">
        <v>90.363</v>
      </c>
      <c r="G118">
        <v>25.114000000000001</v>
      </c>
      <c r="H118">
        <v>18.777000000000001</v>
      </c>
      <c r="I118">
        <v>19.253</v>
      </c>
      <c r="J118">
        <v>27.219000000000001</v>
      </c>
      <c r="K118">
        <v>315.7</v>
      </c>
      <c r="L118">
        <v>820.36599999999999</v>
      </c>
      <c r="M118" t="b">
        <v>0</v>
      </c>
      <c r="N118" t="b">
        <v>0</v>
      </c>
    </row>
    <row r="119" spans="1:14" x14ac:dyDescent="0.3">
      <c r="A119" t="s">
        <v>502</v>
      </c>
      <c r="B119">
        <v>37</v>
      </c>
      <c r="C119">
        <v>5</v>
      </c>
      <c r="D119">
        <v>10</v>
      </c>
      <c r="E119" t="s">
        <v>139</v>
      </c>
      <c r="F119">
        <v>90.284999999999997</v>
      </c>
      <c r="G119">
        <v>25.077999999999999</v>
      </c>
      <c r="H119">
        <v>18.760000000000002</v>
      </c>
      <c r="I119">
        <v>19.222000000000001</v>
      </c>
      <c r="J119">
        <v>27.225000000000001</v>
      </c>
      <c r="K119">
        <v>313</v>
      </c>
      <c r="L119">
        <v>910.65099999999995</v>
      </c>
      <c r="M119" t="b">
        <v>0</v>
      </c>
      <c r="N119" t="b">
        <v>0</v>
      </c>
    </row>
    <row r="120" spans="1:14" x14ac:dyDescent="0.3">
      <c r="A120" t="s">
        <v>502</v>
      </c>
      <c r="B120">
        <v>37</v>
      </c>
      <c r="C120">
        <v>5</v>
      </c>
      <c r="D120">
        <v>11</v>
      </c>
      <c r="E120" t="s">
        <v>140</v>
      </c>
      <c r="F120">
        <v>90.331000000000003</v>
      </c>
      <c r="G120">
        <v>25.096</v>
      </c>
      <c r="H120">
        <v>18.934999999999999</v>
      </c>
      <c r="I120">
        <v>19.23</v>
      </c>
      <c r="J120">
        <v>27.07</v>
      </c>
      <c r="K120">
        <v>315.7</v>
      </c>
      <c r="L120">
        <v>1000.982</v>
      </c>
      <c r="M120" t="b">
        <v>0</v>
      </c>
      <c r="N120" t="b">
        <v>0</v>
      </c>
    </row>
    <row r="121" spans="1:14" x14ac:dyDescent="0.3">
      <c r="A121" t="s">
        <v>502</v>
      </c>
      <c r="B121">
        <v>37</v>
      </c>
      <c r="C121">
        <v>5</v>
      </c>
      <c r="D121">
        <v>12</v>
      </c>
      <c r="E121" t="s">
        <v>141</v>
      </c>
      <c r="F121">
        <v>90.171999999999997</v>
      </c>
      <c r="G121">
        <v>24.943999999999999</v>
      </c>
      <c r="H121">
        <v>18.800999999999998</v>
      </c>
      <c r="I121">
        <v>19.204999999999998</v>
      </c>
      <c r="J121">
        <v>27.222000000000001</v>
      </c>
      <c r="K121">
        <v>314.8</v>
      </c>
      <c r="L121">
        <v>1091.154</v>
      </c>
      <c r="M121" t="b">
        <v>0</v>
      </c>
      <c r="N121" t="b">
        <v>0</v>
      </c>
    </row>
    <row r="122" spans="1:14" x14ac:dyDescent="0.3">
      <c r="A122" t="s">
        <v>502</v>
      </c>
      <c r="B122">
        <v>37</v>
      </c>
      <c r="C122">
        <v>5</v>
      </c>
      <c r="D122">
        <v>13</v>
      </c>
      <c r="E122" t="s">
        <v>142</v>
      </c>
      <c r="F122">
        <v>91.71</v>
      </c>
      <c r="G122">
        <v>25.326000000000001</v>
      </c>
      <c r="H122">
        <v>19.015000000000001</v>
      </c>
      <c r="I122">
        <v>19.62</v>
      </c>
      <c r="J122">
        <v>27.748999999999999</v>
      </c>
      <c r="K122">
        <v>314.8</v>
      </c>
      <c r="L122">
        <v>1182.864</v>
      </c>
      <c r="M122" t="b">
        <v>0</v>
      </c>
      <c r="N122" t="b">
        <v>0</v>
      </c>
    </row>
    <row r="123" spans="1:14" x14ac:dyDescent="0.3">
      <c r="A123" t="s">
        <v>502</v>
      </c>
      <c r="B123">
        <v>37</v>
      </c>
      <c r="C123">
        <v>5</v>
      </c>
      <c r="D123">
        <v>14</v>
      </c>
      <c r="E123" t="s">
        <v>143</v>
      </c>
      <c r="F123">
        <v>90.722999999999999</v>
      </c>
      <c r="G123">
        <v>25.172000000000001</v>
      </c>
      <c r="H123">
        <v>18.817</v>
      </c>
      <c r="I123">
        <v>19.375</v>
      </c>
      <c r="J123">
        <v>27.359000000000002</v>
      </c>
      <c r="K123">
        <v>313</v>
      </c>
      <c r="L123">
        <v>1273.587</v>
      </c>
      <c r="M123" t="b">
        <v>0</v>
      </c>
      <c r="N123" t="b">
        <v>0</v>
      </c>
    </row>
    <row r="124" spans="1:14" x14ac:dyDescent="0.3">
      <c r="A124" t="s">
        <v>502</v>
      </c>
      <c r="B124">
        <v>37</v>
      </c>
      <c r="C124">
        <v>5</v>
      </c>
      <c r="D124">
        <v>15</v>
      </c>
      <c r="E124" t="s">
        <v>144</v>
      </c>
      <c r="F124">
        <v>90.912000000000006</v>
      </c>
      <c r="G124">
        <v>25.189</v>
      </c>
      <c r="H124">
        <v>19.024999999999999</v>
      </c>
      <c r="I124">
        <v>19.414999999999999</v>
      </c>
      <c r="J124">
        <v>27.283000000000001</v>
      </c>
      <c r="K124">
        <v>313</v>
      </c>
      <c r="L124">
        <v>1364.499</v>
      </c>
      <c r="M124" t="b">
        <v>0</v>
      </c>
      <c r="N124" t="b">
        <v>0</v>
      </c>
    </row>
    <row r="125" spans="1:14" x14ac:dyDescent="0.3">
      <c r="A125" t="s">
        <v>502</v>
      </c>
      <c r="B125">
        <v>37</v>
      </c>
      <c r="C125">
        <v>5</v>
      </c>
      <c r="D125">
        <v>16</v>
      </c>
      <c r="E125" t="s">
        <v>137</v>
      </c>
      <c r="F125">
        <v>90.545000000000002</v>
      </c>
      <c r="G125">
        <v>25.036000000000001</v>
      </c>
      <c r="H125">
        <v>19.018999999999998</v>
      </c>
      <c r="I125">
        <v>19.3</v>
      </c>
      <c r="J125">
        <v>27.19</v>
      </c>
      <c r="K125">
        <v>314.8</v>
      </c>
      <c r="L125">
        <v>1455.0440000000001</v>
      </c>
      <c r="M125" t="b">
        <v>0</v>
      </c>
      <c r="N125" t="b">
        <v>0</v>
      </c>
    </row>
    <row r="126" spans="1:14" x14ac:dyDescent="0.3">
      <c r="A126" t="s">
        <v>502</v>
      </c>
      <c r="B126">
        <v>37</v>
      </c>
      <c r="C126">
        <v>5</v>
      </c>
      <c r="D126">
        <v>17</v>
      </c>
      <c r="E126" t="s">
        <v>145</v>
      </c>
      <c r="F126">
        <v>92.024000000000001</v>
      </c>
      <c r="G126">
        <v>25.411000000000001</v>
      </c>
      <c r="H126">
        <v>19.257000000000001</v>
      </c>
      <c r="I126">
        <v>19.427</v>
      </c>
      <c r="J126">
        <v>27.928999999999998</v>
      </c>
      <c r="K126">
        <v>314.8</v>
      </c>
      <c r="L126">
        <v>1547.068</v>
      </c>
      <c r="M126" t="b">
        <v>0</v>
      </c>
      <c r="N126" t="b">
        <v>0</v>
      </c>
    </row>
    <row r="127" spans="1:14" x14ac:dyDescent="0.3">
      <c r="A127" t="s">
        <v>502</v>
      </c>
      <c r="B127">
        <v>37</v>
      </c>
      <c r="C127">
        <v>5</v>
      </c>
      <c r="D127">
        <v>18</v>
      </c>
      <c r="E127" t="s">
        <v>146</v>
      </c>
      <c r="F127">
        <v>90.975999999999999</v>
      </c>
      <c r="G127">
        <v>25.239000000000001</v>
      </c>
      <c r="H127">
        <v>18.93</v>
      </c>
      <c r="I127">
        <v>19.402999999999999</v>
      </c>
      <c r="J127">
        <v>27.404</v>
      </c>
      <c r="K127">
        <v>315.7</v>
      </c>
      <c r="L127">
        <v>1638.0440000000001</v>
      </c>
      <c r="M127" t="b">
        <v>0</v>
      </c>
      <c r="N127" t="b">
        <v>0</v>
      </c>
    </row>
    <row r="128" spans="1:14" x14ac:dyDescent="0.3">
      <c r="A128" t="s">
        <v>502</v>
      </c>
      <c r="B128">
        <v>37</v>
      </c>
      <c r="C128">
        <v>5</v>
      </c>
      <c r="D128">
        <v>19</v>
      </c>
      <c r="E128" t="s">
        <v>94</v>
      </c>
      <c r="F128">
        <v>90.841999999999999</v>
      </c>
      <c r="G128">
        <v>25.141999999999999</v>
      </c>
      <c r="H128">
        <v>18.88</v>
      </c>
      <c r="I128">
        <v>19.344999999999999</v>
      </c>
      <c r="J128">
        <v>27.475000000000001</v>
      </c>
      <c r="K128">
        <v>313.89999999999998</v>
      </c>
      <c r="L128">
        <v>1728.886</v>
      </c>
      <c r="M128" t="b">
        <v>0</v>
      </c>
      <c r="N128" t="b">
        <v>0</v>
      </c>
    </row>
    <row r="129" spans="1:14" x14ac:dyDescent="0.3">
      <c r="A129" t="s">
        <v>502</v>
      </c>
      <c r="B129">
        <v>37</v>
      </c>
      <c r="C129">
        <v>5</v>
      </c>
      <c r="D129">
        <v>20</v>
      </c>
      <c r="E129" t="s">
        <v>147</v>
      </c>
      <c r="F129">
        <v>90.853999999999999</v>
      </c>
      <c r="G129">
        <v>25.221</v>
      </c>
      <c r="H129">
        <v>18.709</v>
      </c>
      <c r="I129">
        <v>19.532</v>
      </c>
      <c r="J129">
        <v>27.391999999999999</v>
      </c>
      <c r="K129">
        <v>313.89999999999998</v>
      </c>
      <c r="L129">
        <v>1819.74</v>
      </c>
      <c r="M129" t="b">
        <v>0</v>
      </c>
      <c r="N129" t="b">
        <v>0</v>
      </c>
    </row>
    <row r="130" spans="1:14" x14ac:dyDescent="0.3">
      <c r="A130" t="s">
        <v>502</v>
      </c>
      <c r="B130">
        <v>37</v>
      </c>
      <c r="C130">
        <v>5</v>
      </c>
      <c r="D130">
        <v>21</v>
      </c>
      <c r="E130" t="s">
        <v>148</v>
      </c>
      <c r="F130">
        <v>90.56</v>
      </c>
      <c r="G130">
        <v>25.056000000000001</v>
      </c>
      <c r="H130">
        <v>18.861000000000001</v>
      </c>
      <c r="I130">
        <v>19.350999999999999</v>
      </c>
      <c r="J130">
        <v>27.292000000000002</v>
      </c>
      <c r="K130">
        <v>313.89999999999998</v>
      </c>
      <c r="L130">
        <v>1910.3</v>
      </c>
      <c r="M130" t="b">
        <v>0</v>
      </c>
      <c r="N130" t="b">
        <v>0</v>
      </c>
    </row>
    <row r="131" spans="1:14" x14ac:dyDescent="0.3">
      <c r="A131" t="s">
        <v>502</v>
      </c>
      <c r="B131">
        <v>37</v>
      </c>
      <c r="C131">
        <v>5</v>
      </c>
      <c r="D131">
        <v>22</v>
      </c>
      <c r="E131" t="s">
        <v>149</v>
      </c>
      <c r="F131">
        <v>90.897999999999996</v>
      </c>
      <c r="G131">
        <v>25.132000000000001</v>
      </c>
      <c r="H131">
        <v>19.036999999999999</v>
      </c>
      <c r="I131">
        <v>19.372</v>
      </c>
      <c r="J131">
        <v>27.356999999999999</v>
      </c>
      <c r="K131">
        <v>313.89999999999998</v>
      </c>
      <c r="L131">
        <v>2001.1980000000001</v>
      </c>
      <c r="M131" t="b">
        <v>0</v>
      </c>
      <c r="N131" t="b">
        <v>0</v>
      </c>
    </row>
    <row r="132" spans="1:14" x14ac:dyDescent="0.3">
      <c r="A132" t="s">
        <v>502</v>
      </c>
      <c r="B132">
        <v>37</v>
      </c>
      <c r="C132">
        <v>5</v>
      </c>
      <c r="D132">
        <v>23</v>
      </c>
      <c r="E132" t="s">
        <v>150</v>
      </c>
      <c r="F132">
        <v>90.718999999999994</v>
      </c>
      <c r="G132">
        <v>25.25</v>
      </c>
      <c r="H132">
        <v>18.884</v>
      </c>
      <c r="I132">
        <v>19.260000000000002</v>
      </c>
      <c r="J132">
        <v>27.324999999999999</v>
      </c>
      <c r="K132">
        <v>313</v>
      </c>
      <c r="L132">
        <v>2091.9169999999999</v>
      </c>
      <c r="M132" t="b">
        <v>0</v>
      </c>
      <c r="N132" t="b">
        <v>0</v>
      </c>
    </row>
    <row r="133" spans="1:14" x14ac:dyDescent="0.3">
      <c r="A133" t="s">
        <v>502</v>
      </c>
      <c r="B133">
        <v>37</v>
      </c>
      <c r="C133">
        <v>5</v>
      </c>
      <c r="D133">
        <v>24</v>
      </c>
      <c r="E133" t="s">
        <v>151</v>
      </c>
      <c r="F133">
        <v>90.728999999999999</v>
      </c>
      <c r="G133">
        <v>25.202000000000002</v>
      </c>
      <c r="H133">
        <v>18.916</v>
      </c>
      <c r="I133">
        <v>19.329000000000001</v>
      </c>
      <c r="J133">
        <v>27.282</v>
      </c>
      <c r="K133">
        <v>313.89999999999998</v>
      </c>
      <c r="L133">
        <v>2182.6460000000002</v>
      </c>
      <c r="M133" t="b">
        <v>0</v>
      </c>
      <c r="N133" t="b">
        <v>0</v>
      </c>
    </row>
    <row r="134" spans="1:14" x14ac:dyDescent="0.3">
      <c r="A134" t="s">
        <v>502</v>
      </c>
      <c r="B134">
        <v>37</v>
      </c>
      <c r="C134">
        <v>5</v>
      </c>
      <c r="D134">
        <v>25</v>
      </c>
      <c r="E134" t="s">
        <v>152</v>
      </c>
      <c r="F134">
        <v>91.649000000000001</v>
      </c>
      <c r="G134">
        <v>25.163</v>
      </c>
      <c r="H134">
        <v>18.899999999999999</v>
      </c>
      <c r="I134">
        <v>19.538</v>
      </c>
      <c r="J134">
        <v>28.047999999999998</v>
      </c>
      <c r="K134">
        <v>314.8</v>
      </c>
      <c r="L134">
        <v>2274.2950000000001</v>
      </c>
      <c r="M134" t="b">
        <v>0</v>
      </c>
      <c r="N134" t="b">
        <v>0</v>
      </c>
    </row>
    <row r="135" spans="1:14" x14ac:dyDescent="0.3">
      <c r="A135" t="s">
        <v>502</v>
      </c>
      <c r="B135">
        <v>37</v>
      </c>
      <c r="C135">
        <v>5</v>
      </c>
      <c r="D135">
        <v>26</v>
      </c>
      <c r="E135" t="s">
        <v>153</v>
      </c>
      <c r="F135">
        <v>91.156000000000006</v>
      </c>
      <c r="G135">
        <v>25.356000000000002</v>
      </c>
      <c r="H135">
        <v>18.943999999999999</v>
      </c>
      <c r="I135">
        <v>19.486000000000001</v>
      </c>
      <c r="J135">
        <v>27.37</v>
      </c>
      <c r="K135">
        <v>313.89999999999998</v>
      </c>
      <c r="L135">
        <v>2365.451</v>
      </c>
      <c r="M135" t="b">
        <v>0</v>
      </c>
      <c r="N135" t="b">
        <v>0</v>
      </c>
    </row>
    <row r="136" spans="1:14" x14ac:dyDescent="0.3">
      <c r="A136" t="s">
        <v>502</v>
      </c>
      <c r="B136">
        <v>37</v>
      </c>
      <c r="C136">
        <v>5</v>
      </c>
      <c r="D136">
        <v>27</v>
      </c>
      <c r="E136" t="s">
        <v>154</v>
      </c>
      <c r="F136">
        <v>90.623000000000005</v>
      </c>
      <c r="G136">
        <v>25.085000000000001</v>
      </c>
      <c r="H136">
        <v>18.798999999999999</v>
      </c>
      <c r="I136">
        <v>19.343</v>
      </c>
      <c r="J136">
        <v>27.396000000000001</v>
      </c>
      <c r="K136">
        <v>314.8</v>
      </c>
      <c r="L136">
        <v>2456.0740000000001</v>
      </c>
      <c r="M136" t="b">
        <v>0</v>
      </c>
      <c r="N136" t="b">
        <v>0</v>
      </c>
    </row>
    <row r="137" spans="1:14" x14ac:dyDescent="0.3">
      <c r="A137" t="s">
        <v>503</v>
      </c>
      <c r="B137">
        <v>93</v>
      </c>
      <c r="C137">
        <v>6</v>
      </c>
      <c r="D137">
        <v>1</v>
      </c>
      <c r="E137" t="s">
        <v>158</v>
      </c>
      <c r="F137">
        <v>95.147999999999996</v>
      </c>
      <c r="G137">
        <v>29.178999999999998</v>
      </c>
      <c r="H137">
        <v>19.065999999999999</v>
      </c>
      <c r="I137">
        <v>19.542999999999999</v>
      </c>
      <c r="J137">
        <v>27.36</v>
      </c>
      <c r="K137">
        <v>263.39999999999998</v>
      </c>
      <c r="L137">
        <v>95.147999999999996</v>
      </c>
      <c r="M137" t="b">
        <v>0</v>
      </c>
      <c r="N137" t="b">
        <v>0</v>
      </c>
    </row>
    <row r="138" spans="1:14" x14ac:dyDescent="0.3">
      <c r="A138" t="s">
        <v>503</v>
      </c>
      <c r="B138">
        <v>93</v>
      </c>
      <c r="C138">
        <v>6</v>
      </c>
      <c r="D138">
        <v>2</v>
      </c>
      <c r="E138" t="s">
        <v>159</v>
      </c>
      <c r="F138">
        <v>91.123999999999995</v>
      </c>
      <c r="G138">
        <v>25.341000000000001</v>
      </c>
      <c r="H138">
        <v>18.951000000000001</v>
      </c>
      <c r="I138">
        <v>19.416</v>
      </c>
      <c r="J138">
        <v>27.416</v>
      </c>
      <c r="K138">
        <v>313</v>
      </c>
      <c r="L138">
        <v>186.27199999999999</v>
      </c>
      <c r="M138" t="b">
        <v>0</v>
      </c>
      <c r="N138" t="b">
        <v>0</v>
      </c>
    </row>
    <row r="139" spans="1:14" x14ac:dyDescent="0.3">
      <c r="A139" t="s">
        <v>503</v>
      </c>
      <c r="B139">
        <v>93</v>
      </c>
      <c r="C139">
        <v>6</v>
      </c>
      <c r="D139">
        <v>3</v>
      </c>
      <c r="E139" t="s">
        <v>160</v>
      </c>
      <c r="F139">
        <v>91.263999999999996</v>
      </c>
      <c r="G139">
        <v>25.34</v>
      </c>
      <c r="H139">
        <v>18.899000000000001</v>
      </c>
      <c r="I139">
        <v>19.635999999999999</v>
      </c>
      <c r="J139">
        <v>27.388999999999999</v>
      </c>
      <c r="K139">
        <v>313</v>
      </c>
      <c r="L139">
        <v>277.536</v>
      </c>
      <c r="M139" t="b">
        <v>0</v>
      </c>
      <c r="N139" t="b">
        <v>0</v>
      </c>
    </row>
    <row r="140" spans="1:14" x14ac:dyDescent="0.3">
      <c r="A140" t="s">
        <v>503</v>
      </c>
      <c r="B140">
        <v>93</v>
      </c>
      <c r="C140">
        <v>6</v>
      </c>
      <c r="D140">
        <v>4</v>
      </c>
      <c r="E140" t="s">
        <v>161</v>
      </c>
      <c r="F140">
        <v>90.540999999999997</v>
      </c>
      <c r="G140">
        <v>25.209</v>
      </c>
      <c r="H140">
        <v>18.785</v>
      </c>
      <c r="I140">
        <v>19.298999999999999</v>
      </c>
      <c r="J140">
        <v>27.248000000000001</v>
      </c>
      <c r="K140">
        <v>310.3</v>
      </c>
      <c r="L140">
        <v>368.077</v>
      </c>
      <c r="M140" t="b">
        <v>0</v>
      </c>
      <c r="N140" t="b">
        <v>0</v>
      </c>
    </row>
    <row r="141" spans="1:14" x14ac:dyDescent="0.3">
      <c r="A141" t="s">
        <v>503</v>
      </c>
      <c r="B141">
        <v>93</v>
      </c>
      <c r="C141">
        <v>6</v>
      </c>
      <c r="D141">
        <v>5</v>
      </c>
      <c r="E141" t="s">
        <v>162</v>
      </c>
      <c r="F141">
        <v>90.405000000000001</v>
      </c>
      <c r="G141">
        <v>25.15</v>
      </c>
      <c r="H141">
        <v>18.716000000000001</v>
      </c>
      <c r="I141">
        <v>19.231000000000002</v>
      </c>
      <c r="J141">
        <v>27.308</v>
      </c>
      <c r="K141">
        <v>313.89999999999998</v>
      </c>
      <c r="L141">
        <v>458.48200000000003</v>
      </c>
      <c r="M141" t="b">
        <v>0</v>
      </c>
      <c r="N141" t="b">
        <v>0</v>
      </c>
    </row>
    <row r="142" spans="1:14" x14ac:dyDescent="0.3">
      <c r="A142" t="s">
        <v>503</v>
      </c>
      <c r="B142">
        <v>93</v>
      </c>
      <c r="C142">
        <v>6</v>
      </c>
      <c r="D142">
        <v>6</v>
      </c>
      <c r="E142" t="s">
        <v>163</v>
      </c>
      <c r="F142">
        <v>90.228999999999999</v>
      </c>
      <c r="G142">
        <v>25.084</v>
      </c>
      <c r="H142">
        <v>18.713000000000001</v>
      </c>
      <c r="I142">
        <v>19.183</v>
      </c>
      <c r="J142">
        <v>27.248999999999999</v>
      </c>
      <c r="K142">
        <v>314.8</v>
      </c>
      <c r="L142">
        <v>548.71100000000001</v>
      </c>
      <c r="M142" t="b">
        <v>0</v>
      </c>
      <c r="N142" t="b">
        <v>0</v>
      </c>
    </row>
    <row r="143" spans="1:14" x14ac:dyDescent="0.3">
      <c r="A143" t="s">
        <v>503</v>
      </c>
      <c r="B143">
        <v>93</v>
      </c>
      <c r="C143">
        <v>6</v>
      </c>
      <c r="D143">
        <v>7</v>
      </c>
      <c r="E143" t="s">
        <v>164</v>
      </c>
      <c r="F143">
        <v>91.096999999999994</v>
      </c>
      <c r="G143">
        <v>25.109000000000002</v>
      </c>
      <c r="H143">
        <v>18.754000000000001</v>
      </c>
      <c r="I143">
        <v>19.821999999999999</v>
      </c>
      <c r="J143">
        <v>27.411999999999999</v>
      </c>
      <c r="K143">
        <v>315.7</v>
      </c>
      <c r="L143">
        <v>639.80799999999999</v>
      </c>
      <c r="M143" t="b">
        <v>0</v>
      </c>
      <c r="N143" t="b">
        <v>0</v>
      </c>
    </row>
    <row r="144" spans="1:14" x14ac:dyDescent="0.3">
      <c r="A144" t="s">
        <v>503</v>
      </c>
      <c r="B144">
        <v>93</v>
      </c>
      <c r="C144">
        <v>6</v>
      </c>
      <c r="D144">
        <v>8</v>
      </c>
      <c r="E144" t="s">
        <v>165</v>
      </c>
      <c r="F144">
        <v>90.48</v>
      </c>
      <c r="G144">
        <v>25.231999999999999</v>
      </c>
      <c r="H144">
        <v>18.704000000000001</v>
      </c>
      <c r="I144">
        <v>19.323</v>
      </c>
      <c r="J144">
        <v>27.221</v>
      </c>
      <c r="K144">
        <v>313</v>
      </c>
      <c r="L144">
        <v>730.28800000000001</v>
      </c>
      <c r="M144" t="b">
        <v>0</v>
      </c>
      <c r="N144" t="b">
        <v>0</v>
      </c>
    </row>
    <row r="145" spans="1:14" x14ac:dyDescent="0.3">
      <c r="A145" t="s">
        <v>503</v>
      </c>
      <c r="B145">
        <v>93</v>
      </c>
      <c r="C145">
        <v>6</v>
      </c>
      <c r="D145">
        <v>9</v>
      </c>
      <c r="E145" t="s">
        <v>166</v>
      </c>
      <c r="F145">
        <v>90.37</v>
      </c>
      <c r="G145">
        <v>25.16</v>
      </c>
      <c r="H145">
        <v>18.716999999999999</v>
      </c>
      <c r="I145">
        <v>19.338999999999999</v>
      </c>
      <c r="J145">
        <v>27.154</v>
      </c>
      <c r="K145">
        <v>313.89999999999998</v>
      </c>
      <c r="L145">
        <v>820.65800000000002</v>
      </c>
      <c r="M145" t="b">
        <v>0</v>
      </c>
      <c r="N145" t="b">
        <v>0</v>
      </c>
    </row>
    <row r="146" spans="1:14" x14ac:dyDescent="0.3">
      <c r="A146" t="s">
        <v>503</v>
      </c>
      <c r="B146">
        <v>93</v>
      </c>
      <c r="C146">
        <v>6</v>
      </c>
      <c r="D146">
        <v>10</v>
      </c>
      <c r="E146" t="s">
        <v>167</v>
      </c>
      <c r="F146">
        <v>90.39</v>
      </c>
      <c r="G146">
        <v>25.07</v>
      </c>
      <c r="H146">
        <v>18.731000000000002</v>
      </c>
      <c r="I146">
        <v>19.279</v>
      </c>
      <c r="J146">
        <v>27.31</v>
      </c>
      <c r="K146">
        <v>312.10000000000002</v>
      </c>
      <c r="L146">
        <v>911.048</v>
      </c>
      <c r="M146" t="b">
        <v>0</v>
      </c>
      <c r="N146" t="b">
        <v>0</v>
      </c>
    </row>
    <row r="147" spans="1:14" x14ac:dyDescent="0.3">
      <c r="A147" t="s">
        <v>503</v>
      </c>
      <c r="B147">
        <v>93</v>
      </c>
      <c r="C147">
        <v>6</v>
      </c>
      <c r="D147">
        <v>11</v>
      </c>
      <c r="E147" t="s">
        <v>168</v>
      </c>
      <c r="F147">
        <v>90.370999999999995</v>
      </c>
      <c r="G147">
        <v>25.135999999999999</v>
      </c>
      <c r="H147">
        <v>18.739999999999998</v>
      </c>
      <c r="I147">
        <v>19.303000000000001</v>
      </c>
      <c r="J147">
        <v>27.192</v>
      </c>
      <c r="K147">
        <v>313</v>
      </c>
      <c r="L147">
        <v>1001.419</v>
      </c>
      <c r="M147" t="b">
        <v>0</v>
      </c>
      <c r="N147" t="b">
        <v>0</v>
      </c>
    </row>
    <row r="148" spans="1:14" x14ac:dyDescent="0.3">
      <c r="A148" t="s">
        <v>503</v>
      </c>
      <c r="B148">
        <v>93</v>
      </c>
      <c r="C148">
        <v>6</v>
      </c>
      <c r="D148">
        <v>12</v>
      </c>
      <c r="E148" t="s">
        <v>169</v>
      </c>
      <c r="F148">
        <v>90.397999999999996</v>
      </c>
      <c r="G148">
        <v>25.138000000000002</v>
      </c>
      <c r="H148">
        <v>18.722999999999999</v>
      </c>
      <c r="I148">
        <v>19.256</v>
      </c>
      <c r="J148">
        <v>27.280999999999999</v>
      </c>
      <c r="K148">
        <v>313.89999999999998</v>
      </c>
      <c r="L148">
        <v>1091.817</v>
      </c>
      <c r="M148" t="b">
        <v>0</v>
      </c>
      <c r="N148" t="b">
        <v>0</v>
      </c>
    </row>
    <row r="149" spans="1:14" x14ac:dyDescent="0.3">
      <c r="A149" t="s">
        <v>503</v>
      </c>
      <c r="B149">
        <v>93</v>
      </c>
      <c r="C149">
        <v>6</v>
      </c>
      <c r="D149">
        <v>13</v>
      </c>
      <c r="E149" t="s">
        <v>170</v>
      </c>
      <c r="F149">
        <v>90.850999999999999</v>
      </c>
      <c r="G149">
        <v>25.239000000000001</v>
      </c>
      <c r="H149">
        <v>18.829000000000001</v>
      </c>
      <c r="I149">
        <v>19.327999999999999</v>
      </c>
      <c r="J149">
        <v>27.454999999999998</v>
      </c>
      <c r="K149">
        <v>317.60000000000002</v>
      </c>
      <c r="L149">
        <v>1182.6679999999999</v>
      </c>
      <c r="M149" t="b">
        <v>0</v>
      </c>
      <c r="N149" t="b">
        <v>0</v>
      </c>
    </row>
    <row r="150" spans="1:14" x14ac:dyDescent="0.3">
      <c r="A150" t="s">
        <v>503</v>
      </c>
      <c r="B150">
        <v>93</v>
      </c>
      <c r="C150">
        <v>6</v>
      </c>
      <c r="D150">
        <v>14</v>
      </c>
      <c r="E150" t="s">
        <v>171</v>
      </c>
      <c r="F150">
        <v>90.83</v>
      </c>
      <c r="G150">
        <v>25.25</v>
      </c>
      <c r="H150">
        <v>18.786000000000001</v>
      </c>
      <c r="I150">
        <v>19.419</v>
      </c>
      <c r="J150">
        <v>27.375</v>
      </c>
      <c r="K150">
        <v>314.8</v>
      </c>
      <c r="L150">
        <v>1273.498</v>
      </c>
      <c r="M150" t="b">
        <v>0</v>
      </c>
      <c r="N150" t="b">
        <v>0</v>
      </c>
    </row>
    <row r="151" spans="1:14" x14ac:dyDescent="0.3">
      <c r="A151" t="s">
        <v>503</v>
      </c>
      <c r="B151">
        <v>93</v>
      </c>
      <c r="C151">
        <v>6</v>
      </c>
      <c r="D151">
        <v>15</v>
      </c>
      <c r="E151" t="s">
        <v>172</v>
      </c>
      <c r="F151">
        <v>91.412999999999997</v>
      </c>
      <c r="G151">
        <v>25.167000000000002</v>
      </c>
      <c r="H151">
        <v>18.952000000000002</v>
      </c>
      <c r="I151">
        <v>19.832000000000001</v>
      </c>
      <c r="J151">
        <v>27.462</v>
      </c>
      <c r="K151">
        <v>315.7</v>
      </c>
      <c r="L151">
        <v>1364.9110000000001</v>
      </c>
      <c r="M151" t="b">
        <v>0</v>
      </c>
      <c r="N151" t="b">
        <v>0</v>
      </c>
    </row>
    <row r="152" spans="1:14" x14ac:dyDescent="0.3">
      <c r="A152" t="s">
        <v>503</v>
      </c>
      <c r="B152">
        <v>93</v>
      </c>
      <c r="C152">
        <v>6</v>
      </c>
      <c r="D152">
        <v>16</v>
      </c>
      <c r="E152" t="s">
        <v>173</v>
      </c>
      <c r="F152">
        <v>90.789000000000001</v>
      </c>
      <c r="G152">
        <v>25.196000000000002</v>
      </c>
      <c r="H152">
        <v>18.911000000000001</v>
      </c>
      <c r="I152">
        <v>19.292999999999999</v>
      </c>
      <c r="J152">
        <v>27.388999999999999</v>
      </c>
      <c r="K152">
        <v>313.89999999999998</v>
      </c>
      <c r="L152">
        <v>1455.7</v>
      </c>
      <c r="M152" t="b">
        <v>0</v>
      </c>
      <c r="N152" t="b">
        <v>0</v>
      </c>
    </row>
    <row r="153" spans="1:14" x14ac:dyDescent="0.3">
      <c r="A153" t="s">
        <v>503</v>
      </c>
      <c r="B153">
        <v>93</v>
      </c>
      <c r="C153">
        <v>6</v>
      </c>
      <c r="D153">
        <v>17</v>
      </c>
      <c r="E153" t="s">
        <v>174</v>
      </c>
      <c r="F153">
        <v>91.248000000000005</v>
      </c>
      <c r="G153">
        <v>25.292999999999999</v>
      </c>
      <c r="H153">
        <v>18.978000000000002</v>
      </c>
      <c r="I153">
        <v>19.388999999999999</v>
      </c>
      <c r="J153">
        <v>27.588000000000001</v>
      </c>
      <c r="K153">
        <v>311.2</v>
      </c>
      <c r="L153">
        <v>1546.9480000000001</v>
      </c>
      <c r="M153" t="b">
        <v>0</v>
      </c>
      <c r="N153" t="b">
        <v>0</v>
      </c>
    </row>
    <row r="154" spans="1:14" x14ac:dyDescent="0.3">
      <c r="A154" t="s">
        <v>503</v>
      </c>
      <c r="B154">
        <v>93</v>
      </c>
      <c r="C154">
        <v>6</v>
      </c>
      <c r="D154">
        <v>18</v>
      </c>
      <c r="E154" t="s">
        <v>175</v>
      </c>
      <c r="F154">
        <v>90.974000000000004</v>
      </c>
      <c r="G154">
        <v>25.228000000000002</v>
      </c>
      <c r="H154">
        <v>18.946000000000002</v>
      </c>
      <c r="I154">
        <v>19.399000000000001</v>
      </c>
      <c r="J154">
        <v>27.401</v>
      </c>
      <c r="K154">
        <v>314.8</v>
      </c>
      <c r="L154">
        <v>1637.922</v>
      </c>
      <c r="M154" t="b">
        <v>0</v>
      </c>
      <c r="N154" t="b">
        <v>0</v>
      </c>
    </row>
    <row r="155" spans="1:14" x14ac:dyDescent="0.3">
      <c r="A155" t="s">
        <v>503</v>
      </c>
      <c r="B155">
        <v>93</v>
      </c>
      <c r="C155">
        <v>6</v>
      </c>
      <c r="D155">
        <v>19</v>
      </c>
      <c r="E155" t="s">
        <v>176</v>
      </c>
      <c r="F155">
        <v>90.831999999999994</v>
      </c>
      <c r="G155">
        <v>25.161000000000001</v>
      </c>
      <c r="H155">
        <v>18.835999999999999</v>
      </c>
      <c r="I155">
        <v>19.378</v>
      </c>
      <c r="J155">
        <v>27.457000000000001</v>
      </c>
      <c r="K155">
        <v>315.7</v>
      </c>
      <c r="L155">
        <v>1728.7539999999999</v>
      </c>
      <c r="M155" t="b">
        <v>0</v>
      </c>
      <c r="N155" t="b">
        <v>0</v>
      </c>
    </row>
    <row r="156" spans="1:14" x14ac:dyDescent="0.3">
      <c r="A156" t="s">
        <v>503</v>
      </c>
      <c r="B156">
        <v>93</v>
      </c>
      <c r="C156">
        <v>6</v>
      </c>
      <c r="D156">
        <v>20</v>
      </c>
      <c r="E156" t="s">
        <v>177</v>
      </c>
      <c r="F156">
        <v>91.171000000000006</v>
      </c>
      <c r="G156">
        <v>25.253</v>
      </c>
      <c r="H156">
        <v>18.797999999999998</v>
      </c>
      <c r="I156">
        <v>19.420999999999999</v>
      </c>
      <c r="J156">
        <v>27.699000000000002</v>
      </c>
      <c r="K156">
        <v>315.7</v>
      </c>
      <c r="L156">
        <v>1819.925</v>
      </c>
      <c r="M156" t="b">
        <v>0</v>
      </c>
      <c r="N156" t="b">
        <v>0</v>
      </c>
    </row>
    <row r="157" spans="1:14" x14ac:dyDescent="0.3">
      <c r="A157" t="s">
        <v>503</v>
      </c>
      <c r="B157">
        <v>93</v>
      </c>
      <c r="C157">
        <v>6</v>
      </c>
      <c r="D157">
        <v>21</v>
      </c>
      <c r="E157" t="s">
        <v>178</v>
      </c>
      <c r="F157">
        <v>90.983999999999995</v>
      </c>
      <c r="G157">
        <v>25.251000000000001</v>
      </c>
      <c r="H157">
        <v>18.760000000000002</v>
      </c>
      <c r="I157">
        <v>19.334</v>
      </c>
      <c r="J157">
        <v>27.638999999999999</v>
      </c>
      <c r="K157">
        <v>312.10000000000002</v>
      </c>
      <c r="L157">
        <v>1910.9090000000001</v>
      </c>
      <c r="M157" t="b">
        <v>0</v>
      </c>
      <c r="N157" t="b">
        <v>0</v>
      </c>
    </row>
    <row r="158" spans="1:14" x14ac:dyDescent="0.3">
      <c r="A158" t="s">
        <v>503</v>
      </c>
      <c r="B158">
        <v>93</v>
      </c>
      <c r="C158">
        <v>6</v>
      </c>
      <c r="D158">
        <v>22</v>
      </c>
      <c r="E158" t="s">
        <v>104</v>
      </c>
      <c r="F158">
        <v>90.956000000000003</v>
      </c>
      <c r="G158">
        <v>25.41</v>
      </c>
      <c r="H158">
        <v>18.896000000000001</v>
      </c>
      <c r="I158">
        <v>19.367999999999999</v>
      </c>
      <c r="J158">
        <v>27.282</v>
      </c>
      <c r="K158">
        <v>313</v>
      </c>
      <c r="L158">
        <v>2001.865</v>
      </c>
      <c r="M158" t="b">
        <v>0</v>
      </c>
      <c r="N158" t="b">
        <v>0</v>
      </c>
    </row>
    <row r="159" spans="1:14" x14ac:dyDescent="0.3">
      <c r="A159" t="s">
        <v>503</v>
      </c>
      <c r="B159">
        <v>93</v>
      </c>
      <c r="C159">
        <v>6</v>
      </c>
      <c r="D159">
        <v>23</v>
      </c>
      <c r="E159" t="s">
        <v>179</v>
      </c>
      <c r="F159">
        <v>90.796000000000006</v>
      </c>
      <c r="G159">
        <v>25.234000000000002</v>
      </c>
      <c r="H159">
        <v>18.817</v>
      </c>
      <c r="I159">
        <v>19.321000000000002</v>
      </c>
      <c r="J159">
        <v>27.423999999999999</v>
      </c>
      <c r="K159">
        <v>307.60000000000002</v>
      </c>
      <c r="L159">
        <v>2092.6610000000001</v>
      </c>
      <c r="M159" t="b">
        <v>0</v>
      </c>
      <c r="N159" t="b">
        <v>0</v>
      </c>
    </row>
    <row r="160" spans="1:14" x14ac:dyDescent="0.3">
      <c r="A160" t="s">
        <v>503</v>
      </c>
      <c r="B160">
        <v>93</v>
      </c>
      <c r="C160">
        <v>6</v>
      </c>
      <c r="D160">
        <v>24</v>
      </c>
      <c r="E160" t="s">
        <v>180</v>
      </c>
      <c r="F160">
        <v>90.896000000000001</v>
      </c>
      <c r="G160">
        <v>25.241</v>
      </c>
      <c r="H160">
        <v>18.925999999999998</v>
      </c>
      <c r="I160">
        <v>19.341000000000001</v>
      </c>
      <c r="J160">
        <v>27.388000000000002</v>
      </c>
      <c r="K160">
        <v>311.2</v>
      </c>
      <c r="L160">
        <v>2183.5569999999998</v>
      </c>
      <c r="M160" t="b">
        <v>0</v>
      </c>
      <c r="N160" t="b">
        <v>0</v>
      </c>
    </row>
    <row r="161" spans="1:14" x14ac:dyDescent="0.3">
      <c r="A161" t="s">
        <v>503</v>
      </c>
      <c r="B161">
        <v>93</v>
      </c>
      <c r="C161">
        <v>6</v>
      </c>
      <c r="D161">
        <v>25</v>
      </c>
      <c r="E161" t="s">
        <v>181</v>
      </c>
      <c r="F161">
        <v>91.33</v>
      </c>
      <c r="G161">
        <v>25.277999999999999</v>
      </c>
      <c r="H161">
        <v>18.995999999999999</v>
      </c>
      <c r="I161">
        <v>19.53</v>
      </c>
      <c r="J161">
        <v>27.526</v>
      </c>
      <c r="K161">
        <v>314.8</v>
      </c>
      <c r="L161">
        <v>2274.8870000000002</v>
      </c>
      <c r="M161" t="b">
        <v>0</v>
      </c>
      <c r="N161" t="b">
        <v>0</v>
      </c>
    </row>
    <row r="162" spans="1:14" x14ac:dyDescent="0.3">
      <c r="A162" t="s">
        <v>503</v>
      </c>
      <c r="B162">
        <v>93</v>
      </c>
      <c r="C162">
        <v>6</v>
      </c>
      <c r="D162">
        <v>26</v>
      </c>
      <c r="E162" t="s">
        <v>182</v>
      </c>
      <c r="F162">
        <v>90.94</v>
      </c>
      <c r="G162">
        <v>25.234000000000002</v>
      </c>
      <c r="H162">
        <v>18.89</v>
      </c>
      <c r="I162">
        <v>19.408000000000001</v>
      </c>
      <c r="J162">
        <v>27.408000000000001</v>
      </c>
      <c r="K162">
        <v>315.7</v>
      </c>
      <c r="L162">
        <v>2365.8270000000002</v>
      </c>
      <c r="M162" t="b">
        <v>0</v>
      </c>
      <c r="N162" t="b">
        <v>0</v>
      </c>
    </row>
    <row r="163" spans="1:14" x14ac:dyDescent="0.3">
      <c r="A163" t="s">
        <v>503</v>
      </c>
      <c r="B163">
        <v>93</v>
      </c>
      <c r="C163">
        <v>6</v>
      </c>
      <c r="D163">
        <v>27</v>
      </c>
      <c r="E163" t="s">
        <v>183</v>
      </c>
      <c r="F163">
        <v>91.533000000000001</v>
      </c>
      <c r="G163">
        <v>25.28</v>
      </c>
      <c r="H163">
        <v>18.896999999999998</v>
      </c>
      <c r="I163">
        <v>19.533999999999999</v>
      </c>
      <c r="J163">
        <v>27.821999999999999</v>
      </c>
      <c r="K163">
        <v>308.5</v>
      </c>
      <c r="L163">
        <v>2457.36</v>
      </c>
      <c r="M163" t="b">
        <v>0</v>
      </c>
      <c r="N163" t="b">
        <v>0</v>
      </c>
    </row>
    <row r="164" spans="1:14" x14ac:dyDescent="0.3">
      <c r="A164" t="s">
        <v>504</v>
      </c>
      <c r="B164">
        <v>73</v>
      </c>
      <c r="C164">
        <v>7</v>
      </c>
      <c r="D164">
        <v>1</v>
      </c>
      <c r="E164" t="s">
        <v>186</v>
      </c>
      <c r="F164">
        <v>96.433999999999997</v>
      </c>
      <c r="G164">
        <v>30.045999999999999</v>
      </c>
      <c r="H164">
        <v>19.129000000000001</v>
      </c>
      <c r="I164">
        <v>19.608000000000001</v>
      </c>
      <c r="J164">
        <v>27.651</v>
      </c>
      <c r="K164">
        <v>265.3</v>
      </c>
      <c r="L164">
        <v>96.433999999999997</v>
      </c>
      <c r="M164" t="b">
        <v>0</v>
      </c>
      <c r="N164" t="b">
        <v>0</v>
      </c>
    </row>
    <row r="165" spans="1:14" x14ac:dyDescent="0.3">
      <c r="A165" t="s">
        <v>504</v>
      </c>
      <c r="B165">
        <v>73</v>
      </c>
      <c r="C165">
        <v>7</v>
      </c>
      <c r="D165">
        <v>2</v>
      </c>
      <c r="E165" t="s">
        <v>187</v>
      </c>
      <c r="F165">
        <v>91.403999999999996</v>
      </c>
      <c r="G165">
        <v>25.443000000000001</v>
      </c>
      <c r="H165">
        <v>18.902999999999999</v>
      </c>
      <c r="I165">
        <v>19.655999999999999</v>
      </c>
      <c r="J165">
        <v>27.402000000000001</v>
      </c>
      <c r="K165">
        <v>309.39999999999998</v>
      </c>
      <c r="L165">
        <v>187.83799999999999</v>
      </c>
      <c r="M165" t="b">
        <v>1</v>
      </c>
      <c r="N165" t="b">
        <v>0</v>
      </c>
    </row>
    <row r="166" spans="1:14" x14ac:dyDescent="0.3">
      <c r="A166" t="s">
        <v>504</v>
      </c>
      <c r="B166">
        <v>73</v>
      </c>
      <c r="C166">
        <v>7</v>
      </c>
      <c r="D166">
        <v>3</v>
      </c>
      <c r="E166" t="s">
        <v>188</v>
      </c>
      <c r="F166">
        <v>90.876000000000005</v>
      </c>
      <c r="G166">
        <v>25.297000000000001</v>
      </c>
      <c r="H166">
        <v>18.818999999999999</v>
      </c>
      <c r="I166">
        <v>19.332999999999998</v>
      </c>
      <c r="J166">
        <v>27.427</v>
      </c>
      <c r="K166">
        <v>312.10000000000002</v>
      </c>
      <c r="L166">
        <v>278.714</v>
      </c>
      <c r="M166" t="b">
        <v>0</v>
      </c>
      <c r="N166" t="b">
        <v>0</v>
      </c>
    </row>
    <row r="167" spans="1:14" x14ac:dyDescent="0.3">
      <c r="A167" t="s">
        <v>504</v>
      </c>
      <c r="B167">
        <v>73</v>
      </c>
      <c r="C167">
        <v>7</v>
      </c>
      <c r="D167">
        <v>4</v>
      </c>
      <c r="E167" t="s">
        <v>189</v>
      </c>
      <c r="F167">
        <v>90.596999999999994</v>
      </c>
      <c r="G167">
        <v>25.277000000000001</v>
      </c>
      <c r="H167">
        <v>18.773</v>
      </c>
      <c r="I167">
        <v>19.28</v>
      </c>
      <c r="J167">
        <v>27.266999999999999</v>
      </c>
      <c r="K167">
        <v>311.2</v>
      </c>
      <c r="L167">
        <v>369.31099999999998</v>
      </c>
      <c r="M167" t="b">
        <v>0</v>
      </c>
      <c r="N167" t="b">
        <v>0</v>
      </c>
    </row>
    <row r="168" spans="1:14" x14ac:dyDescent="0.3">
      <c r="A168" t="s">
        <v>504</v>
      </c>
      <c r="B168">
        <v>73</v>
      </c>
      <c r="C168">
        <v>7</v>
      </c>
      <c r="D168">
        <v>5</v>
      </c>
      <c r="E168" t="s">
        <v>190</v>
      </c>
      <c r="F168">
        <v>90.513999999999996</v>
      </c>
      <c r="G168">
        <v>25.170999999999999</v>
      </c>
      <c r="H168">
        <v>18.792000000000002</v>
      </c>
      <c r="I168">
        <v>19.219000000000001</v>
      </c>
      <c r="J168">
        <v>27.332000000000001</v>
      </c>
      <c r="K168">
        <v>313.89999999999998</v>
      </c>
      <c r="L168">
        <v>459.82499999999999</v>
      </c>
      <c r="M168" t="b">
        <v>0</v>
      </c>
      <c r="N168" t="b">
        <v>0</v>
      </c>
    </row>
    <row r="169" spans="1:14" x14ac:dyDescent="0.3">
      <c r="A169" t="s">
        <v>504</v>
      </c>
      <c r="B169">
        <v>73</v>
      </c>
      <c r="C169">
        <v>7</v>
      </c>
      <c r="D169">
        <v>6</v>
      </c>
      <c r="E169" t="s">
        <v>191</v>
      </c>
      <c r="F169">
        <v>90.313999999999993</v>
      </c>
      <c r="G169">
        <v>25.212</v>
      </c>
      <c r="H169">
        <v>18.596</v>
      </c>
      <c r="I169">
        <v>19.184999999999999</v>
      </c>
      <c r="J169">
        <v>27.321000000000002</v>
      </c>
      <c r="K169">
        <v>312.10000000000002</v>
      </c>
      <c r="L169">
        <v>550.13900000000001</v>
      </c>
      <c r="M169" t="b">
        <v>0</v>
      </c>
      <c r="N169" t="b">
        <v>0</v>
      </c>
    </row>
    <row r="170" spans="1:14" x14ac:dyDescent="0.3">
      <c r="A170" t="s">
        <v>504</v>
      </c>
      <c r="B170">
        <v>73</v>
      </c>
      <c r="C170">
        <v>7</v>
      </c>
      <c r="D170">
        <v>7</v>
      </c>
      <c r="E170" t="s">
        <v>192</v>
      </c>
      <c r="F170">
        <v>90.67</v>
      </c>
      <c r="G170">
        <v>25.24</v>
      </c>
      <c r="H170">
        <v>18.681000000000001</v>
      </c>
      <c r="I170">
        <v>19.346</v>
      </c>
      <c r="J170">
        <v>27.402999999999999</v>
      </c>
      <c r="K170">
        <v>305.89999999999998</v>
      </c>
      <c r="L170">
        <v>640.80899999999997</v>
      </c>
      <c r="M170" t="b">
        <v>0</v>
      </c>
      <c r="N170" t="b">
        <v>0</v>
      </c>
    </row>
    <row r="171" spans="1:14" x14ac:dyDescent="0.3">
      <c r="A171" t="s">
        <v>504</v>
      </c>
      <c r="B171">
        <v>73</v>
      </c>
      <c r="C171">
        <v>7</v>
      </c>
      <c r="D171">
        <v>8</v>
      </c>
      <c r="E171" t="s">
        <v>193</v>
      </c>
      <c r="F171">
        <v>90.638999999999996</v>
      </c>
      <c r="G171">
        <v>25.326000000000001</v>
      </c>
      <c r="H171">
        <v>18.654</v>
      </c>
      <c r="I171">
        <v>19.257000000000001</v>
      </c>
      <c r="J171">
        <v>27.402000000000001</v>
      </c>
      <c r="K171">
        <v>311.2</v>
      </c>
      <c r="L171">
        <v>731.44799999999998</v>
      </c>
      <c r="M171" t="b">
        <v>0</v>
      </c>
      <c r="N171" t="b">
        <v>0</v>
      </c>
    </row>
    <row r="172" spans="1:14" x14ac:dyDescent="0.3">
      <c r="A172" t="s">
        <v>504</v>
      </c>
      <c r="B172">
        <v>73</v>
      </c>
      <c r="C172">
        <v>7</v>
      </c>
      <c r="D172">
        <v>9</v>
      </c>
      <c r="E172" t="s">
        <v>48</v>
      </c>
      <c r="F172">
        <v>90.585999999999999</v>
      </c>
      <c r="G172">
        <v>25.245999999999999</v>
      </c>
      <c r="H172">
        <v>18.701000000000001</v>
      </c>
      <c r="I172">
        <v>19.341000000000001</v>
      </c>
      <c r="J172">
        <v>27.297999999999998</v>
      </c>
      <c r="K172">
        <v>316.7</v>
      </c>
      <c r="L172">
        <v>822.03399999999999</v>
      </c>
      <c r="M172" t="b">
        <v>0</v>
      </c>
      <c r="N172" t="b">
        <v>0</v>
      </c>
    </row>
    <row r="173" spans="1:14" x14ac:dyDescent="0.3">
      <c r="A173" t="s">
        <v>504</v>
      </c>
      <c r="B173">
        <v>73</v>
      </c>
      <c r="C173">
        <v>7</v>
      </c>
      <c r="D173">
        <v>10</v>
      </c>
      <c r="E173" t="s">
        <v>139</v>
      </c>
      <c r="F173">
        <v>90.284999999999997</v>
      </c>
      <c r="G173">
        <v>25.117999999999999</v>
      </c>
      <c r="H173">
        <v>18.542999999999999</v>
      </c>
      <c r="I173">
        <v>19.22</v>
      </c>
      <c r="J173">
        <v>27.404</v>
      </c>
      <c r="K173">
        <v>312.10000000000002</v>
      </c>
      <c r="L173">
        <v>912.31899999999996</v>
      </c>
      <c r="M173" t="b">
        <v>0</v>
      </c>
      <c r="N173" t="b">
        <v>0</v>
      </c>
    </row>
    <row r="174" spans="1:14" x14ac:dyDescent="0.3">
      <c r="A174" t="s">
        <v>504</v>
      </c>
      <c r="B174">
        <v>73</v>
      </c>
      <c r="C174">
        <v>7</v>
      </c>
      <c r="D174">
        <v>11</v>
      </c>
      <c r="E174" t="s">
        <v>194</v>
      </c>
      <c r="F174">
        <v>90.756</v>
      </c>
      <c r="G174">
        <v>25.145</v>
      </c>
      <c r="H174">
        <v>18.739000000000001</v>
      </c>
      <c r="I174">
        <v>19.355</v>
      </c>
      <c r="J174">
        <v>27.516999999999999</v>
      </c>
      <c r="K174">
        <v>313.89999999999998</v>
      </c>
      <c r="L174">
        <v>1003.075</v>
      </c>
      <c r="M174" t="b">
        <v>0</v>
      </c>
      <c r="N174" t="b">
        <v>0</v>
      </c>
    </row>
    <row r="175" spans="1:14" x14ac:dyDescent="0.3">
      <c r="A175" t="s">
        <v>504</v>
      </c>
      <c r="B175">
        <v>73</v>
      </c>
      <c r="C175">
        <v>7</v>
      </c>
      <c r="D175">
        <v>12</v>
      </c>
      <c r="E175" t="s">
        <v>195</v>
      </c>
      <c r="F175">
        <v>90.451999999999998</v>
      </c>
      <c r="G175">
        <v>25.103000000000002</v>
      </c>
      <c r="H175">
        <v>18.637</v>
      </c>
      <c r="I175">
        <v>19.321999999999999</v>
      </c>
      <c r="J175">
        <v>27.39</v>
      </c>
      <c r="K175">
        <v>314.8</v>
      </c>
      <c r="L175">
        <v>1093.527</v>
      </c>
      <c r="M175" t="b">
        <v>0</v>
      </c>
      <c r="N175" t="b">
        <v>0</v>
      </c>
    </row>
    <row r="176" spans="1:14" x14ac:dyDescent="0.3">
      <c r="A176" t="s">
        <v>504</v>
      </c>
      <c r="B176">
        <v>73</v>
      </c>
      <c r="C176">
        <v>7</v>
      </c>
      <c r="D176">
        <v>13</v>
      </c>
      <c r="E176" t="s">
        <v>196</v>
      </c>
      <c r="F176">
        <v>91.263000000000005</v>
      </c>
      <c r="G176">
        <v>25.222999999999999</v>
      </c>
      <c r="H176">
        <v>18.699000000000002</v>
      </c>
      <c r="I176">
        <v>19.515000000000001</v>
      </c>
      <c r="J176">
        <v>27.826000000000001</v>
      </c>
      <c r="K176">
        <v>314.8</v>
      </c>
      <c r="L176">
        <v>1184.79</v>
      </c>
      <c r="M176" t="b">
        <v>0</v>
      </c>
      <c r="N176" t="b">
        <v>0</v>
      </c>
    </row>
    <row r="177" spans="1:14" x14ac:dyDescent="0.3">
      <c r="A177" t="s">
        <v>504</v>
      </c>
      <c r="B177">
        <v>73</v>
      </c>
      <c r="C177">
        <v>7</v>
      </c>
      <c r="D177">
        <v>14</v>
      </c>
      <c r="E177" t="s">
        <v>197</v>
      </c>
      <c r="F177">
        <v>91.016999999999996</v>
      </c>
      <c r="G177">
        <v>25.459</v>
      </c>
      <c r="H177">
        <v>18.675000000000001</v>
      </c>
      <c r="I177">
        <v>19.41</v>
      </c>
      <c r="J177">
        <v>27.472999999999999</v>
      </c>
      <c r="K177">
        <v>310.3</v>
      </c>
      <c r="L177">
        <v>1275.807</v>
      </c>
      <c r="M177" t="b">
        <v>0</v>
      </c>
      <c r="N177" t="b">
        <v>0</v>
      </c>
    </row>
    <row r="178" spans="1:14" x14ac:dyDescent="0.3">
      <c r="A178" t="s">
        <v>504</v>
      </c>
      <c r="B178">
        <v>73</v>
      </c>
      <c r="C178">
        <v>7</v>
      </c>
      <c r="D178">
        <v>15</v>
      </c>
      <c r="E178" t="s">
        <v>198</v>
      </c>
      <c r="F178">
        <v>90.978999999999999</v>
      </c>
      <c r="G178">
        <v>25.417999999999999</v>
      </c>
      <c r="H178">
        <v>18.678000000000001</v>
      </c>
      <c r="I178">
        <v>19.359000000000002</v>
      </c>
      <c r="J178">
        <v>27.524000000000001</v>
      </c>
      <c r="K178">
        <v>300.8</v>
      </c>
      <c r="L178">
        <v>1366.7860000000001</v>
      </c>
      <c r="M178" t="b">
        <v>0</v>
      </c>
      <c r="N178" t="b">
        <v>0</v>
      </c>
    </row>
    <row r="179" spans="1:14" x14ac:dyDescent="0.3">
      <c r="A179" t="s">
        <v>504</v>
      </c>
      <c r="B179">
        <v>73</v>
      </c>
      <c r="C179">
        <v>7</v>
      </c>
      <c r="D179">
        <v>16</v>
      </c>
      <c r="E179" t="s">
        <v>199</v>
      </c>
      <c r="F179">
        <v>91.070999999999998</v>
      </c>
      <c r="G179">
        <v>25.257000000000001</v>
      </c>
      <c r="H179">
        <v>18.876999999999999</v>
      </c>
      <c r="I179">
        <v>19.376999999999999</v>
      </c>
      <c r="J179">
        <v>27.56</v>
      </c>
      <c r="K179">
        <v>314.8</v>
      </c>
      <c r="L179">
        <v>1457.857</v>
      </c>
      <c r="M179" t="b">
        <v>0</v>
      </c>
      <c r="N179" t="b">
        <v>0</v>
      </c>
    </row>
    <row r="180" spans="1:14" x14ac:dyDescent="0.3">
      <c r="A180" t="s">
        <v>504</v>
      </c>
      <c r="B180">
        <v>73</v>
      </c>
      <c r="C180">
        <v>7</v>
      </c>
      <c r="D180">
        <v>17</v>
      </c>
      <c r="E180" t="s">
        <v>200</v>
      </c>
      <c r="F180">
        <v>91.02</v>
      </c>
      <c r="G180">
        <v>25.18</v>
      </c>
      <c r="H180">
        <v>18.741</v>
      </c>
      <c r="I180">
        <v>19.45</v>
      </c>
      <c r="J180">
        <v>27.649000000000001</v>
      </c>
      <c r="K180">
        <v>315.7</v>
      </c>
      <c r="L180">
        <v>1548.877</v>
      </c>
      <c r="M180" t="b">
        <v>0</v>
      </c>
      <c r="N180" t="b">
        <v>0</v>
      </c>
    </row>
    <row r="181" spans="1:14" x14ac:dyDescent="0.3">
      <c r="A181" t="s">
        <v>504</v>
      </c>
      <c r="B181">
        <v>73</v>
      </c>
      <c r="C181">
        <v>7</v>
      </c>
      <c r="D181">
        <v>18</v>
      </c>
      <c r="E181" t="s">
        <v>201</v>
      </c>
      <c r="F181">
        <v>90.796999999999997</v>
      </c>
      <c r="G181">
        <v>25.228000000000002</v>
      </c>
      <c r="H181">
        <v>18.704999999999998</v>
      </c>
      <c r="I181">
        <v>19.393999999999998</v>
      </c>
      <c r="J181">
        <v>27.47</v>
      </c>
      <c r="K181">
        <v>315.7</v>
      </c>
      <c r="L181">
        <v>1639.674</v>
      </c>
      <c r="M181" t="b">
        <v>0</v>
      </c>
      <c r="N181" t="b">
        <v>0</v>
      </c>
    </row>
    <row r="182" spans="1:14" x14ac:dyDescent="0.3">
      <c r="A182" t="s">
        <v>504</v>
      </c>
      <c r="B182">
        <v>73</v>
      </c>
      <c r="C182">
        <v>7</v>
      </c>
      <c r="D182">
        <v>19</v>
      </c>
      <c r="E182" t="s">
        <v>202</v>
      </c>
      <c r="F182">
        <v>90.912999999999997</v>
      </c>
      <c r="G182">
        <v>25.318999999999999</v>
      </c>
      <c r="H182">
        <v>18.651</v>
      </c>
      <c r="I182">
        <v>19.439</v>
      </c>
      <c r="J182">
        <v>27.504000000000001</v>
      </c>
      <c r="K182">
        <v>310.3</v>
      </c>
      <c r="L182">
        <v>1730.587</v>
      </c>
      <c r="M182" t="b">
        <v>0</v>
      </c>
      <c r="N182" t="b">
        <v>0</v>
      </c>
    </row>
    <row r="183" spans="1:14" x14ac:dyDescent="0.3">
      <c r="A183" t="s">
        <v>504</v>
      </c>
      <c r="B183">
        <v>73</v>
      </c>
      <c r="C183">
        <v>7</v>
      </c>
      <c r="D183">
        <v>20</v>
      </c>
      <c r="E183" t="s">
        <v>203</v>
      </c>
      <c r="F183">
        <v>91.153999999999996</v>
      </c>
      <c r="G183">
        <v>25.39</v>
      </c>
      <c r="H183">
        <v>18.742999999999999</v>
      </c>
      <c r="I183">
        <v>19.433</v>
      </c>
      <c r="J183">
        <v>27.588000000000001</v>
      </c>
      <c r="K183">
        <v>307.60000000000002</v>
      </c>
      <c r="L183">
        <v>1821.741</v>
      </c>
      <c r="M183" t="b">
        <v>0</v>
      </c>
      <c r="N183" t="b">
        <v>0</v>
      </c>
    </row>
    <row r="184" spans="1:14" x14ac:dyDescent="0.3">
      <c r="A184" t="s">
        <v>504</v>
      </c>
      <c r="B184">
        <v>73</v>
      </c>
      <c r="C184">
        <v>7</v>
      </c>
      <c r="D184">
        <v>21</v>
      </c>
      <c r="E184" t="s">
        <v>204</v>
      </c>
      <c r="F184">
        <v>91.436000000000007</v>
      </c>
      <c r="G184">
        <v>25.353999999999999</v>
      </c>
      <c r="H184">
        <v>18.785</v>
      </c>
      <c r="I184">
        <v>19.611999999999998</v>
      </c>
      <c r="J184">
        <v>27.684999999999999</v>
      </c>
      <c r="K184">
        <v>310.3</v>
      </c>
      <c r="L184">
        <v>1913.1769999999999</v>
      </c>
      <c r="M184" t="b">
        <v>0</v>
      </c>
      <c r="N184" t="b">
        <v>0</v>
      </c>
    </row>
    <row r="185" spans="1:14" x14ac:dyDescent="0.3">
      <c r="A185" t="s">
        <v>504</v>
      </c>
      <c r="B185">
        <v>73</v>
      </c>
      <c r="C185">
        <v>7</v>
      </c>
      <c r="D185">
        <v>22</v>
      </c>
      <c r="E185" t="s">
        <v>205</v>
      </c>
      <c r="F185">
        <v>91.834999999999994</v>
      </c>
      <c r="G185">
        <v>25.45</v>
      </c>
      <c r="H185">
        <v>18.927</v>
      </c>
      <c r="I185">
        <v>19.722000000000001</v>
      </c>
      <c r="J185">
        <v>27.736000000000001</v>
      </c>
      <c r="K185">
        <v>312.10000000000002</v>
      </c>
      <c r="L185">
        <v>2005.0119999999999</v>
      </c>
      <c r="M185" t="b">
        <v>0</v>
      </c>
      <c r="N185" t="b">
        <v>0</v>
      </c>
    </row>
    <row r="186" spans="1:14" x14ac:dyDescent="0.3">
      <c r="A186" t="s">
        <v>504</v>
      </c>
      <c r="B186">
        <v>73</v>
      </c>
      <c r="C186">
        <v>7</v>
      </c>
      <c r="D186">
        <v>23</v>
      </c>
      <c r="E186" t="s">
        <v>206</v>
      </c>
      <c r="F186">
        <v>91.31</v>
      </c>
      <c r="G186">
        <v>25.312999999999999</v>
      </c>
      <c r="H186">
        <v>18.742999999999999</v>
      </c>
      <c r="I186">
        <v>19.443999999999999</v>
      </c>
      <c r="J186">
        <v>27.81</v>
      </c>
      <c r="K186">
        <v>314.8</v>
      </c>
      <c r="L186">
        <v>2096.3220000000001</v>
      </c>
      <c r="M186" t="b">
        <v>0</v>
      </c>
      <c r="N186" t="b">
        <v>0</v>
      </c>
    </row>
    <row r="187" spans="1:14" x14ac:dyDescent="0.3">
      <c r="A187" t="s">
        <v>504</v>
      </c>
      <c r="B187">
        <v>73</v>
      </c>
      <c r="C187">
        <v>7</v>
      </c>
      <c r="D187">
        <v>24</v>
      </c>
      <c r="E187" t="s">
        <v>207</v>
      </c>
      <c r="F187">
        <v>91.338999999999999</v>
      </c>
      <c r="G187">
        <v>25.379000000000001</v>
      </c>
      <c r="H187">
        <v>18.748999999999999</v>
      </c>
      <c r="I187">
        <v>19.463999999999999</v>
      </c>
      <c r="J187">
        <v>27.747</v>
      </c>
      <c r="K187">
        <v>313.89999999999998</v>
      </c>
      <c r="L187">
        <v>2187.6610000000001</v>
      </c>
      <c r="M187" t="b">
        <v>0</v>
      </c>
      <c r="N187" t="b">
        <v>0</v>
      </c>
    </row>
    <row r="188" spans="1:14" x14ac:dyDescent="0.3">
      <c r="A188" t="s">
        <v>504</v>
      </c>
      <c r="B188">
        <v>73</v>
      </c>
      <c r="C188">
        <v>7</v>
      </c>
      <c r="D188">
        <v>25</v>
      </c>
      <c r="E188" t="s">
        <v>208</v>
      </c>
      <c r="F188">
        <v>91.381</v>
      </c>
      <c r="G188">
        <v>25.344999999999999</v>
      </c>
      <c r="H188">
        <v>18.797000000000001</v>
      </c>
      <c r="I188">
        <v>19.526</v>
      </c>
      <c r="J188">
        <v>27.713000000000001</v>
      </c>
      <c r="K188">
        <v>314.8</v>
      </c>
      <c r="L188">
        <v>2279.0419999999999</v>
      </c>
      <c r="M188" t="b">
        <v>0</v>
      </c>
      <c r="N188" t="b">
        <v>0</v>
      </c>
    </row>
    <row r="189" spans="1:14" x14ac:dyDescent="0.3">
      <c r="A189" t="s">
        <v>504</v>
      </c>
      <c r="B189">
        <v>73</v>
      </c>
      <c r="C189">
        <v>7</v>
      </c>
      <c r="D189">
        <v>26</v>
      </c>
      <c r="E189" t="s">
        <v>209</v>
      </c>
      <c r="F189">
        <v>92.07</v>
      </c>
      <c r="G189">
        <v>25.564</v>
      </c>
      <c r="H189">
        <v>18.936</v>
      </c>
      <c r="I189">
        <v>19.641999999999999</v>
      </c>
      <c r="J189">
        <v>27.928000000000001</v>
      </c>
      <c r="K189">
        <v>313.89999999999998</v>
      </c>
      <c r="L189">
        <v>2371.1120000000001</v>
      </c>
      <c r="M189" t="b">
        <v>0</v>
      </c>
      <c r="N189" t="b">
        <v>0</v>
      </c>
    </row>
    <row r="190" spans="1:14" x14ac:dyDescent="0.3">
      <c r="A190" t="s">
        <v>504</v>
      </c>
      <c r="B190">
        <v>73</v>
      </c>
      <c r="C190">
        <v>7</v>
      </c>
      <c r="D190">
        <v>27</v>
      </c>
      <c r="E190" t="s">
        <v>210</v>
      </c>
      <c r="F190">
        <v>92.290999999999997</v>
      </c>
      <c r="G190">
        <v>25.556000000000001</v>
      </c>
      <c r="H190">
        <v>19.117999999999999</v>
      </c>
      <c r="I190">
        <v>19.63</v>
      </c>
      <c r="J190">
        <v>27.986999999999998</v>
      </c>
      <c r="K190">
        <v>315.7</v>
      </c>
      <c r="L190">
        <v>2463.4029999999998</v>
      </c>
      <c r="M190" t="b">
        <v>0</v>
      </c>
      <c r="N190" t="b">
        <v>0</v>
      </c>
    </row>
    <row r="191" spans="1:14" x14ac:dyDescent="0.3">
      <c r="A191" t="s">
        <v>505</v>
      </c>
      <c r="B191">
        <v>49</v>
      </c>
      <c r="C191">
        <v>8</v>
      </c>
      <c r="D191">
        <v>1</v>
      </c>
      <c r="E191" t="s">
        <v>213</v>
      </c>
      <c r="F191">
        <v>95.781999999999996</v>
      </c>
      <c r="G191">
        <v>29.335999999999999</v>
      </c>
      <c r="H191">
        <v>19.082999999999998</v>
      </c>
      <c r="I191">
        <v>19.556999999999999</v>
      </c>
      <c r="J191">
        <v>27.806000000000001</v>
      </c>
      <c r="K191">
        <v>251.7</v>
      </c>
      <c r="L191">
        <v>95.781999999999996</v>
      </c>
      <c r="M191" t="b">
        <v>0</v>
      </c>
      <c r="N191" t="b">
        <v>0</v>
      </c>
    </row>
    <row r="192" spans="1:14" x14ac:dyDescent="0.3">
      <c r="A192" t="s">
        <v>505</v>
      </c>
      <c r="B192">
        <v>49</v>
      </c>
      <c r="C192">
        <v>8</v>
      </c>
      <c r="D192">
        <v>2</v>
      </c>
      <c r="E192" t="s">
        <v>214</v>
      </c>
      <c r="F192">
        <v>91.491</v>
      </c>
      <c r="G192">
        <v>25.895</v>
      </c>
      <c r="H192">
        <v>18.774999999999999</v>
      </c>
      <c r="I192">
        <v>19.440000000000001</v>
      </c>
      <c r="J192">
        <v>27.381</v>
      </c>
      <c r="K192">
        <v>297.5</v>
      </c>
      <c r="L192">
        <v>187.273</v>
      </c>
      <c r="M192" t="b">
        <v>0</v>
      </c>
      <c r="N192" t="b">
        <v>0</v>
      </c>
    </row>
    <row r="193" spans="1:14" x14ac:dyDescent="0.3">
      <c r="A193" t="s">
        <v>505</v>
      </c>
      <c r="B193">
        <v>49</v>
      </c>
      <c r="C193">
        <v>8</v>
      </c>
      <c r="D193">
        <v>3</v>
      </c>
      <c r="E193" t="s">
        <v>215</v>
      </c>
      <c r="F193">
        <v>90.893000000000001</v>
      </c>
      <c r="G193">
        <v>25.3</v>
      </c>
      <c r="H193">
        <v>18.64</v>
      </c>
      <c r="I193">
        <v>19.448</v>
      </c>
      <c r="J193">
        <v>27.504999999999999</v>
      </c>
      <c r="K193">
        <v>307.60000000000002</v>
      </c>
      <c r="L193">
        <v>278.166</v>
      </c>
      <c r="M193" t="b">
        <v>0</v>
      </c>
      <c r="N193" t="b">
        <v>0</v>
      </c>
    </row>
    <row r="194" spans="1:14" x14ac:dyDescent="0.3">
      <c r="A194" t="s">
        <v>505</v>
      </c>
      <c r="B194">
        <v>49</v>
      </c>
      <c r="C194">
        <v>8</v>
      </c>
      <c r="D194">
        <v>4</v>
      </c>
      <c r="E194" t="s">
        <v>216</v>
      </c>
      <c r="F194">
        <v>90.631</v>
      </c>
      <c r="G194">
        <v>25.297999999999998</v>
      </c>
      <c r="H194">
        <v>18.692</v>
      </c>
      <c r="I194">
        <v>19.350999999999999</v>
      </c>
      <c r="J194">
        <v>27.29</v>
      </c>
      <c r="K194">
        <v>305.89999999999998</v>
      </c>
      <c r="L194">
        <v>368.79700000000003</v>
      </c>
      <c r="M194" t="b">
        <v>0</v>
      </c>
      <c r="N194" t="b">
        <v>0</v>
      </c>
    </row>
    <row r="195" spans="1:14" x14ac:dyDescent="0.3">
      <c r="A195" t="s">
        <v>505</v>
      </c>
      <c r="B195">
        <v>49</v>
      </c>
      <c r="C195">
        <v>8</v>
      </c>
      <c r="D195">
        <v>5</v>
      </c>
      <c r="E195" t="s">
        <v>217</v>
      </c>
      <c r="F195">
        <v>90.472999999999999</v>
      </c>
      <c r="G195">
        <v>25.248000000000001</v>
      </c>
      <c r="H195">
        <v>18.675999999999998</v>
      </c>
      <c r="I195">
        <v>19.312999999999999</v>
      </c>
      <c r="J195">
        <v>27.236000000000001</v>
      </c>
      <c r="K195">
        <v>310.3</v>
      </c>
      <c r="L195">
        <v>459.27</v>
      </c>
      <c r="M195" t="b">
        <v>0</v>
      </c>
      <c r="N195" t="b">
        <v>0</v>
      </c>
    </row>
    <row r="196" spans="1:14" x14ac:dyDescent="0.3">
      <c r="A196" t="s">
        <v>505</v>
      </c>
      <c r="B196">
        <v>49</v>
      </c>
      <c r="C196">
        <v>8</v>
      </c>
      <c r="D196">
        <v>6</v>
      </c>
      <c r="E196" t="s">
        <v>218</v>
      </c>
      <c r="F196">
        <v>90.403999999999996</v>
      </c>
      <c r="G196">
        <v>25.228000000000002</v>
      </c>
      <c r="H196">
        <v>18.61</v>
      </c>
      <c r="I196">
        <v>19.274000000000001</v>
      </c>
      <c r="J196">
        <v>27.292000000000002</v>
      </c>
      <c r="K196">
        <v>310.3</v>
      </c>
      <c r="L196">
        <v>549.67399999999998</v>
      </c>
      <c r="M196" t="b">
        <v>0</v>
      </c>
      <c r="N196" t="b">
        <v>0</v>
      </c>
    </row>
    <row r="197" spans="1:14" x14ac:dyDescent="0.3">
      <c r="A197" t="s">
        <v>505</v>
      </c>
      <c r="B197">
        <v>49</v>
      </c>
      <c r="C197">
        <v>8</v>
      </c>
      <c r="D197">
        <v>7</v>
      </c>
      <c r="E197" t="s">
        <v>167</v>
      </c>
      <c r="F197">
        <v>90.39</v>
      </c>
      <c r="G197">
        <v>25.161999999999999</v>
      </c>
      <c r="H197">
        <v>18.518000000000001</v>
      </c>
      <c r="I197">
        <v>19.337</v>
      </c>
      <c r="J197">
        <v>27.373000000000001</v>
      </c>
      <c r="K197">
        <v>313</v>
      </c>
      <c r="L197">
        <v>640.06399999999996</v>
      </c>
      <c r="M197" t="b">
        <v>0</v>
      </c>
      <c r="N197" t="b">
        <v>0</v>
      </c>
    </row>
    <row r="198" spans="1:14" x14ac:dyDescent="0.3">
      <c r="A198" t="s">
        <v>505</v>
      </c>
      <c r="B198">
        <v>49</v>
      </c>
      <c r="C198">
        <v>8</v>
      </c>
      <c r="D198">
        <v>8</v>
      </c>
      <c r="E198" t="s">
        <v>219</v>
      </c>
      <c r="F198">
        <v>90.664000000000001</v>
      </c>
      <c r="G198">
        <v>25.317</v>
      </c>
      <c r="H198">
        <v>18.646999999999998</v>
      </c>
      <c r="I198">
        <v>19.376999999999999</v>
      </c>
      <c r="J198">
        <v>27.323</v>
      </c>
      <c r="K198">
        <v>300.8</v>
      </c>
      <c r="L198">
        <v>730.72799999999995</v>
      </c>
      <c r="M198" t="b">
        <v>0</v>
      </c>
      <c r="N198" t="b">
        <v>0</v>
      </c>
    </row>
    <row r="199" spans="1:14" x14ac:dyDescent="0.3">
      <c r="A199" t="s">
        <v>505</v>
      </c>
      <c r="B199">
        <v>49</v>
      </c>
      <c r="C199">
        <v>8</v>
      </c>
      <c r="D199">
        <v>9</v>
      </c>
      <c r="E199" t="s">
        <v>220</v>
      </c>
      <c r="F199">
        <v>90.555000000000007</v>
      </c>
      <c r="G199">
        <v>25.242000000000001</v>
      </c>
      <c r="H199">
        <v>18.725000000000001</v>
      </c>
      <c r="I199">
        <v>19.318999999999999</v>
      </c>
      <c r="J199">
        <v>27.268999999999998</v>
      </c>
      <c r="K199">
        <v>309.39999999999998</v>
      </c>
      <c r="L199">
        <v>821.28300000000002</v>
      </c>
      <c r="M199" t="b">
        <v>0</v>
      </c>
      <c r="N199" t="b">
        <v>0</v>
      </c>
    </row>
    <row r="200" spans="1:14" x14ac:dyDescent="0.3">
      <c r="A200" t="s">
        <v>505</v>
      </c>
      <c r="B200">
        <v>49</v>
      </c>
      <c r="C200">
        <v>8</v>
      </c>
      <c r="D200">
        <v>10</v>
      </c>
      <c r="E200" t="s">
        <v>221</v>
      </c>
      <c r="F200">
        <v>90.460999999999999</v>
      </c>
      <c r="G200">
        <v>25.164999999999999</v>
      </c>
      <c r="H200">
        <v>18.699000000000002</v>
      </c>
      <c r="I200">
        <v>19.341999999999999</v>
      </c>
      <c r="J200">
        <v>27.254999999999999</v>
      </c>
      <c r="K200">
        <v>313</v>
      </c>
      <c r="L200">
        <v>911.74400000000003</v>
      </c>
      <c r="M200" t="b">
        <v>0</v>
      </c>
      <c r="N200" t="b">
        <v>0</v>
      </c>
    </row>
    <row r="201" spans="1:14" x14ac:dyDescent="0.3">
      <c r="A201" t="s">
        <v>505</v>
      </c>
      <c r="B201">
        <v>49</v>
      </c>
      <c r="C201">
        <v>8</v>
      </c>
      <c r="D201">
        <v>11</v>
      </c>
      <c r="E201" t="s">
        <v>135</v>
      </c>
      <c r="F201">
        <v>90.256</v>
      </c>
      <c r="G201">
        <v>25.105</v>
      </c>
      <c r="H201">
        <v>18.652999999999999</v>
      </c>
      <c r="I201">
        <v>19.257999999999999</v>
      </c>
      <c r="J201">
        <v>27.24</v>
      </c>
      <c r="K201">
        <v>312.10000000000002</v>
      </c>
      <c r="L201">
        <v>1002</v>
      </c>
      <c r="M201" t="b">
        <v>0</v>
      </c>
      <c r="N201" t="b">
        <v>0</v>
      </c>
    </row>
    <row r="202" spans="1:14" x14ac:dyDescent="0.3">
      <c r="A202" t="s">
        <v>505</v>
      </c>
      <c r="B202">
        <v>49</v>
      </c>
      <c r="C202">
        <v>8</v>
      </c>
      <c r="D202">
        <v>12</v>
      </c>
      <c r="E202" t="s">
        <v>222</v>
      </c>
      <c r="F202">
        <v>90.244</v>
      </c>
      <c r="G202">
        <v>25.145</v>
      </c>
      <c r="H202">
        <v>18.631</v>
      </c>
      <c r="I202">
        <v>19.263999999999999</v>
      </c>
      <c r="J202">
        <v>27.204000000000001</v>
      </c>
      <c r="K202">
        <v>310.3</v>
      </c>
      <c r="L202">
        <v>1092.2439999999999</v>
      </c>
      <c r="M202" t="b">
        <v>0</v>
      </c>
      <c r="N202" t="b">
        <v>0</v>
      </c>
    </row>
    <row r="203" spans="1:14" x14ac:dyDescent="0.3">
      <c r="A203" t="s">
        <v>505</v>
      </c>
      <c r="B203">
        <v>49</v>
      </c>
      <c r="C203">
        <v>8</v>
      </c>
      <c r="D203">
        <v>13</v>
      </c>
      <c r="E203" t="s">
        <v>223</v>
      </c>
      <c r="F203">
        <v>91.739000000000004</v>
      </c>
      <c r="G203">
        <v>25.18</v>
      </c>
      <c r="H203">
        <v>18.623000000000001</v>
      </c>
      <c r="I203">
        <v>20.411999999999999</v>
      </c>
      <c r="J203">
        <v>27.524000000000001</v>
      </c>
      <c r="K203">
        <v>305.89999999999998</v>
      </c>
      <c r="L203">
        <v>1183.9829999999999</v>
      </c>
      <c r="M203" t="b">
        <v>0</v>
      </c>
      <c r="N203" t="b">
        <v>0</v>
      </c>
    </row>
    <row r="204" spans="1:14" x14ac:dyDescent="0.3">
      <c r="A204" t="s">
        <v>505</v>
      </c>
      <c r="B204">
        <v>49</v>
      </c>
      <c r="C204">
        <v>8</v>
      </c>
      <c r="D204">
        <v>14</v>
      </c>
      <c r="E204" t="s">
        <v>224</v>
      </c>
      <c r="F204">
        <v>90.566000000000003</v>
      </c>
      <c r="G204">
        <v>25.282</v>
      </c>
      <c r="H204">
        <v>18.706</v>
      </c>
      <c r="I204">
        <v>19.300999999999998</v>
      </c>
      <c r="J204">
        <v>27.277000000000001</v>
      </c>
      <c r="K204">
        <v>311.2</v>
      </c>
      <c r="L204">
        <v>1274.549</v>
      </c>
      <c r="M204" t="b">
        <v>0</v>
      </c>
      <c r="N204" t="b">
        <v>0</v>
      </c>
    </row>
    <row r="205" spans="1:14" x14ac:dyDescent="0.3">
      <c r="A205" t="s">
        <v>505</v>
      </c>
      <c r="B205">
        <v>49</v>
      </c>
      <c r="C205">
        <v>8</v>
      </c>
      <c r="D205">
        <v>15</v>
      </c>
      <c r="E205" t="s">
        <v>225</v>
      </c>
      <c r="F205">
        <v>90.691000000000003</v>
      </c>
      <c r="G205">
        <v>25.213999999999999</v>
      </c>
      <c r="H205">
        <v>18.712</v>
      </c>
      <c r="I205">
        <v>19.367999999999999</v>
      </c>
      <c r="J205">
        <v>27.396999999999998</v>
      </c>
      <c r="K205">
        <v>311.2</v>
      </c>
      <c r="L205">
        <v>1365.24</v>
      </c>
      <c r="M205" t="b">
        <v>0</v>
      </c>
      <c r="N205" t="b">
        <v>0</v>
      </c>
    </row>
    <row r="206" spans="1:14" x14ac:dyDescent="0.3">
      <c r="A206" t="s">
        <v>505</v>
      </c>
      <c r="B206">
        <v>49</v>
      </c>
      <c r="C206">
        <v>8</v>
      </c>
      <c r="D206">
        <v>16</v>
      </c>
      <c r="E206" t="s">
        <v>226</v>
      </c>
      <c r="F206">
        <v>90.736000000000004</v>
      </c>
      <c r="G206">
        <v>25.263999999999999</v>
      </c>
      <c r="H206">
        <v>18.788</v>
      </c>
      <c r="I206">
        <v>19.396000000000001</v>
      </c>
      <c r="J206">
        <v>27.288</v>
      </c>
      <c r="K206">
        <v>308.5</v>
      </c>
      <c r="L206">
        <v>1455.9760000000001</v>
      </c>
      <c r="M206" t="b">
        <v>0</v>
      </c>
      <c r="N206" t="b">
        <v>0</v>
      </c>
    </row>
    <row r="207" spans="1:14" x14ac:dyDescent="0.3">
      <c r="A207" t="s">
        <v>505</v>
      </c>
      <c r="B207">
        <v>49</v>
      </c>
      <c r="C207">
        <v>8</v>
      </c>
      <c r="D207">
        <v>17</v>
      </c>
      <c r="E207" t="s">
        <v>227</v>
      </c>
      <c r="F207">
        <v>91.387</v>
      </c>
      <c r="G207">
        <v>25.3</v>
      </c>
      <c r="H207">
        <v>18.831</v>
      </c>
      <c r="I207">
        <v>19.547000000000001</v>
      </c>
      <c r="J207">
        <v>27.709</v>
      </c>
      <c r="K207">
        <v>305</v>
      </c>
      <c r="L207">
        <v>1547.3630000000001</v>
      </c>
      <c r="M207" t="b">
        <v>1</v>
      </c>
      <c r="N207" t="b">
        <v>0</v>
      </c>
    </row>
    <row r="208" spans="1:14" x14ac:dyDescent="0.3">
      <c r="A208" t="s">
        <v>505</v>
      </c>
      <c r="B208">
        <v>49</v>
      </c>
      <c r="C208">
        <v>8</v>
      </c>
      <c r="D208">
        <v>18</v>
      </c>
      <c r="E208" t="s">
        <v>228</v>
      </c>
      <c r="F208">
        <v>91.456000000000003</v>
      </c>
      <c r="G208">
        <v>25.673999999999999</v>
      </c>
      <c r="H208">
        <v>18.891999999999999</v>
      </c>
      <c r="I208">
        <v>19.454000000000001</v>
      </c>
      <c r="J208">
        <v>27.436</v>
      </c>
      <c r="K208">
        <v>305</v>
      </c>
      <c r="L208">
        <v>1638.819</v>
      </c>
      <c r="M208" t="b">
        <v>0</v>
      </c>
      <c r="N208" t="b">
        <v>0</v>
      </c>
    </row>
    <row r="209" spans="1:14" x14ac:dyDescent="0.3">
      <c r="A209" t="s">
        <v>505</v>
      </c>
      <c r="B209">
        <v>49</v>
      </c>
      <c r="C209">
        <v>8</v>
      </c>
      <c r="D209">
        <v>19</v>
      </c>
      <c r="E209" t="s">
        <v>206</v>
      </c>
      <c r="F209">
        <v>91.31</v>
      </c>
      <c r="G209">
        <v>25.332999999999998</v>
      </c>
      <c r="H209">
        <v>18.777999999999999</v>
      </c>
      <c r="I209">
        <v>19.567</v>
      </c>
      <c r="J209">
        <v>27.632000000000001</v>
      </c>
      <c r="K209">
        <v>298.3</v>
      </c>
      <c r="L209">
        <v>1730.1289999999999</v>
      </c>
      <c r="M209" t="b">
        <v>0</v>
      </c>
      <c r="N209" t="b">
        <v>0</v>
      </c>
    </row>
    <row r="210" spans="1:14" x14ac:dyDescent="0.3">
      <c r="A210" t="s">
        <v>505</v>
      </c>
      <c r="B210">
        <v>49</v>
      </c>
      <c r="C210">
        <v>8</v>
      </c>
      <c r="D210">
        <v>20</v>
      </c>
      <c r="E210" t="s">
        <v>229</v>
      </c>
      <c r="F210">
        <v>91.281999999999996</v>
      </c>
      <c r="G210">
        <v>25.343</v>
      </c>
      <c r="H210">
        <v>18.771999999999998</v>
      </c>
      <c r="I210">
        <v>19.606999999999999</v>
      </c>
      <c r="J210">
        <v>27.56</v>
      </c>
      <c r="K210">
        <v>310.3</v>
      </c>
      <c r="L210">
        <v>1821.4110000000001</v>
      </c>
      <c r="M210" t="b">
        <v>0</v>
      </c>
      <c r="N210" t="b">
        <v>0</v>
      </c>
    </row>
    <row r="211" spans="1:14" x14ac:dyDescent="0.3">
      <c r="A211" t="s">
        <v>505</v>
      </c>
      <c r="B211">
        <v>49</v>
      </c>
      <c r="C211">
        <v>8</v>
      </c>
      <c r="D211">
        <v>21</v>
      </c>
      <c r="E211" t="s">
        <v>230</v>
      </c>
      <c r="F211">
        <v>91.495999999999995</v>
      </c>
      <c r="G211">
        <v>25.483000000000001</v>
      </c>
      <c r="H211">
        <v>18.803000000000001</v>
      </c>
      <c r="I211">
        <v>19.652000000000001</v>
      </c>
      <c r="J211">
        <v>27.558</v>
      </c>
      <c r="K211">
        <v>310.3</v>
      </c>
      <c r="L211">
        <v>1912.9069999999999</v>
      </c>
      <c r="M211" t="b">
        <v>0</v>
      </c>
      <c r="N211" t="b">
        <v>0</v>
      </c>
    </row>
    <row r="212" spans="1:14" x14ac:dyDescent="0.3">
      <c r="A212" t="s">
        <v>505</v>
      </c>
      <c r="B212">
        <v>49</v>
      </c>
      <c r="C212">
        <v>8</v>
      </c>
      <c r="D212">
        <v>22</v>
      </c>
      <c r="E212" t="s">
        <v>231</v>
      </c>
      <c r="F212">
        <v>92.406999999999996</v>
      </c>
      <c r="G212">
        <v>25.507999999999999</v>
      </c>
      <c r="H212">
        <v>19.024999999999999</v>
      </c>
      <c r="I212">
        <v>20.033999999999999</v>
      </c>
      <c r="J212">
        <v>27.84</v>
      </c>
      <c r="K212">
        <v>311.2</v>
      </c>
      <c r="L212">
        <v>2005.3140000000001</v>
      </c>
      <c r="M212" t="b">
        <v>0</v>
      </c>
      <c r="N212" t="b">
        <v>0</v>
      </c>
    </row>
    <row r="213" spans="1:14" x14ac:dyDescent="0.3">
      <c r="A213" t="s">
        <v>505</v>
      </c>
      <c r="B213">
        <v>49</v>
      </c>
      <c r="C213">
        <v>8</v>
      </c>
      <c r="D213">
        <v>23</v>
      </c>
      <c r="E213" t="s">
        <v>232</v>
      </c>
      <c r="F213">
        <v>92.876000000000005</v>
      </c>
      <c r="G213">
        <v>25.722000000000001</v>
      </c>
      <c r="H213">
        <v>19.335999999999999</v>
      </c>
      <c r="I213">
        <v>19.887</v>
      </c>
      <c r="J213">
        <v>27.931000000000001</v>
      </c>
      <c r="K213">
        <v>305</v>
      </c>
      <c r="L213">
        <v>2098.19</v>
      </c>
      <c r="M213" t="b">
        <v>0</v>
      </c>
      <c r="N213" t="b">
        <v>0</v>
      </c>
    </row>
    <row r="214" spans="1:14" x14ac:dyDescent="0.3">
      <c r="A214" t="s">
        <v>505</v>
      </c>
      <c r="B214">
        <v>49</v>
      </c>
      <c r="C214">
        <v>8</v>
      </c>
      <c r="D214">
        <v>24</v>
      </c>
      <c r="E214" t="s">
        <v>233</v>
      </c>
      <c r="F214">
        <v>92.293000000000006</v>
      </c>
      <c r="G214">
        <v>25.591999999999999</v>
      </c>
      <c r="H214">
        <v>19.059999999999999</v>
      </c>
      <c r="I214">
        <v>19.914999999999999</v>
      </c>
      <c r="J214">
        <v>27.725999999999999</v>
      </c>
      <c r="K214">
        <v>310.3</v>
      </c>
      <c r="L214">
        <v>2190.4830000000002</v>
      </c>
      <c r="M214" t="b">
        <v>0</v>
      </c>
      <c r="N214" t="b">
        <v>0</v>
      </c>
    </row>
    <row r="215" spans="1:14" x14ac:dyDescent="0.3">
      <c r="A215" t="s">
        <v>505</v>
      </c>
      <c r="B215">
        <v>49</v>
      </c>
      <c r="C215">
        <v>8</v>
      </c>
      <c r="D215">
        <v>25</v>
      </c>
      <c r="E215" t="s">
        <v>234</v>
      </c>
      <c r="F215">
        <v>91.725999999999999</v>
      </c>
      <c r="G215">
        <v>25.518999999999998</v>
      </c>
      <c r="H215">
        <v>18.89</v>
      </c>
      <c r="I215">
        <v>19.669</v>
      </c>
      <c r="J215">
        <v>27.648</v>
      </c>
      <c r="K215">
        <v>310.3</v>
      </c>
      <c r="L215">
        <v>2282.2089999999998</v>
      </c>
      <c r="M215" t="b">
        <v>0</v>
      </c>
      <c r="N215" t="b">
        <v>0</v>
      </c>
    </row>
    <row r="216" spans="1:14" x14ac:dyDescent="0.3">
      <c r="A216" t="s">
        <v>505</v>
      </c>
      <c r="B216">
        <v>49</v>
      </c>
      <c r="C216">
        <v>8</v>
      </c>
      <c r="D216">
        <v>26</v>
      </c>
      <c r="E216" t="s">
        <v>235</v>
      </c>
      <c r="F216">
        <v>92.225999999999999</v>
      </c>
      <c r="G216">
        <v>25.559000000000001</v>
      </c>
      <c r="H216">
        <v>18.998000000000001</v>
      </c>
      <c r="I216">
        <v>19.795999999999999</v>
      </c>
      <c r="J216">
        <v>27.873000000000001</v>
      </c>
      <c r="K216">
        <v>308.5</v>
      </c>
      <c r="L216">
        <v>2374.4349999999999</v>
      </c>
      <c r="M216" t="b">
        <v>0</v>
      </c>
      <c r="N216" t="b">
        <v>0</v>
      </c>
    </row>
    <row r="217" spans="1:14" x14ac:dyDescent="0.3">
      <c r="A217" t="s">
        <v>505</v>
      </c>
      <c r="B217">
        <v>49</v>
      </c>
      <c r="C217">
        <v>8</v>
      </c>
      <c r="D217">
        <v>27</v>
      </c>
      <c r="E217" t="s">
        <v>236</v>
      </c>
      <c r="F217">
        <v>91.986999999999995</v>
      </c>
      <c r="G217">
        <v>25.702999999999999</v>
      </c>
      <c r="H217">
        <v>19.024000000000001</v>
      </c>
      <c r="I217">
        <v>19.623000000000001</v>
      </c>
      <c r="J217">
        <v>27.637</v>
      </c>
      <c r="K217">
        <v>308.5</v>
      </c>
      <c r="L217">
        <v>2466.422</v>
      </c>
      <c r="M217" t="b">
        <v>0</v>
      </c>
      <c r="N217" t="b">
        <v>0</v>
      </c>
    </row>
    <row r="218" spans="1:14" x14ac:dyDescent="0.3">
      <c r="A218" t="s">
        <v>506</v>
      </c>
      <c r="B218">
        <v>20</v>
      </c>
      <c r="C218">
        <v>9</v>
      </c>
      <c r="D218">
        <v>1</v>
      </c>
      <c r="E218" t="s">
        <v>240</v>
      </c>
      <c r="F218">
        <v>97.41</v>
      </c>
      <c r="G218">
        <v>30.489000000000001</v>
      </c>
      <c r="H218">
        <v>19.347000000000001</v>
      </c>
      <c r="I218">
        <v>19.797999999999998</v>
      </c>
      <c r="J218">
        <v>27.776</v>
      </c>
      <c r="K218">
        <v>265.3</v>
      </c>
      <c r="L218">
        <v>97.41</v>
      </c>
      <c r="M218" t="b">
        <v>0</v>
      </c>
      <c r="N218" t="b">
        <v>0</v>
      </c>
    </row>
    <row r="219" spans="1:14" x14ac:dyDescent="0.3">
      <c r="A219" t="s">
        <v>506</v>
      </c>
      <c r="B219">
        <v>20</v>
      </c>
      <c r="C219">
        <v>9</v>
      </c>
      <c r="D219">
        <v>2</v>
      </c>
      <c r="E219" t="s">
        <v>241</v>
      </c>
      <c r="F219">
        <v>92.006</v>
      </c>
      <c r="G219">
        <v>25.745000000000001</v>
      </c>
      <c r="H219">
        <v>19.073</v>
      </c>
      <c r="I219">
        <v>19.617000000000001</v>
      </c>
      <c r="J219">
        <v>27.571000000000002</v>
      </c>
      <c r="K219">
        <v>300.8</v>
      </c>
      <c r="L219">
        <v>189.416</v>
      </c>
      <c r="M219" t="b">
        <v>0</v>
      </c>
      <c r="N219" t="b">
        <v>0</v>
      </c>
    </row>
    <row r="220" spans="1:14" x14ac:dyDescent="0.3">
      <c r="A220" t="s">
        <v>506</v>
      </c>
      <c r="B220">
        <v>20</v>
      </c>
      <c r="C220">
        <v>9</v>
      </c>
      <c r="D220">
        <v>3</v>
      </c>
      <c r="E220" t="s">
        <v>242</v>
      </c>
      <c r="F220">
        <v>91.361999999999995</v>
      </c>
      <c r="G220">
        <v>25.456</v>
      </c>
      <c r="H220">
        <v>18.844000000000001</v>
      </c>
      <c r="I220">
        <v>19.475999999999999</v>
      </c>
      <c r="J220">
        <v>27.585999999999999</v>
      </c>
      <c r="K220">
        <v>305.89999999999998</v>
      </c>
      <c r="L220">
        <v>280.77800000000002</v>
      </c>
      <c r="M220" t="b">
        <v>0</v>
      </c>
      <c r="N220" t="b">
        <v>0</v>
      </c>
    </row>
    <row r="221" spans="1:14" x14ac:dyDescent="0.3">
      <c r="A221" t="s">
        <v>506</v>
      </c>
      <c r="B221">
        <v>20</v>
      </c>
      <c r="C221">
        <v>9</v>
      </c>
      <c r="D221">
        <v>4</v>
      </c>
      <c r="E221" t="s">
        <v>243</v>
      </c>
      <c r="F221">
        <v>91.3</v>
      </c>
      <c r="G221">
        <v>25.361000000000001</v>
      </c>
      <c r="H221">
        <v>18.856000000000002</v>
      </c>
      <c r="I221">
        <v>19.518000000000001</v>
      </c>
      <c r="J221">
        <v>27.565000000000001</v>
      </c>
      <c r="K221">
        <v>307.60000000000002</v>
      </c>
      <c r="L221">
        <v>372.07799999999997</v>
      </c>
      <c r="M221" t="b">
        <v>0</v>
      </c>
      <c r="N221" t="b">
        <v>0</v>
      </c>
    </row>
    <row r="222" spans="1:14" x14ac:dyDescent="0.3">
      <c r="A222" t="s">
        <v>506</v>
      </c>
      <c r="B222">
        <v>20</v>
      </c>
      <c r="C222">
        <v>9</v>
      </c>
      <c r="D222">
        <v>5</v>
      </c>
      <c r="E222" t="s">
        <v>244</v>
      </c>
      <c r="F222">
        <v>91.212999999999994</v>
      </c>
      <c r="G222">
        <v>25.385000000000002</v>
      </c>
      <c r="H222">
        <v>18.91</v>
      </c>
      <c r="I222">
        <v>19.463000000000001</v>
      </c>
      <c r="J222">
        <v>27.454999999999998</v>
      </c>
      <c r="K222">
        <v>306.8</v>
      </c>
      <c r="L222">
        <v>463.291</v>
      </c>
      <c r="M222" t="b">
        <v>0</v>
      </c>
      <c r="N222" t="b">
        <v>0</v>
      </c>
    </row>
    <row r="223" spans="1:14" x14ac:dyDescent="0.3">
      <c r="A223" t="s">
        <v>506</v>
      </c>
      <c r="B223">
        <v>20</v>
      </c>
      <c r="C223">
        <v>9</v>
      </c>
      <c r="D223">
        <v>6</v>
      </c>
      <c r="E223" t="s">
        <v>245</v>
      </c>
      <c r="F223">
        <v>91.144000000000005</v>
      </c>
      <c r="G223">
        <v>25.442</v>
      </c>
      <c r="H223">
        <v>18.949000000000002</v>
      </c>
      <c r="I223">
        <v>19.414000000000001</v>
      </c>
      <c r="J223">
        <v>27.338999999999999</v>
      </c>
      <c r="K223">
        <v>307.60000000000002</v>
      </c>
      <c r="L223">
        <v>554.43499999999995</v>
      </c>
      <c r="M223" t="b">
        <v>0</v>
      </c>
      <c r="N223" t="b">
        <v>0</v>
      </c>
    </row>
    <row r="224" spans="1:14" x14ac:dyDescent="0.3">
      <c r="A224" t="s">
        <v>506</v>
      </c>
      <c r="B224">
        <v>20</v>
      </c>
      <c r="C224">
        <v>9</v>
      </c>
      <c r="D224">
        <v>7</v>
      </c>
      <c r="E224" t="s">
        <v>246</v>
      </c>
      <c r="F224">
        <v>91.03</v>
      </c>
      <c r="G224">
        <v>25.308</v>
      </c>
      <c r="H224">
        <v>18.844999999999999</v>
      </c>
      <c r="I224">
        <v>19.364999999999998</v>
      </c>
      <c r="J224">
        <v>27.512</v>
      </c>
      <c r="K224">
        <v>309.39999999999998</v>
      </c>
      <c r="L224">
        <v>645.46500000000003</v>
      </c>
      <c r="M224" t="b">
        <v>1</v>
      </c>
      <c r="N224" t="b">
        <v>0</v>
      </c>
    </row>
    <row r="225" spans="1:14" x14ac:dyDescent="0.3">
      <c r="A225" t="s">
        <v>506</v>
      </c>
      <c r="B225">
        <v>20</v>
      </c>
      <c r="C225">
        <v>9</v>
      </c>
      <c r="D225">
        <v>8</v>
      </c>
      <c r="E225" t="s">
        <v>66</v>
      </c>
      <c r="F225">
        <v>91.001000000000005</v>
      </c>
      <c r="G225">
        <v>25.356999999999999</v>
      </c>
      <c r="H225">
        <v>18.963000000000001</v>
      </c>
      <c r="I225">
        <v>19.338999999999999</v>
      </c>
      <c r="J225">
        <v>27.341999999999999</v>
      </c>
      <c r="K225">
        <v>307.60000000000002</v>
      </c>
      <c r="L225">
        <v>736.46600000000001</v>
      </c>
      <c r="M225" t="b">
        <v>0</v>
      </c>
      <c r="N225" t="b">
        <v>0</v>
      </c>
    </row>
    <row r="226" spans="1:14" x14ac:dyDescent="0.3">
      <c r="A226" t="s">
        <v>506</v>
      </c>
      <c r="B226">
        <v>20</v>
      </c>
      <c r="C226">
        <v>9</v>
      </c>
      <c r="D226">
        <v>9</v>
      </c>
      <c r="E226" t="s">
        <v>247</v>
      </c>
      <c r="F226">
        <v>90.95</v>
      </c>
      <c r="G226">
        <v>25.292999999999999</v>
      </c>
      <c r="H226">
        <v>18.850000000000001</v>
      </c>
      <c r="I226">
        <v>19.396000000000001</v>
      </c>
      <c r="J226">
        <v>27.411000000000001</v>
      </c>
      <c r="K226">
        <v>307.60000000000002</v>
      </c>
      <c r="L226">
        <v>827.41600000000005</v>
      </c>
      <c r="M226" t="b">
        <v>0</v>
      </c>
      <c r="N226" t="b">
        <v>0</v>
      </c>
    </row>
    <row r="227" spans="1:14" x14ac:dyDescent="0.3">
      <c r="A227" t="s">
        <v>506</v>
      </c>
      <c r="B227">
        <v>20</v>
      </c>
      <c r="C227">
        <v>9</v>
      </c>
      <c r="D227">
        <v>10</v>
      </c>
      <c r="E227" t="s">
        <v>248</v>
      </c>
      <c r="F227">
        <v>90.802000000000007</v>
      </c>
      <c r="G227">
        <v>25.268000000000001</v>
      </c>
      <c r="H227">
        <v>18.850000000000001</v>
      </c>
      <c r="I227">
        <v>19.312000000000001</v>
      </c>
      <c r="J227">
        <v>27.372</v>
      </c>
      <c r="K227">
        <v>307.60000000000002</v>
      </c>
      <c r="L227">
        <v>918.21799999999996</v>
      </c>
      <c r="M227" t="b">
        <v>0</v>
      </c>
      <c r="N227" t="b">
        <v>0</v>
      </c>
    </row>
    <row r="228" spans="1:14" x14ac:dyDescent="0.3">
      <c r="A228" t="s">
        <v>506</v>
      </c>
      <c r="B228">
        <v>20</v>
      </c>
      <c r="C228">
        <v>9</v>
      </c>
      <c r="D228">
        <v>11</v>
      </c>
      <c r="E228" t="s">
        <v>249</v>
      </c>
      <c r="F228">
        <v>90.822000000000003</v>
      </c>
      <c r="G228">
        <v>25.244</v>
      </c>
      <c r="H228">
        <v>18.875</v>
      </c>
      <c r="I228">
        <v>19.393999999999998</v>
      </c>
      <c r="J228">
        <v>27.309000000000001</v>
      </c>
      <c r="K228">
        <v>310.3</v>
      </c>
      <c r="L228">
        <v>1009.04</v>
      </c>
      <c r="M228" t="b">
        <v>0</v>
      </c>
      <c r="N228" t="b">
        <v>0</v>
      </c>
    </row>
    <row r="229" spans="1:14" x14ac:dyDescent="0.3">
      <c r="A229" t="s">
        <v>506</v>
      </c>
      <c r="B229">
        <v>20</v>
      </c>
      <c r="C229">
        <v>9</v>
      </c>
      <c r="D229">
        <v>12</v>
      </c>
      <c r="E229" t="s">
        <v>250</v>
      </c>
      <c r="F229">
        <v>90.998999999999995</v>
      </c>
      <c r="G229">
        <v>25.352</v>
      </c>
      <c r="H229">
        <v>18.899999999999999</v>
      </c>
      <c r="I229">
        <v>19.390999999999998</v>
      </c>
      <c r="J229">
        <v>27.356000000000002</v>
      </c>
      <c r="K229">
        <v>308.5</v>
      </c>
      <c r="L229">
        <v>1100.039</v>
      </c>
      <c r="M229" t="b">
        <v>1</v>
      </c>
      <c r="N229" t="b">
        <v>0</v>
      </c>
    </row>
    <row r="230" spans="1:14" x14ac:dyDescent="0.3">
      <c r="A230" t="s">
        <v>506</v>
      </c>
      <c r="B230">
        <v>20</v>
      </c>
      <c r="C230">
        <v>9</v>
      </c>
      <c r="D230">
        <v>13</v>
      </c>
      <c r="E230" t="s">
        <v>251</v>
      </c>
      <c r="F230">
        <v>91.16</v>
      </c>
      <c r="G230">
        <v>25.417000000000002</v>
      </c>
      <c r="H230">
        <v>18.945</v>
      </c>
      <c r="I230">
        <v>19.417999999999999</v>
      </c>
      <c r="J230">
        <v>27.38</v>
      </c>
      <c r="K230">
        <v>308.5</v>
      </c>
      <c r="L230">
        <v>1191.1990000000001</v>
      </c>
      <c r="M230" t="b">
        <v>0</v>
      </c>
      <c r="N230" t="b">
        <v>0</v>
      </c>
    </row>
    <row r="231" spans="1:14" x14ac:dyDescent="0.3">
      <c r="A231" t="s">
        <v>506</v>
      </c>
      <c r="B231">
        <v>20</v>
      </c>
      <c r="C231">
        <v>9</v>
      </c>
      <c r="D231">
        <v>14</v>
      </c>
      <c r="E231" t="s">
        <v>252</v>
      </c>
      <c r="F231">
        <v>90.900999999999996</v>
      </c>
      <c r="G231">
        <v>25.297999999999998</v>
      </c>
      <c r="H231">
        <v>18.731000000000002</v>
      </c>
      <c r="I231">
        <v>19.521000000000001</v>
      </c>
      <c r="J231">
        <v>27.350999999999999</v>
      </c>
      <c r="K231">
        <v>310.3</v>
      </c>
      <c r="L231">
        <v>1282.0999999999999</v>
      </c>
      <c r="M231" t="b">
        <v>0</v>
      </c>
      <c r="N231" t="b">
        <v>0</v>
      </c>
    </row>
    <row r="232" spans="1:14" x14ac:dyDescent="0.3">
      <c r="A232" t="s">
        <v>506</v>
      </c>
      <c r="B232">
        <v>20</v>
      </c>
      <c r="C232">
        <v>9</v>
      </c>
      <c r="D232">
        <v>15</v>
      </c>
      <c r="E232" t="s">
        <v>201</v>
      </c>
      <c r="F232">
        <v>90.796999999999997</v>
      </c>
      <c r="G232">
        <v>25.288</v>
      </c>
      <c r="H232">
        <v>18.809999999999999</v>
      </c>
      <c r="I232">
        <v>19.36</v>
      </c>
      <c r="J232">
        <v>27.338999999999999</v>
      </c>
      <c r="K232">
        <v>307.60000000000002</v>
      </c>
      <c r="L232">
        <v>1372.8969999999999</v>
      </c>
      <c r="M232" t="b">
        <v>0</v>
      </c>
      <c r="N232" t="b">
        <v>0</v>
      </c>
    </row>
    <row r="233" spans="1:14" x14ac:dyDescent="0.3">
      <c r="A233" t="s">
        <v>506</v>
      </c>
      <c r="B233">
        <v>20</v>
      </c>
      <c r="C233">
        <v>9</v>
      </c>
      <c r="D233">
        <v>16</v>
      </c>
      <c r="E233" t="s">
        <v>253</v>
      </c>
      <c r="F233">
        <v>91.034999999999997</v>
      </c>
      <c r="G233">
        <v>25.347000000000001</v>
      </c>
      <c r="H233">
        <v>18.864999999999998</v>
      </c>
      <c r="I233">
        <v>19.361999999999998</v>
      </c>
      <c r="J233">
        <v>27.460999999999999</v>
      </c>
      <c r="K233">
        <v>308.5</v>
      </c>
      <c r="L233">
        <v>1463.932</v>
      </c>
      <c r="M233" t="b">
        <v>0</v>
      </c>
      <c r="N233" t="b">
        <v>0</v>
      </c>
    </row>
    <row r="234" spans="1:14" x14ac:dyDescent="0.3">
      <c r="A234" t="s">
        <v>506</v>
      </c>
      <c r="B234">
        <v>20</v>
      </c>
      <c r="C234">
        <v>9</v>
      </c>
      <c r="D234">
        <v>17</v>
      </c>
      <c r="E234" t="s">
        <v>254</v>
      </c>
      <c r="F234">
        <v>91.17</v>
      </c>
      <c r="G234">
        <v>25.315999999999999</v>
      </c>
      <c r="H234">
        <v>18.837</v>
      </c>
      <c r="I234">
        <v>19.448</v>
      </c>
      <c r="J234">
        <v>27.568999999999999</v>
      </c>
      <c r="K234">
        <v>309.39999999999998</v>
      </c>
      <c r="L234">
        <v>1555.1020000000001</v>
      </c>
      <c r="M234" t="b">
        <v>0</v>
      </c>
      <c r="N234" t="b">
        <v>0</v>
      </c>
    </row>
    <row r="235" spans="1:14" x14ac:dyDescent="0.3">
      <c r="A235" t="s">
        <v>506</v>
      </c>
      <c r="B235">
        <v>20</v>
      </c>
      <c r="C235">
        <v>9</v>
      </c>
      <c r="D235">
        <v>18</v>
      </c>
      <c r="E235" t="s">
        <v>255</v>
      </c>
      <c r="F235">
        <v>91.010999999999996</v>
      </c>
      <c r="G235">
        <v>25.376000000000001</v>
      </c>
      <c r="H235">
        <v>18.72</v>
      </c>
      <c r="I235">
        <v>19.488</v>
      </c>
      <c r="J235">
        <v>27.427</v>
      </c>
      <c r="K235">
        <v>308.5</v>
      </c>
      <c r="L235">
        <v>1646.1130000000001</v>
      </c>
      <c r="M235" t="b">
        <v>0</v>
      </c>
      <c r="N235" t="b">
        <v>0</v>
      </c>
    </row>
    <row r="236" spans="1:14" x14ac:dyDescent="0.3">
      <c r="A236" t="s">
        <v>506</v>
      </c>
      <c r="B236">
        <v>20</v>
      </c>
      <c r="C236">
        <v>9</v>
      </c>
      <c r="D236">
        <v>19</v>
      </c>
      <c r="E236" t="s">
        <v>256</v>
      </c>
      <c r="F236">
        <v>91.230999999999995</v>
      </c>
      <c r="G236">
        <v>25.32</v>
      </c>
      <c r="H236">
        <v>18.826000000000001</v>
      </c>
      <c r="I236">
        <v>19.431000000000001</v>
      </c>
      <c r="J236">
        <v>27.654</v>
      </c>
      <c r="K236">
        <v>308.5</v>
      </c>
      <c r="L236">
        <v>1737.3440000000001</v>
      </c>
      <c r="M236" t="b">
        <v>0</v>
      </c>
      <c r="N236" t="b">
        <v>0</v>
      </c>
    </row>
    <row r="237" spans="1:14" x14ac:dyDescent="0.3">
      <c r="A237" t="s">
        <v>506</v>
      </c>
      <c r="B237">
        <v>20</v>
      </c>
      <c r="C237">
        <v>9</v>
      </c>
      <c r="D237">
        <v>20</v>
      </c>
      <c r="E237" t="s">
        <v>257</v>
      </c>
      <c r="F237">
        <v>90.971999999999994</v>
      </c>
      <c r="G237">
        <v>25.242000000000001</v>
      </c>
      <c r="H237">
        <v>18.878</v>
      </c>
      <c r="I237">
        <v>19.405000000000001</v>
      </c>
      <c r="J237">
        <v>27.446999999999999</v>
      </c>
      <c r="K237">
        <v>307.60000000000002</v>
      </c>
      <c r="L237">
        <v>1828.316</v>
      </c>
      <c r="M237" t="b">
        <v>0</v>
      </c>
      <c r="N237" t="b">
        <v>0</v>
      </c>
    </row>
    <row r="238" spans="1:14" x14ac:dyDescent="0.3">
      <c r="A238" t="s">
        <v>506</v>
      </c>
      <c r="B238">
        <v>20</v>
      </c>
      <c r="C238">
        <v>9</v>
      </c>
      <c r="D238">
        <v>21</v>
      </c>
      <c r="E238" t="s">
        <v>258</v>
      </c>
      <c r="F238">
        <v>91.031000000000006</v>
      </c>
      <c r="G238">
        <v>25.323</v>
      </c>
      <c r="H238">
        <v>18.838000000000001</v>
      </c>
      <c r="I238">
        <v>19.398</v>
      </c>
      <c r="J238">
        <v>27.472000000000001</v>
      </c>
      <c r="K238">
        <v>308.5</v>
      </c>
      <c r="L238">
        <v>1919.347</v>
      </c>
      <c r="M238" t="b">
        <v>0</v>
      </c>
      <c r="N238" t="b">
        <v>0</v>
      </c>
    </row>
    <row r="239" spans="1:14" x14ac:dyDescent="0.3">
      <c r="A239" t="s">
        <v>506</v>
      </c>
      <c r="B239">
        <v>20</v>
      </c>
      <c r="C239">
        <v>9</v>
      </c>
      <c r="D239">
        <v>22</v>
      </c>
      <c r="E239" t="s">
        <v>259</v>
      </c>
      <c r="F239">
        <v>91.129000000000005</v>
      </c>
      <c r="G239">
        <v>25.29</v>
      </c>
      <c r="H239">
        <v>18.884</v>
      </c>
      <c r="I239">
        <v>19.492000000000001</v>
      </c>
      <c r="J239">
        <v>27.463000000000001</v>
      </c>
      <c r="K239">
        <v>308.5</v>
      </c>
      <c r="L239">
        <v>2010.4760000000001</v>
      </c>
      <c r="M239" t="b">
        <v>0</v>
      </c>
      <c r="N239" t="b">
        <v>0</v>
      </c>
    </row>
    <row r="240" spans="1:14" x14ac:dyDescent="0.3">
      <c r="A240" t="s">
        <v>506</v>
      </c>
      <c r="B240">
        <v>20</v>
      </c>
      <c r="C240">
        <v>9</v>
      </c>
      <c r="D240">
        <v>23</v>
      </c>
      <c r="E240" t="s">
        <v>260</v>
      </c>
      <c r="F240">
        <v>91.057000000000002</v>
      </c>
      <c r="G240">
        <v>25.195</v>
      </c>
      <c r="H240">
        <v>18.835999999999999</v>
      </c>
      <c r="I240">
        <v>19.484999999999999</v>
      </c>
      <c r="J240">
        <v>27.541</v>
      </c>
      <c r="K240">
        <v>308.5</v>
      </c>
      <c r="L240">
        <v>2101.5329999999999</v>
      </c>
      <c r="M240" t="b">
        <v>0</v>
      </c>
      <c r="N240" t="b">
        <v>0</v>
      </c>
    </row>
    <row r="241" spans="1:14" x14ac:dyDescent="0.3">
      <c r="A241" t="s">
        <v>506</v>
      </c>
      <c r="B241">
        <v>20</v>
      </c>
      <c r="C241">
        <v>9</v>
      </c>
      <c r="D241">
        <v>24</v>
      </c>
      <c r="E241" t="s">
        <v>261</v>
      </c>
      <c r="F241">
        <v>90.932000000000002</v>
      </c>
      <c r="G241">
        <v>25.283000000000001</v>
      </c>
      <c r="H241">
        <v>18.870999999999999</v>
      </c>
      <c r="I241">
        <v>19.393000000000001</v>
      </c>
      <c r="J241">
        <v>27.385000000000002</v>
      </c>
      <c r="K241">
        <v>308.5</v>
      </c>
      <c r="L241">
        <v>2192.4650000000001</v>
      </c>
      <c r="M241" t="b">
        <v>0</v>
      </c>
      <c r="N241" t="b">
        <v>0</v>
      </c>
    </row>
    <row r="242" spans="1:14" x14ac:dyDescent="0.3">
      <c r="A242" t="s">
        <v>506</v>
      </c>
      <c r="B242">
        <v>20</v>
      </c>
      <c r="C242">
        <v>9</v>
      </c>
      <c r="D242">
        <v>25</v>
      </c>
      <c r="E242" t="s">
        <v>262</v>
      </c>
      <c r="F242">
        <v>91.266999999999996</v>
      </c>
      <c r="G242">
        <v>25.234999999999999</v>
      </c>
      <c r="H242">
        <v>19.103999999999999</v>
      </c>
      <c r="I242">
        <v>19.48</v>
      </c>
      <c r="J242">
        <v>27.448</v>
      </c>
      <c r="K242">
        <v>310.3</v>
      </c>
      <c r="L242">
        <v>2283.732</v>
      </c>
      <c r="M242" t="b">
        <v>0</v>
      </c>
      <c r="N242" t="b">
        <v>0</v>
      </c>
    </row>
    <row r="243" spans="1:14" x14ac:dyDescent="0.3">
      <c r="A243" t="s">
        <v>506</v>
      </c>
      <c r="B243">
        <v>20</v>
      </c>
      <c r="C243">
        <v>9</v>
      </c>
      <c r="D243">
        <v>26</v>
      </c>
      <c r="E243" t="s">
        <v>263</v>
      </c>
      <c r="F243">
        <v>91.430999999999997</v>
      </c>
      <c r="G243">
        <v>25.36</v>
      </c>
      <c r="H243">
        <v>19.041</v>
      </c>
      <c r="I243">
        <v>19.491</v>
      </c>
      <c r="J243">
        <v>27.539000000000001</v>
      </c>
      <c r="K243">
        <v>309.39999999999998</v>
      </c>
      <c r="L243">
        <v>2375.163</v>
      </c>
      <c r="M243" t="b">
        <v>0</v>
      </c>
      <c r="N243" t="b">
        <v>0</v>
      </c>
    </row>
    <row r="244" spans="1:14" x14ac:dyDescent="0.3">
      <c r="A244" t="s">
        <v>506</v>
      </c>
      <c r="B244">
        <v>20</v>
      </c>
      <c r="C244">
        <v>9</v>
      </c>
      <c r="D244">
        <v>27</v>
      </c>
      <c r="E244" t="s">
        <v>264</v>
      </c>
      <c r="F244">
        <v>91.418000000000006</v>
      </c>
      <c r="G244">
        <v>25.306000000000001</v>
      </c>
      <c r="H244">
        <v>18.981999999999999</v>
      </c>
      <c r="I244">
        <v>19.568999999999999</v>
      </c>
      <c r="J244">
        <v>27.561</v>
      </c>
      <c r="K244">
        <v>311.2</v>
      </c>
      <c r="L244">
        <v>2466.5810000000001</v>
      </c>
      <c r="M244" t="b">
        <v>0</v>
      </c>
      <c r="N244" t="b">
        <v>0</v>
      </c>
    </row>
    <row r="245" spans="1:14" x14ac:dyDescent="0.3">
      <c r="A245" t="s">
        <v>507</v>
      </c>
      <c r="B245">
        <v>23</v>
      </c>
      <c r="C245">
        <v>10</v>
      </c>
      <c r="D245">
        <v>1</v>
      </c>
      <c r="E245" t="s">
        <v>267</v>
      </c>
      <c r="F245">
        <v>97.771000000000001</v>
      </c>
      <c r="G245">
        <v>30.713000000000001</v>
      </c>
      <c r="H245">
        <v>19.420000000000002</v>
      </c>
      <c r="I245">
        <v>19.748999999999999</v>
      </c>
      <c r="J245">
        <v>27.888999999999999</v>
      </c>
      <c r="K245">
        <v>269.3</v>
      </c>
      <c r="L245">
        <v>97.771000000000001</v>
      </c>
      <c r="M245" t="b">
        <v>0</v>
      </c>
      <c r="N245" t="b">
        <v>0</v>
      </c>
    </row>
    <row r="246" spans="1:14" x14ac:dyDescent="0.3">
      <c r="A246" t="s">
        <v>507</v>
      </c>
      <c r="B246">
        <v>23</v>
      </c>
      <c r="C246">
        <v>10</v>
      </c>
      <c r="D246">
        <v>2</v>
      </c>
      <c r="E246" t="s">
        <v>268</v>
      </c>
      <c r="F246">
        <v>92.141000000000005</v>
      </c>
      <c r="G246">
        <v>25.632999999999999</v>
      </c>
      <c r="H246">
        <v>19.082999999999998</v>
      </c>
      <c r="I246">
        <v>19.63</v>
      </c>
      <c r="J246">
        <v>27.795000000000002</v>
      </c>
      <c r="K246">
        <v>301.60000000000002</v>
      </c>
      <c r="L246">
        <v>189.91200000000001</v>
      </c>
      <c r="M246" t="b">
        <v>0</v>
      </c>
      <c r="N246" t="b">
        <v>0</v>
      </c>
    </row>
    <row r="247" spans="1:14" x14ac:dyDescent="0.3">
      <c r="A247" t="s">
        <v>507</v>
      </c>
      <c r="B247">
        <v>23</v>
      </c>
      <c r="C247">
        <v>10</v>
      </c>
      <c r="D247">
        <v>3</v>
      </c>
      <c r="E247" t="s">
        <v>269</v>
      </c>
      <c r="F247">
        <v>91.679000000000002</v>
      </c>
      <c r="G247">
        <v>25.495000000000001</v>
      </c>
      <c r="H247">
        <v>18.972999999999999</v>
      </c>
      <c r="I247">
        <v>19.54</v>
      </c>
      <c r="J247">
        <v>27.670999999999999</v>
      </c>
      <c r="K247">
        <v>300.8</v>
      </c>
      <c r="L247">
        <v>281.59100000000001</v>
      </c>
      <c r="M247" t="b">
        <v>0</v>
      </c>
      <c r="N247" t="b">
        <v>0</v>
      </c>
    </row>
    <row r="248" spans="1:14" x14ac:dyDescent="0.3">
      <c r="A248" t="s">
        <v>507</v>
      </c>
      <c r="B248">
        <v>23</v>
      </c>
      <c r="C248">
        <v>10</v>
      </c>
      <c r="D248">
        <v>4</v>
      </c>
      <c r="E248" t="s">
        <v>270</v>
      </c>
      <c r="F248">
        <v>91.131</v>
      </c>
      <c r="G248">
        <v>25.274999999999999</v>
      </c>
      <c r="H248">
        <v>18.891999999999999</v>
      </c>
      <c r="I248">
        <v>19.414000000000001</v>
      </c>
      <c r="J248">
        <v>27.55</v>
      </c>
      <c r="K248">
        <v>313</v>
      </c>
      <c r="L248">
        <v>372.72199999999998</v>
      </c>
      <c r="M248" t="b">
        <v>0</v>
      </c>
      <c r="N248" t="b">
        <v>0</v>
      </c>
    </row>
    <row r="249" spans="1:14" x14ac:dyDescent="0.3">
      <c r="A249" t="s">
        <v>507</v>
      </c>
      <c r="B249">
        <v>23</v>
      </c>
      <c r="C249">
        <v>10</v>
      </c>
      <c r="D249">
        <v>5</v>
      </c>
      <c r="E249" t="s">
        <v>271</v>
      </c>
      <c r="F249">
        <v>91.088999999999999</v>
      </c>
      <c r="G249">
        <v>25.378</v>
      </c>
      <c r="H249">
        <v>18.872</v>
      </c>
      <c r="I249">
        <v>19.414000000000001</v>
      </c>
      <c r="J249">
        <v>27.425000000000001</v>
      </c>
      <c r="K249">
        <v>312.10000000000002</v>
      </c>
      <c r="L249">
        <v>463.81099999999998</v>
      </c>
      <c r="M249" t="b">
        <v>0</v>
      </c>
      <c r="N249" t="b">
        <v>0</v>
      </c>
    </row>
    <row r="250" spans="1:14" x14ac:dyDescent="0.3">
      <c r="A250" t="s">
        <v>507</v>
      </c>
      <c r="B250">
        <v>23</v>
      </c>
      <c r="C250">
        <v>10</v>
      </c>
      <c r="D250">
        <v>6</v>
      </c>
      <c r="E250" t="s">
        <v>272</v>
      </c>
      <c r="F250">
        <v>91.265000000000001</v>
      </c>
      <c r="G250">
        <v>25.393999999999998</v>
      </c>
      <c r="H250">
        <v>18.863</v>
      </c>
      <c r="I250">
        <v>19.489000000000001</v>
      </c>
      <c r="J250">
        <v>27.518999999999998</v>
      </c>
      <c r="K250">
        <v>312.10000000000002</v>
      </c>
      <c r="L250">
        <v>555.07600000000002</v>
      </c>
      <c r="M250" t="b">
        <v>0</v>
      </c>
      <c r="N250" t="b">
        <v>0</v>
      </c>
    </row>
    <row r="251" spans="1:14" x14ac:dyDescent="0.3">
      <c r="A251" t="s">
        <v>507</v>
      </c>
      <c r="B251">
        <v>23</v>
      </c>
      <c r="C251">
        <v>10</v>
      </c>
      <c r="D251">
        <v>7</v>
      </c>
      <c r="E251" t="s">
        <v>273</v>
      </c>
      <c r="F251">
        <v>91.126999999999995</v>
      </c>
      <c r="G251">
        <v>25.28</v>
      </c>
      <c r="H251">
        <v>18.739999999999998</v>
      </c>
      <c r="I251">
        <v>19.395</v>
      </c>
      <c r="J251">
        <v>27.712</v>
      </c>
      <c r="K251">
        <v>306.8</v>
      </c>
      <c r="L251">
        <v>646.20299999999997</v>
      </c>
      <c r="M251" t="b">
        <v>0</v>
      </c>
      <c r="N251" t="b">
        <v>0</v>
      </c>
    </row>
    <row r="252" spans="1:14" x14ac:dyDescent="0.3">
      <c r="A252" t="s">
        <v>507</v>
      </c>
      <c r="B252">
        <v>23</v>
      </c>
      <c r="C252">
        <v>10</v>
      </c>
      <c r="D252">
        <v>8</v>
      </c>
      <c r="E252" t="s">
        <v>274</v>
      </c>
      <c r="F252">
        <v>90.957999999999998</v>
      </c>
      <c r="G252">
        <v>25.234000000000002</v>
      </c>
      <c r="H252">
        <v>18.847000000000001</v>
      </c>
      <c r="I252">
        <v>19.417000000000002</v>
      </c>
      <c r="J252">
        <v>27.46</v>
      </c>
      <c r="K252">
        <v>313</v>
      </c>
      <c r="L252">
        <v>737.16099999999994</v>
      </c>
      <c r="M252" t="b">
        <v>0</v>
      </c>
      <c r="N252" t="b">
        <v>0</v>
      </c>
    </row>
    <row r="253" spans="1:14" x14ac:dyDescent="0.3">
      <c r="A253" t="s">
        <v>507</v>
      </c>
      <c r="B253">
        <v>23</v>
      </c>
      <c r="C253">
        <v>10</v>
      </c>
      <c r="D253">
        <v>9</v>
      </c>
      <c r="E253" t="s">
        <v>275</v>
      </c>
      <c r="F253">
        <v>91.197999999999993</v>
      </c>
      <c r="G253">
        <v>25.251999999999999</v>
      </c>
      <c r="H253">
        <v>18.893999999999998</v>
      </c>
      <c r="I253">
        <v>19.504000000000001</v>
      </c>
      <c r="J253">
        <v>27.547999999999998</v>
      </c>
      <c r="K253">
        <v>308.5</v>
      </c>
      <c r="L253">
        <v>828.35900000000004</v>
      </c>
      <c r="M253" t="b">
        <v>0</v>
      </c>
      <c r="N253" t="b">
        <v>0</v>
      </c>
    </row>
    <row r="254" spans="1:14" x14ac:dyDescent="0.3">
      <c r="A254" t="s">
        <v>507</v>
      </c>
      <c r="B254">
        <v>23</v>
      </c>
      <c r="C254">
        <v>10</v>
      </c>
      <c r="D254">
        <v>10</v>
      </c>
      <c r="E254" t="s">
        <v>276</v>
      </c>
      <c r="F254">
        <v>91.153000000000006</v>
      </c>
      <c r="G254">
        <v>25.242000000000001</v>
      </c>
      <c r="H254">
        <v>18.940999999999999</v>
      </c>
      <c r="I254">
        <v>19.431999999999999</v>
      </c>
      <c r="J254">
        <v>27.538</v>
      </c>
      <c r="K254">
        <v>313</v>
      </c>
      <c r="L254">
        <v>919.51199999999994</v>
      </c>
      <c r="M254" t="b">
        <v>0</v>
      </c>
      <c r="N254" t="b">
        <v>0</v>
      </c>
    </row>
    <row r="255" spans="1:14" x14ac:dyDescent="0.3">
      <c r="A255" t="s">
        <v>507</v>
      </c>
      <c r="B255">
        <v>23</v>
      </c>
      <c r="C255">
        <v>10</v>
      </c>
      <c r="D255">
        <v>11</v>
      </c>
      <c r="E255" t="s">
        <v>277</v>
      </c>
      <c r="F255">
        <v>92.082999999999998</v>
      </c>
      <c r="G255">
        <v>25.129000000000001</v>
      </c>
      <c r="H255">
        <v>20.009</v>
      </c>
      <c r="I255">
        <v>19.431000000000001</v>
      </c>
      <c r="J255">
        <v>27.513999999999999</v>
      </c>
      <c r="K255">
        <v>314.8</v>
      </c>
      <c r="L255">
        <v>1011.595</v>
      </c>
      <c r="M255" t="b">
        <v>0</v>
      </c>
      <c r="N255" t="b">
        <v>0</v>
      </c>
    </row>
    <row r="256" spans="1:14" x14ac:dyDescent="0.3">
      <c r="A256" t="s">
        <v>507</v>
      </c>
      <c r="B256">
        <v>23</v>
      </c>
      <c r="C256">
        <v>10</v>
      </c>
      <c r="D256">
        <v>12</v>
      </c>
      <c r="E256" t="s">
        <v>278</v>
      </c>
      <c r="F256">
        <v>91.21</v>
      </c>
      <c r="G256">
        <v>25.43</v>
      </c>
      <c r="H256">
        <v>18.972999999999999</v>
      </c>
      <c r="I256">
        <v>19.379000000000001</v>
      </c>
      <c r="J256">
        <v>27.428000000000001</v>
      </c>
      <c r="K256">
        <v>309.39999999999998</v>
      </c>
      <c r="L256">
        <v>1102.8050000000001</v>
      </c>
      <c r="M256" t="b">
        <v>0</v>
      </c>
      <c r="N256" t="b">
        <v>0</v>
      </c>
    </row>
    <row r="257" spans="1:14" x14ac:dyDescent="0.3">
      <c r="A257" t="s">
        <v>507</v>
      </c>
      <c r="B257">
        <v>23</v>
      </c>
      <c r="C257">
        <v>10</v>
      </c>
      <c r="D257">
        <v>13</v>
      </c>
      <c r="E257" t="s">
        <v>279</v>
      </c>
      <c r="F257">
        <v>90.908000000000001</v>
      </c>
      <c r="G257">
        <v>25.215</v>
      </c>
      <c r="H257">
        <v>18.794</v>
      </c>
      <c r="I257">
        <v>19.483000000000001</v>
      </c>
      <c r="J257">
        <v>27.416</v>
      </c>
      <c r="K257">
        <v>316.7</v>
      </c>
      <c r="L257">
        <v>1193.713</v>
      </c>
      <c r="M257" t="b">
        <v>0</v>
      </c>
      <c r="N257" t="b">
        <v>0</v>
      </c>
    </row>
    <row r="258" spans="1:14" x14ac:dyDescent="0.3">
      <c r="A258" t="s">
        <v>507</v>
      </c>
      <c r="B258">
        <v>23</v>
      </c>
      <c r="C258">
        <v>10</v>
      </c>
      <c r="D258">
        <v>14</v>
      </c>
      <c r="E258" t="s">
        <v>280</v>
      </c>
      <c r="F258">
        <v>91.394999999999996</v>
      </c>
      <c r="G258">
        <v>25.628</v>
      </c>
      <c r="H258">
        <v>18.850000000000001</v>
      </c>
      <c r="I258">
        <v>19.434000000000001</v>
      </c>
      <c r="J258">
        <v>27.483000000000001</v>
      </c>
      <c r="K258">
        <v>300.8</v>
      </c>
      <c r="L258">
        <v>1285.1079999999999</v>
      </c>
      <c r="M258" t="b">
        <v>0</v>
      </c>
      <c r="N258" t="b">
        <v>0</v>
      </c>
    </row>
    <row r="259" spans="1:14" x14ac:dyDescent="0.3">
      <c r="A259" t="s">
        <v>507</v>
      </c>
      <c r="B259">
        <v>23</v>
      </c>
      <c r="C259">
        <v>10</v>
      </c>
      <c r="D259">
        <v>15</v>
      </c>
      <c r="E259" t="s">
        <v>281</v>
      </c>
      <c r="F259">
        <v>91.135000000000005</v>
      </c>
      <c r="G259">
        <v>25.216000000000001</v>
      </c>
      <c r="H259">
        <v>18.940000000000001</v>
      </c>
      <c r="I259">
        <v>19.530999999999999</v>
      </c>
      <c r="J259">
        <v>27.448</v>
      </c>
      <c r="K259">
        <v>313.89999999999998</v>
      </c>
      <c r="L259">
        <v>1376.2429999999999</v>
      </c>
      <c r="M259" t="b">
        <v>0</v>
      </c>
      <c r="N259" t="b">
        <v>0</v>
      </c>
    </row>
    <row r="260" spans="1:14" x14ac:dyDescent="0.3">
      <c r="A260" t="s">
        <v>507</v>
      </c>
      <c r="B260">
        <v>23</v>
      </c>
      <c r="C260">
        <v>10</v>
      </c>
      <c r="D260">
        <v>16</v>
      </c>
      <c r="E260" t="s">
        <v>282</v>
      </c>
      <c r="F260">
        <v>90.980999999999995</v>
      </c>
      <c r="G260">
        <v>25.257999999999999</v>
      </c>
      <c r="H260">
        <v>19.001000000000001</v>
      </c>
      <c r="I260">
        <v>19.355</v>
      </c>
      <c r="J260">
        <v>27.367000000000001</v>
      </c>
      <c r="K260">
        <v>313</v>
      </c>
      <c r="L260">
        <v>1467.2239999999999</v>
      </c>
      <c r="M260" t="b">
        <v>0</v>
      </c>
      <c r="N260" t="b">
        <v>0</v>
      </c>
    </row>
    <row r="261" spans="1:14" x14ac:dyDescent="0.3">
      <c r="A261" t="s">
        <v>507</v>
      </c>
      <c r="B261">
        <v>23</v>
      </c>
      <c r="C261">
        <v>10</v>
      </c>
      <c r="D261">
        <v>17</v>
      </c>
      <c r="E261" t="s">
        <v>283</v>
      </c>
      <c r="F261">
        <v>90.799000000000007</v>
      </c>
      <c r="G261">
        <v>25.164999999999999</v>
      </c>
      <c r="H261">
        <v>18.827000000000002</v>
      </c>
      <c r="I261">
        <v>19.352</v>
      </c>
      <c r="J261">
        <v>27.454999999999998</v>
      </c>
      <c r="K261">
        <v>313.89999999999998</v>
      </c>
      <c r="L261">
        <v>1558.0229999999999</v>
      </c>
      <c r="M261" t="b">
        <v>0</v>
      </c>
      <c r="N261" t="b">
        <v>0</v>
      </c>
    </row>
    <row r="262" spans="1:14" x14ac:dyDescent="0.3">
      <c r="A262" t="s">
        <v>507</v>
      </c>
      <c r="B262">
        <v>23</v>
      </c>
      <c r="C262">
        <v>10</v>
      </c>
      <c r="D262">
        <v>18</v>
      </c>
      <c r="E262" t="s">
        <v>284</v>
      </c>
      <c r="F262">
        <v>90.593000000000004</v>
      </c>
      <c r="G262">
        <v>25.143999999999998</v>
      </c>
      <c r="H262">
        <v>18.789000000000001</v>
      </c>
      <c r="I262">
        <v>19.341000000000001</v>
      </c>
      <c r="J262">
        <v>27.318999999999999</v>
      </c>
      <c r="K262">
        <v>314.8</v>
      </c>
      <c r="L262">
        <v>1648.616</v>
      </c>
      <c r="M262" t="b">
        <v>0</v>
      </c>
      <c r="N262" t="b">
        <v>0</v>
      </c>
    </row>
    <row r="263" spans="1:14" x14ac:dyDescent="0.3">
      <c r="A263" t="s">
        <v>507</v>
      </c>
      <c r="B263">
        <v>23</v>
      </c>
      <c r="C263">
        <v>10</v>
      </c>
      <c r="D263">
        <v>19</v>
      </c>
      <c r="E263" t="s">
        <v>285</v>
      </c>
      <c r="F263">
        <v>90.76</v>
      </c>
      <c r="G263">
        <v>25.14</v>
      </c>
      <c r="H263">
        <v>18.768999999999998</v>
      </c>
      <c r="I263">
        <v>19.361000000000001</v>
      </c>
      <c r="J263">
        <v>27.49</v>
      </c>
      <c r="K263">
        <v>316.7</v>
      </c>
      <c r="L263">
        <v>1739.376</v>
      </c>
      <c r="M263" t="b">
        <v>0</v>
      </c>
      <c r="N263" t="b">
        <v>0</v>
      </c>
    </row>
    <row r="264" spans="1:14" x14ac:dyDescent="0.3">
      <c r="A264" t="s">
        <v>507</v>
      </c>
      <c r="B264">
        <v>23</v>
      </c>
      <c r="C264">
        <v>10</v>
      </c>
      <c r="D264">
        <v>20</v>
      </c>
      <c r="E264" t="s">
        <v>286</v>
      </c>
      <c r="F264">
        <v>90.834999999999994</v>
      </c>
      <c r="G264">
        <v>25.193000000000001</v>
      </c>
      <c r="H264">
        <v>18.898</v>
      </c>
      <c r="I264">
        <v>19.399000000000001</v>
      </c>
      <c r="J264">
        <v>27.344999999999999</v>
      </c>
      <c r="K264">
        <v>318.5</v>
      </c>
      <c r="L264">
        <v>1830.211</v>
      </c>
      <c r="M264" t="b">
        <v>0</v>
      </c>
      <c r="N264" t="b">
        <v>0</v>
      </c>
    </row>
    <row r="265" spans="1:14" x14ac:dyDescent="0.3">
      <c r="A265" t="s">
        <v>507</v>
      </c>
      <c r="B265">
        <v>23</v>
      </c>
      <c r="C265">
        <v>10</v>
      </c>
      <c r="D265">
        <v>21</v>
      </c>
      <c r="E265" t="s">
        <v>226</v>
      </c>
      <c r="F265">
        <v>90.736000000000004</v>
      </c>
      <c r="G265">
        <v>25.135999999999999</v>
      </c>
      <c r="H265">
        <v>18.738</v>
      </c>
      <c r="I265">
        <v>19.350000000000001</v>
      </c>
      <c r="J265">
        <v>27.512</v>
      </c>
      <c r="K265">
        <v>313</v>
      </c>
      <c r="L265">
        <v>1920.9469999999999</v>
      </c>
      <c r="M265" t="b">
        <v>0</v>
      </c>
      <c r="N265" t="b">
        <v>0</v>
      </c>
    </row>
    <row r="266" spans="1:14" x14ac:dyDescent="0.3">
      <c r="A266" t="s">
        <v>507</v>
      </c>
      <c r="B266">
        <v>23</v>
      </c>
      <c r="C266">
        <v>10</v>
      </c>
      <c r="D266">
        <v>22</v>
      </c>
      <c r="E266" t="s">
        <v>287</v>
      </c>
      <c r="F266">
        <v>90.951999999999998</v>
      </c>
      <c r="G266">
        <v>25.178999999999998</v>
      </c>
      <c r="H266">
        <v>18.937000000000001</v>
      </c>
      <c r="I266">
        <v>19.317</v>
      </c>
      <c r="J266">
        <v>27.518999999999998</v>
      </c>
      <c r="K266">
        <v>310.3</v>
      </c>
      <c r="L266">
        <v>2011.8989999999999</v>
      </c>
      <c r="M266" t="b">
        <v>0</v>
      </c>
      <c r="N266" t="b">
        <v>0</v>
      </c>
    </row>
    <row r="267" spans="1:14" x14ac:dyDescent="0.3">
      <c r="A267" t="s">
        <v>507</v>
      </c>
      <c r="B267">
        <v>23</v>
      </c>
      <c r="C267">
        <v>10</v>
      </c>
      <c r="D267">
        <v>23</v>
      </c>
      <c r="E267" t="s">
        <v>288</v>
      </c>
      <c r="F267">
        <v>90.936999999999998</v>
      </c>
      <c r="G267">
        <v>25.29</v>
      </c>
      <c r="H267">
        <v>18.853999999999999</v>
      </c>
      <c r="I267">
        <v>19.361000000000001</v>
      </c>
      <c r="J267">
        <v>27.431999999999999</v>
      </c>
      <c r="K267">
        <v>316.7</v>
      </c>
      <c r="L267">
        <v>2102.8359999999998</v>
      </c>
      <c r="M267" t="b">
        <v>0</v>
      </c>
      <c r="N267" t="b">
        <v>0</v>
      </c>
    </row>
    <row r="268" spans="1:14" x14ac:dyDescent="0.3">
      <c r="A268" t="s">
        <v>507</v>
      </c>
      <c r="B268">
        <v>23</v>
      </c>
      <c r="C268">
        <v>10</v>
      </c>
      <c r="D268">
        <v>24</v>
      </c>
      <c r="E268" t="s">
        <v>289</v>
      </c>
      <c r="F268">
        <v>90.682000000000002</v>
      </c>
      <c r="G268">
        <v>25.158999999999999</v>
      </c>
      <c r="H268">
        <v>18.742999999999999</v>
      </c>
      <c r="I268">
        <v>19.323</v>
      </c>
      <c r="J268">
        <v>27.457000000000001</v>
      </c>
      <c r="K268">
        <v>313.89999999999998</v>
      </c>
      <c r="L268">
        <v>2193.518</v>
      </c>
      <c r="M268" t="b">
        <v>0</v>
      </c>
      <c r="N268" t="b">
        <v>0</v>
      </c>
    </row>
    <row r="269" spans="1:14" x14ac:dyDescent="0.3">
      <c r="A269" t="s">
        <v>507</v>
      </c>
      <c r="B269">
        <v>23</v>
      </c>
      <c r="C269">
        <v>10</v>
      </c>
      <c r="D269">
        <v>25</v>
      </c>
      <c r="E269" t="s">
        <v>290</v>
      </c>
      <c r="F269">
        <v>91.733000000000004</v>
      </c>
      <c r="G269">
        <v>25.396000000000001</v>
      </c>
      <c r="H269">
        <v>19.076000000000001</v>
      </c>
      <c r="I269">
        <v>19.443999999999999</v>
      </c>
      <c r="J269">
        <v>27.817</v>
      </c>
      <c r="K269">
        <v>311.2</v>
      </c>
      <c r="L269">
        <v>2285.2510000000002</v>
      </c>
      <c r="M269" t="b">
        <v>0</v>
      </c>
      <c r="N269" t="b">
        <v>0</v>
      </c>
    </row>
    <row r="270" spans="1:14" x14ac:dyDescent="0.3">
      <c r="A270" t="s">
        <v>507</v>
      </c>
      <c r="B270">
        <v>23</v>
      </c>
      <c r="C270">
        <v>10</v>
      </c>
      <c r="D270">
        <v>26</v>
      </c>
      <c r="E270" t="s">
        <v>291</v>
      </c>
      <c r="F270">
        <v>91.290999999999997</v>
      </c>
      <c r="G270">
        <v>25.539000000000001</v>
      </c>
      <c r="H270">
        <v>18.890999999999998</v>
      </c>
      <c r="I270">
        <v>19.414000000000001</v>
      </c>
      <c r="J270">
        <v>27.446999999999999</v>
      </c>
      <c r="K270">
        <v>316.7</v>
      </c>
      <c r="L270">
        <v>2376.5419999999999</v>
      </c>
      <c r="M270" t="b">
        <v>0</v>
      </c>
      <c r="N270" t="b">
        <v>0</v>
      </c>
    </row>
    <row r="271" spans="1:14" x14ac:dyDescent="0.3">
      <c r="A271" t="s">
        <v>507</v>
      </c>
      <c r="B271">
        <v>23</v>
      </c>
      <c r="C271">
        <v>10</v>
      </c>
      <c r="D271">
        <v>27</v>
      </c>
      <c r="E271" t="s">
        <v>292</v>
      </c>
      <c r="F271">
        <v>91.150999999999996</v>
      </c>
      <c r="G271">
        <v>25.202999999999999</v>
      </c>
      <c r="H271">
        <v>18.913</v>
      </c>
      <c r="I271">
        <v>19.486999999999998</v>
      </c>
      <c r="J271">
        <v>27.547999999999998</v>
      </c>
      <c r="K271">
        <v>314.8</v>
      </c>
      <c r="L271">
        <v>2467.6930000000002</v>
      </c>
      <c r="M271" t="b">
        <v>0</v>
      </c>
      <c r="N271" t="b">
        <v>0</v>
      </c>
    </row>
    <row r="272" spans="1:14" x14ac:dyDescent="0.3">
      <c r="A272" t="s">
        <v>508</v>
      </c>
      <c r="B272">
        <v>33</v>
      </c>
      <c r="C272">
        <v>11</v>
      </c>
      <c r="D272">
        <v>1</v>
      </c>
      <c r="E272" t="s">
        <v>294</v>
      </c>
      <c r="F272">
        <v>97.605000000000004</v>
      </c>
      <c r="G272">
        <v>30.588999999999999</v>
      </c>
      <c r="H272">
        <v>19.419</v>
      </c>
      <c r="I272">
        <v>19.747</v>
      </c>
      <c r="J272">
        <v>27.85</v>
      </c>
      <c r="K272">
        <v>270.60000000000002</v>
      </c>
      <c r="L272">
        <v>97.605000000000004</v>
      </c>
      <c r="M272" t="b">
        <v>0</v>
      </c>
      <c r="N272" t="b">
        <v>0</v>
      </c>
    </row>
    <row r="273" spans="1:14" x14ac:dyDescent="0.3">
      <c r="A273" t="s">
        <v>508</v>
      </c>
      <c r="B273">
        <v>33</v>
      </c>
      <c r="C273">
        <v>11</v>
      </c>
      <c r="D273">
        <v>2</v>
      </c>
      <c r="E273" t="s">
        <v>295</v>
      </c>
      <c r="F273">
        <v>91.995999999999995</v>
      </c>
      <c r="G273">
        <v>25.640999999999998</v>
      </c>
      <c r="H273">
        <v>19.113</v>
      </c>
      <c r="I273">
        <v>19.651</v>
      </c>
      <c r="J273">
        <v>27.591000000000001</v>
      </c>
      <c r="K273">
        <v>300</v>
      </c>
      <c r="L273">
        <v>189.601</v>
      </c>
      <c r="M273" t="b">
        <v>0</v>
      </c>
      <c r="N273" t="b">
        <v>0</v>
      </c>
    </row>
    <row r="274" spans="1:14" x14ac:dyDescent="0.3">
      <c r="A274" t="s">
        <v>508</v>
      </c>
      <c r="B274">
        <v>33</v>
      </c>
      <c r="C274">
        <v>11</v>
      </c>
      <c r="D274">
        <v>3</v>
      </c>
      <c r="E274" t="s">
        <v>296</v>
      </c>
      <c r="F274">
        <v>91.349000000000004</v>
      </c>
      <c r="G274">
        <v>25.443999999999999</v>
      </c>
      <c r="H274">
        <v>18.879000000000001</v>
      </c>
      <c r="I274">
        <v>19.460999999999999</v>
      </c>
      <c r="J274">
        <v>27.565000000000001</v>
      </c>
      <c r="K274">
        <v>300</v>
      </c>
      <c r="L274">
        <v>280.95</v>
      </c>
      <c r="M274" t="b">
        <v>0</v>
      </c>
      <c r="N274" t="b">
        <v>0</v>
      </c>
    </row>
    <row r="275" spans="1:14" x14ac:dyDescent="0.3">
      <c r="A275" t="s">
        <v>508</v>
      </c>
      <c r="B275">
        <v>33</v>
      </c>
      <c r="C275">
        <v>11</v>
      </c>
      <c r="D275">
        <v>4</v>
      </c>
      <c r="E275" t="s">
        <v>297</v>
      </c>
      <c r="F275">
        <v>91.286000000000001</v>
      </c>
      <c r="G275">
        <v>25.401</v>
      </c>
      <c r="H275">
        <v>18.827000000000002</v>
      </c>
      <c r="I275">
        <v>19.449000000000002</v>
      </c>
      <c r="J275">
        <v>27.609000000000002</v>
      </c>
      <c r="K275">
        <v>304.2</v>
      </c>
      <c r="L275">
        <v>372.23599999999999</v>
      </c>
      <c r="M275" t="b">
        <v>0</v>
      </c>
      <c r="N275" t="b">
        <v>0</v>
      </c>
    </row>
    <row r="276" spans="1:14" x14ac:dyDescent="0.3">
      <c r="A276" t="s">
        <v>508</v>
      </c>
      <c r="B276">
        <v>33</v>
      </c>
      <c r="C276">
        <v>11</v>
      </c>
      <c r="D276">
        <v>5</v>
      </c>
      <c r="E276" t="s">
        <v>298</v>
      </c>
      <c r="F276">
        <v>91.206999999999994</v>
      </c>
      <c r="G276">
        <v>25.38</v>
      </c>
      <c r="H276">
        <v>18.870999999999999</v>
      </c>
      <c r="I276">
        <v>19.442</v>
      </c>
      <c r="J276">
        <v>27.513999999999999</v>
      </c>
      <c r="K276">
        <v>304.2</v>
      </c>
      <c r="L276">
        <v>463.44299999999998</v>
      </c>
      <c r="M276" t="b">
        <v>0</v>
      </c>
      <c r="N276" t="b">
        <v>0</v>
      </c>
    </row>
    <row r="277" spans="1:14" x14ac:dyDescent="0.3">
      <c r="A277" t="s">
        <v>508</v>
      </c>
      <c r="B277">
        <v>33</v>
      </c>
      <c r="C277">
        <v>11</v>
      </c>
      <c r="D277">
        <v>6</v>
      </c>
      <c r="E277" t="s">
        <v>299</v>
      </c>
      <c r="F277">
        <v>91.444000000000003</v>
      </c>
      <c r="G277">
        <v>25.469000000000001</v>
      </c>
      <c r="H277">
        <v>18.797000000000001</v>
      </c>
      <c r="I277">
        <v>19.702000000000002</v>
      </c>
      <c r="J277">
        <v>27.475999999999999</v>
      </c>
      <c r="K277">
        <v>313</v>
      </c>
      <c r="L277">
        <v>554.88699999999994</v>
      </c>
      <c r="M277" t="b">
        <v>0</v>
      </c>
      <c r="N277" t="b">
        <v>0</v>
      </c>
    </row>
    <row r="278" spans="1:14" x14ac:dyDescent="0.3">
      <c r="A278" t="s">
        <v>508</v>
      </c>
      <c r="B278">
        <v>33</v>
      </c>
      <c r="C278">
        <v>11</v>
      </c>
      <c r="D278">
        <v>7</v>
      </c>
      <c r="E278" t="s">
        <v>300</v>
      </c>
      <c r="F278">
        <v>90.954999999999998</v>
      </c>
      <c r="G278">
        <v>25.276</v>
      </c>
      <c r="H278">
        <v>18.757000000000001</v>
      </c>
      <c r="I278">
        <v>19.372</v>
      </c>
      <c r="J278">
        <v>27.55</v>
      </c>
      <c r="K278">
        <v>311.2</v>
      </c>
      <c r="L278">
        <v>645.84199999999998</v>
      </c>
      <c r="M278" t="b">
        <v>0</v>
      </c>
      <c r="N278" t="b">
        <v>0</v>
      </c>
    </row>
    <row r="279" spans="1:14" x14ac:dyDescent="0.3">
      <c r="A279" t="s">
        <v>508</v>
      </c>
      <c r="B279">
        <v>33</v>
      </c>
      <c r="C279">
        <v>11</v>
      </c>
      <c r="D279">
        <v>8</v>
      </c>
      <c r="E279" t="s">
        <v>301</v>
      </c>
      <c r="F279">
        <v>91.05</v>
      </c>
      <c r="G279">
        <v>25.327000000000002</v>
      </c>
      <c r="H279">
        <v>18.747</v>
      </c>
      <c r="I279">
        <v>19.472999999999999</v>
      </c>
      <c r="J279">
        <v>27.503</v>
      </c>
      <c r="K279">
        <v>312.10000000000002</v>
      </c>
      <c r="L279">
        <v>736.89200000000005</v>
      </c>
      <c r="M279" t="b">
        <v>0</v>
      </c>
      <c r="N279" t="b">
        <v>0</v>
      </c>
    </row>
    <row r="280" spans="1:14" x14ac:dyDescent="0.3">
      <c r="A280" t="s">
        <v>508</v>
      </c>
      <c r="B280">
        <v>33</v>
      </c>
      <c r="C280">
        <v>11</v>
      </c>
      <c r="D280">
        <v>9</v>
      </c>
      <c r="E280" t="s">
        <v>302</v>
      </c>
      <c r="F280">
        <v>90.915999999999997</v>
      </c>
      <c r="G280">
        <v>25.286000000000001</v>
      </c>
      <c r="H280">
        <v>18.846</v>
      </c>
      <c r="I280">
        <v>19.280999999999999</v>
      </c>
      <c r="J280">
        <v>27.503</v>
      </c>
      <c r="K280">
        <v>312.10000000000002</v>
      </c>
      <c r="L280">
        <v>827.80799999999999</v>
      </c>
      <c r="M280" t="b">
        <v>0</v>
      </c>
      <c r="N280" t="b">
        <v>0</v>
      </c>
    </row>
    <row r="281" spans="1:14" x14ac:dyDescent="0.3">
      <c r="A281" t="s">
        <v>508</v>
      </c>
      <c r="B281">
        <v>33</v>
      </c>
      <c r="C281">
        <v>11</v>
      </c>
      <c r="D281">
        <v>10</v>
      </c>
      <c r="E281" t="s">
        <v>303</v>
      </c>
      <c r="F281">
        <v>90.835999999999999</v>
      </c>
      <c r="G281">
        <v>25.274999999999999</v>
      </c>
      <c r="H281">
        <v>18.773</v>
      </c>
      <c r="I281">
        <v>19.353000000000002</v>
      </c>
      <c r="J281">
        <v>27.434999999999999</v>
      </c>
      <c r="K281">
        <v>313</v>
      </c>
      <c r="L281">
        <v>918.64400000000001</v>
      </c>
      <c r="M281" t="b">
        <v>0</v>
      </c>
      <c r="N281" t="b">
        <v>0</v>
      </c>
    </row>
    <row r="282" spans="1:14" x14ac:dyDescent="0.3">
      <c r="A282" t="s">
        <v>508</v>
      </c>
      <c r="B282">
        <v>33</v>
      </c>
      <c r="C282">
        <v>11</v>
      </c>
      <c r="D282">
        <v>11</v>
      </c>
      <c r="E282" t="s">
        <v>132</v>
      </c>
      <c r="F282">
        <v>90.768000000000001</v>
      </c>
      <c r="G282">
        <v>25.225000000000001</v>
      </c>
      <c r="H282">
        <v>18.870999999999999</v>
      </c>
      <c r="I282">
        <v>19.324999999999999</v>
      </c>
      <c r="J282">
        <v>27.347000000000001</v>
      </c>
      <c r="K282">
        <v>314.8</v>
      </c>
      <c r="L282">
        <v>1009.412</v>
      </c>
      <c r="M282" t="b">
        <v>0</v>
      </c>
      <c r="N282" t="b">
        <v>0</v>
      </c>
    </row>
    <row r="283" spans="1:14" x14ac:dyDescent="0.3">
      <c r="A283" t="s">
        <v>508</v>
      </c>
      <c r="B283">
        <v>33</v>
      </c>
      <c r="C283">
        <v>11</v>
      </c>
      <c r="D283">
        <v>12</v>
      </c>
      <c r="E283" t="s">
        <v>304</v>
      </c>
      <c r="F283">
        <v>91.058000000000007</v>
      </c>
      <c r="G283">
        <v>25.263999999999999</v>
      </c>
      <c r="H283">
        <v>18.986999999999998</v>
      </c>
      <c r="I283">
        <v>19.385999999999999</v>
      </c>
      <c r="J283">
        <v>27.420999999999999</v>
      </c>
      <c r="K283">
        <v>314.8</v>
      </c>
      <c r="L283">
        <v>1100.47</v>
      </c>
      <c r="M283" t="b">
        <v>0</v>
      </c>
      <c r="N283" t="b">
        <v>0</v>
      </c>
    </row>
    <row r="284" spans="1:14" x14ac:dyDescent="0.3">
      <c r="A284" t="s">
        <v>508</v>
      </c>
      <c r="B284">
        <v>33</v>
      </c>
      <c r="C284">
        <v>11</v>
      </c>
      <c r="D284">
        <v>13</v>
      </c>
      <c r="E284" t="s">
        <v>305</v>
      </c>
      <c r="F284">
        <v>91.126000000000005</v>
      </c>
      <c r="G284">
        <v>25.306000000000001</v>
      </c>
      <c r="H284">
        <v>18.920999999999999</v>
      </c>
      <c r="I284">
        <v>19.366</v>
      </c>
      <c r="J284">
        <v>27.533000000000001</v>
      </c>
      <c r="K284">
        <v>312.10000000000002</v>
      </c>
      <c r="L284">
        <v>1191.596</v>
      </c>
      <c r="M284" t="b">
        <v>0</v>
      </c>
      <c r="N284" t="b">
        <v>0</v>
      </c>
    </row>
    <row r="285" spans="1:14" x14ac:dyDescent="0.3">
      <c r="A285" t="s">
        <v>508</v>
      </c>
      <c r="B285">
        <v>33</v>
      </c>
      <c r="C285">
        <v>11</v>
      </c>
      <c r="D285">
        <v>14</v>
      </c>
      <c r="E285" t="s">
        <v>306</v>
      </c>
      <c r="F285">
        <v>91.141000000000005</v>
      </c>
      <c r="G285">
        <v>25.366</v>
      </c>
      <c r="H285">
        <v>18.972999999999999</v>
      </c>
      <c r="I285">
        <v>19.373000000000001</v>
      </c>
      <c r="J285">
        <v>27.428999999999998</v>
      </c>
      <c r="K285">
        <v>310.3</v>
      </c>
      <c r="L285">
        <v>1282.7370000000001</v>
      </c>
      <c r="M285" t="b">
        <v>0</v>
      </c>
      <c r="N285" t="b">
        <v>0</v>
      </c>
    </row>
    <row r="286" spans="1:14" x14ac:dyDescent="0.3">
      <c r="A286" t="s">
        <v>508</v>
      </c>
      <c r="B286">
        <v>33</v>
      </c>
      <c r="C286">
        <v>11</v>
      </c>
      <c r="D286">
        <v>15</v>
      </c>
      <c r="E286" t="s">
        <v>307</v>
      </c>
      <c r="F286">
        <v>90.813999999999993</v>
      </c>
      <c r="G286">
        <v>25.268999999999998</v>
      </c>
      <c r="H286">
        <v>18.773</v>
      </c>
      <c r="I286">
        <v>19.387</v>
      </c>
      <c r="J286">
        <v>27.385000000000002</v>
      </c>
      <c r="K286">
        <v>314.8</v>
      </c>
      <c r="L286">
        <v>1373.5509999999999</v>
      </c>
      <c r="M286" t="b">
        <v>0</v>
      </c>
      <c r="N286" t="b">
        <v>0</v>
      </c>
    </row>
    <row r="287" spans="1:14" x14ac:dyDescent="0.3">
      <c r="A287" t="s">
        <v>508</v>
      </c>
      <c r="B287">
        <v>33</v>
      </c>
      <c r="C287">
        <v>11</v>
      </c>
      <c r="D287">
        <v>16</v>
      </c>
      <c r="E287" t="s">
        <v>308</v>
      </c>
      <c r="F287">
        <v>90.986999999999995</v>
      </c>
      <c r="G287">
        <v>25.253</v>
      </c>
      <c r="H287">
        <v>18.869</v>
      </c>
      <c r="I287">
        <v>19.408000000000001</v>
      </c>
      <c r="J287">
        <v>27.457000000000001</v>
      </c>
      <c r="K287">
        <v>314.8</v>
      </c>
      <c r="L287">
        <v>1464.538</v>
      </c>
      <c r="M287" t="b">
        <v>0</v>
      </c>
      <c r="N287" t="b">
        <v>0</v>
      </c>
    </row>
    <row r="288" spans="1:14" x14ac:dyDescent="0.3">
      <c r="A288" t="s">
        <v>508</v>
      </c>
      <c r="B288">
        <v>33</v>
      </c>
      <c r="C288">
        <v>11</v>
      </c>
      <c r="D288">
        <v>17</v>
      </c>
      <c r="E288" t="s">
        <v>309</v>
      </c>
      <c r="F288">
        <v>91.200999999999993</v>
      </c>
      <c r="G288">
        <v>25.268999999999998</v>
      </c>
      <c r="H288">
        <v>18.936</v>
      </c>
      <c r="I288">
        <v>19.344999999999999</v>
      </c>
      <c r="J288">
        <v>27.651</v>
      </c>
      <c r="K288">
        <v>315.7</v>
      </c>
      <c r="L288">
        <v>1555.739</v>
      </c>
      <c r="M288" t="b">
        <v>0</v>
      </c>
      <c r="N288" t="b">
        <v>0</v>
      </c>
    </row>
    <row r="289" spans="1:14" x14ac:dyDescent="0.3">
      <c r="A289" t="s">
        <v>508</v>
      </c>
      <c r="B289">
        <v>33</v>
      </c>
      <c r="C289">
        <v>11</v>
      </c>
      <c r="D289">
        <v>18</v>
      </c>
      <c r="E289" t="s">
        <v>310</v>
      </c>
      <c r="F289">
        <v>91.236999999999995</v>
      </c>
      <c r="G289">
        <v>25.324000000000002</v>
      </c>
      <c r="H289">
        <v>18.786999999999999</v>
      </c>
      <c r="I289">
        <v>19.571000000000002</v>
      </c>
      <c r="J289">
        <v>27.555</v>
      </c>
      <c r="K289">
        <v>315.7</v>
      </c>
      <c r="L289">
        <v>1646.9760000000001</v>
      </c>
      <c r="M289" t="b">
        <v>0</v>
      </c>
      <c r="N289" t="b">
        <v>0</v>
      </c>
    </row>
    <row r="290" spans="1:14" x14ac:dyDescent="0.3">
      <c r="A290" t="s">
        <v>508</v>
      </c>
      <c r="B290">
        <v>33</v>
      </c>
      <c r="C290">
        <v>11</v>
      </c>
      <c r="D290">
        <v>19</v>
      </c>
      <c r="E290" t="s">
        <v>311</v>
      </c>
      <c r="F290">
        <v>91.722999999999999</v>
      </c>
      <c r="G290">
        <v>25.363</v>
      </c>
      <c r="H290">
        <v>18.914000000000001</v>
      </c>
      <c r="I290">
        <v>19.411000000000001</v>
      </c>
      <c r="J290">
        <v>28.035</v>
      </c>
      <c r="K290">
        <v>315.7</v>
      </c>
      <c r="L290">
        <v>1738.6990000000001</v>
      </c>
      <c r="M290" t="b">
        <v>0</v>
      </c>
      <c r="N290" t="b">
        <v>0</v>
      </c>
    </row>
    <row r="291" spans="1:14" x14ac:dyDescent="0.3">
      <c r="A291" t="s">
        <v>508</v>
      </c>
      <c r="B291">
        <v>33</v>
      </c>
      <c r="C291">
        <v>11</v>
      </c>
      <c r="D291">
        <v>20</v>
      </c>
      <c r="E291" t="s">
        <v>312</v>
      </c>
      <c r="F291">
        <v>91.116</v>
      </c>
      <c r="G291">
        <v>25.315999999999999</v>
      </c>
      <c r="H291">
        <v>18.843</v>
      </c>
      <c r="I291">
        <v>19.405000000000001</v>
      </c>
      <c r="J291">
        <v>27.552</v>
      </c>
      <c r="K291">
        <v>314.8</v>
      </c>
      <c r="L291">
        <v>1829.8150000000001</v>
      </c>
      <c r="M291" t="b">
        <v>0</v>
      </c>
      <c r="N291" t="b">
        <v>0</v>
      </c>
    </row>
    <row r="292" spans="1:14" x14ac:dyDescent="0.3">
      <c r="A292" t="s">
        <v>508</v>
      </c>
      <c r="B292">
        <v>33</v>
      </c>
      <c r="C292">
        <v>11</v>
      </c>
      <c r="D292">
        <v>21</v>
      </c>
      <c r="E292" t="s">
        <v>313</v>
      </c>
      <c r="F292">
        <v>90.991</v>
      </c>
      <c r="G292">
        <v>25.259</v>
      </c>
      <c r="H292">
        <v>18.817</v>
      </c>
      <c r="I292">
        <v>19.422999999999998</v>
      </c>
      <c r="J292">
        <v>27.492000000000001</v>
      </c>
      <c r="K292">
        <v>314.8</v>
      </c>
      <c r="L292">
        <v>1920.806</v>
      </c>
      <c r="M292" t="b">
        <v>0</v>
      </c>
      <c r="N292" t="b">
        <v>0</v>
      </c>
    </row>
    <row r="293" spans="1:14" x14ac:dyDescent="0.3">
      <c r="A293" t="s">
        <v>508</v>
      </c>
      <c r="B293">
        <v>33</v>
      </c>
      <c r="C293">
        <v>11</v>
      </c>
      <c r="D293">
        <v>22</v>
      </c>
      <c r="E293" t="s">
        <v>314</v>
      </c>
      <c r="F293">
        <v>91.004000000000005</v>
      </c>
      <c r="G293">
        <v>25.213000000000001</v>
      </c>
      <c r="H293">
        <v>18.849</v>
      </c>
      <c r="I293">
        <v>19.417000000000002</v>
      </c>
      <c r="J293">
        <v>27.524999999999999</v>
      </c>
      <c r="K293">
        <v>315.7</v>
      </c>
      <c r="L293">
        <v>2011.81</v>
      </c>
      <c r="M293" t="b">
        <v>0</v>
      </c>
      <c r="N293" t="b">
        <v>0</v>
      </c>
    </row>
    <row r="294" spans="1:14" x14ac:dyDescent="0.3">
      <c r="A294" t="s">
        <v>508</v>
      </c>
      <c r="B294">
        <v>33</v>
      </c>
      <c r="C294">
        <v>11</v>
      </c>
      <c r="D294">
        <v>23</v>
      </c>
      <c r="E294" t="s">
        <v>315</v>
      </c>
      <c r="F294">
        <v>91.4</v>
      </c>
      <c r="G294">
        <v>25.613</v>
      </c>
      <c r="H294">
        <v>18.870999999999999</v>
      </c>
      <c r="I294">
        <v>19.385000000000002</v>
      </c>
      <c r="J294">
        <v>27.530999999999999</v>
      </c>
      <c r="K294">
        <v>314.8</v>
      </c>
      <c r="L294">
        <v>2103.21</v>
      </c>
      <c r="M294" t="b">
        <v>0</v>
      </c>
      <c r="N294" t="b">
        <v>0</v>
      </c>
    </row>
    <row r="295" spans="1:14" x14ac:dyDescent="0.3">
      <c r="A295" t="s">
        <v>508</v>
      </c>
      <c r="B295">
        <v>33</v>
      </c>
      <c r="C295">
        <v>11</v>
      </c>
      <c r="D295">
        <v>24</v>
      </c>
      <c r="E295" t="s">
        <v>316</v>
      </c>
      <c r="F295">
        <v>91.003</v>
      </c>
      <c r="G295">
        <v>25.26</v>
      </c>
      <c r="H295">
        <v>18.832000000000001</v>
      </c>
      <c r="I295">
        <v>19.408999999999999</v>
      </c>
      <c r="J295">
        <v>27.501999999999999</v>
      </c>
      <c r="K295">
        <v>315.7</v>
      </c>
      <c r="L295">
        <v>2194.2130000000002</v>
      </c>
      <c r="M295" t="b">
        <v>0</v>
      </c>
      <c r="N295" t="b">
        <v>0</v>
      </c>
    </row>
    <row r="296" spans="1:14" x14ac:dyDescent="0.3">
      <c r="A296" t="s">
        <v>508</v>
      </c>
      <c r="B296">
        <v>33</v>
      </c>
      <c r="C296">
        <v>11</v>
      </c>
      <c r="D296">
        <v>25</v>
      </c>
      <c r="E296" t="s">
        <v>317</v>
      </c>
      <c r="F296">
        <v>91.393000000000001</v>
      </c>
      <c r="G296">
        <v>25.321999999999999</v>
      </c>
      <c r="H296">
        <v>18.876999999999999</v>
      </c>
      <c r="I296">
        <v>19.498000000000001</v>
      </c>
      <c r="J296">
        <v>27.696000000000002</v>
      </c>
      <c r="K296">
        <v>317.60000000000002</v>
      </c>
      <c r="L296">
        <v>2285.6060000000002</v>
      </c>
      <c r="M296" t="b">
        <v>0</v>
      </c>
      <c r="N296" t="b">
        <v>0</v>
      </c>
    </row>
    <row r="297" spans="1:14" x14ac:dyDescent="0.3">
      <c r="A297" t="s">
        <v>508</v>
      </c>
      <c r="B297">
        <v>33</v>
      </c>
      <c r="C297">
        <v>11</v>
      </c>
      <c r="D297">
        <v>26</v>
      </c>
      <c r="E297" t="s">
        <v>318</v>
      </c>
      <c r="F297">
        <v>91.466999999999999</v>
      </c>
      <c r="G297">
        <v>25.559000000000001</v>
      </c>
      <c r="H297">
        <v>18.869</v>
      </c>
      <c r="I297">
        <v>19.414000000000001</v>
      </c>
      <c r="J297">
        <v>27.625</v>
      </c>
      <c r="K297">
        <v>313</v>
      </c>
      <c r="L297">
        <v>2377.0729999999999</v>
      </c>
      <c r="M297" t="b">
        <v>0</v>
      </c>
      <c r="N297" t="b">
        <v>0</v>
      </c>
    </row>
    <row r="298" spans="1:14" x14ac:dyDescent="0.3">
      <c r="A298" t="s">
        <v>508</v>
      </c>
      <c r="B298">
        <v>33</v>
      </c>
      <c r="C298">
        <v>11</v>
      </c>
      <c r="D298">
        <v>27</v>
      </c>
      <c r="E298" t="s">
        <v>319</v>
      </c>
      <c r="F298">
        <v>91.421000000000006</v>
      </c>
      <c r="G298">
        <v>25.245000000000001</v>
      </c>
      <c r="H298">
        <v>18.850999999999999</v>
      </c>
      <c r="I298">
        <v>19.515000000000001</v>
      </c>
      <c r="J298">
        <v>27.81</v>
      </c>
      <c r="K298">
        <v>315.7</v>
      </c>
      <c r="L298">
        <v>2468.4940000000001</v>
      </c>
      <c r="M298" t="b">
        <v>0</v>
      </c>
      <c r="N298" t="b">
        <v>0</v>
      </c>
    </row>
    <row r="299" spans="1:14" x14ac:dyDescent="0.3">
      <c r="A299" t="s">
        <v>509</v>
      </c>
      <c r="B299">
        <v>10</v>
      </c>
      <c r="C299">
        <v>12</v>
      </c>
      <c r="D299">
        <v>1</v>
      </c>
      <c r="E299" t="s">
        <v>323</v>
      </c>
      <c r="F299">
        <v>97.028000000000006</v>
      </c>
      <c r="G299">
        <v>30.177</v>
      </c>
      <c r="H299">
        <v>19.193000000000001</v>
      </c>
      <c r="I299">
        <v>19.834</v>
      </c>
      <c r="J299">
        <v>27.824000000000002</v>
      </c>
      <c r="K299">
        <v>275.5</v>
      </c>
      <c r="L299">
        <v>97.028000000000006</v>
      </c>
      <c r="M299" t="b">
        <v>0</v>
      </c>
      <c r="N299" t="b">
        <v>0</v>
      </c>
    </row>
    <row r="300" spans="1:14" x14ac:dyDescent="0.3">
      <c r="A300" t="s">
        <v>509</v>
      </c>
      <c r="B300">
        <v>10</v>
      </c>
      <c r="C300">
        <v>12</v>
      </c>
      <c r="D300">
        <v>2</v>
      </c>
      <c r="E300" t="s">
        <v>324</v>
      </c>
      <c r="F300">
        <v>91.594999999999999</v>
      </c>
      <c r="G300">
        <v>25.552</v>
      </c>
      <c r="H300">
        <v>18.88</v>
      </c>
      <c r="I300">
        <v>19.532</v>
      </c>
      <c r="J300">
        <v>27.631</v>
      </c>
      <c r="K300">
        <v>300.8</v>
      </c>
      <c r="L300">
        <v>188.62299999999999</v>
      </c>
      <c r="M300" t="b">
        <v>0</v>
      </c>
      <c r="N300" t="b">
        <v>0</v>
      </c>
    </row>
    <row r="301" spans="1:14" x14ac:dyDescent="0.3">
      <c r="A301" t="s">
        <v>509</v>
      </c>
      <c r="B301">
        <v>10</v>
      </c>
      <c r="C301">
        <v>12</v>
      </c>
      <c r="D301">
        <v>3</v>
      </c>
      <c r="E301" t="s">
        <v>254</v>
      </c>
      <c r="F301">
        <v>91.17</v>
      </c>
      <c r="G301">
        <v>25.329000000000001</v>
      </c>
      <c r="H301">
        <v>18.763999999999999</v>
      </c>
      <c r="I301">
        <v>19.417999999999999</v>
      </c>
      <c r="J301">
        <v>27.658999999999999</v>
      </c>
      <c r="K301">
        <v>311.2</v>
      </c>
      <c r="L301">
        <v>279.79300000000001</v>
      </c>
      <c r="M301" t="b">
        <v>0</v>
      </c>
      <c r="N301" t="b">
        <v>0</v>
      </c>
    </row>
    <row r="302" spans="1:14" x14ac:dyDescent="0.3">
      <c r="A302" t="s">
        <v>509</v>
      </c>
      <c r="B302">
        <v>10</v>
      </c>
      <c r="C302">
        <v>12</v>
      </c>
      <c r="D302">
        <v>4</v>
      </c>
      <c r="E302" t="s">
        <v>325</v>
      </c>
      <c r="F302">
        <v>91.266000000000005</v>
      </c>
      <c r="G302">
        <v>25.417999999999999</v>
      </c>
      <c r="H302">
        <v>18.844999999999999</v>
      </c>
      <c r="I302">
        <v>19.419</v>
      </c>
      <c r="J302">
        <v>27.584</v>
      </c>
      <c r="K302">
        <v>308.5</v>
      </c>
      <c r="L302">
        <v>371.05900000000003</v>
      </c>
      <c r="M302" t="b">
        <v>0</v>
      </c>
      <c r="N302" t="b">
        <v>0</v>
      </c>
    </row>
    <row r="303" spans="1:14" x14ac:dyDescent="0.3">
      <c r="A303" t="s">
        <v>509</v>
      </c>
      <c r="B303">
        <v>10</v>
      </c>
      <c r="C303">
        <v>12</v>
      </c>
      <c r="D303">
        <v>5</v>
      </c>
      <c r="E303" t="s">
        <v>326</v>
      </c>
      <c r="F303">
        <v>90.914000000000001</v>
      </c>
      <c r="G303">
        <v>25.231999999999999</v>
      </c>
      <c r="H303">
        <v>18.718</v>
      </c>
      <c r="I303">
        <v>19.489999999999998</v>
      </c>
      <c r="J303">
        <v>27.474</v>
      </c>
      <c r="K303">
        <v>313</v>
      </c>
      <c r="L303">
        <v>461.97300000000001</v>
      </c>
      <c r="M303" t="b">
        <v>1</v>
      </c>
      <c r="N303" t="b">
        <v>0</v>
      </c>
    </row>
    <row r="304" spans="1:14" x14ac:dyDescent="0.3">
      <c r="A304" t="s">
        <v>509</v>
      </c>
      <c r="B304">
        <v>10</v>
      </c>
      <c r="C304">
        <v>12</v>
      </c>
      <c r="D304">
        <v>6</v>
      </c>
      <c r="E304" t="s">
        <v>327</v>
      </c>
      <c r="F304">
        <v>90.947000000000003</v>
      </c>
      <c r="G304">
        <v>25.265999999999998</v>
      </c>
      <c r="H304">
        <v>18.712</v>
      </c>
      <c r="I304">
        <v>19.399999999999999</v>
      </c>
      <c r="J304">
        <v>27.568999999999999</v>
      </c>
      <c r="K304">
        <v>314.8</v>
      </c>
      <c r="L304">
        <v>552.91999999999996</v>
      </c>
      <c r="M304" t="b">
        <v>0</v>
      </c>
      <c r="N304" t="b">
        <v>0</v>
      </c>
    </row>
    <row r="305" spans="1:14" x14ac:dyDescent="0.3">
      <c r="A305" t="s">
        <v>509</v>
      </c>
      <c r="B305">
        <v>10</v>
      </c>
      <c r="C305">
        <v>12</v>
      </c>
      <c r="D305">
        <v>7</v>
      </c>
      <c r="E305" t="s">
        <v>328</v>
      </c>
      <c r="F305">
        <v>91.051000000000002</v>
      </c>
      <c r="G305">
        <v>25.193999999999999</v>
      </c>
      <c r="H305">
        <v>18.713000000000001</v>
      </c>
      <c r="I305">
        <v>19.466000000000001</v>
      </c>
      <c r="J305">
        <v>27.678000000000001</v>
      </c>
      <c r="K305">
        <v>315.7</v>
      </c>
      <c r="L305">
        <v>643.971</v>
      </c>
      <c r="M305" t="b">
        <v>0</v>
      </c>
      <c r="N305" t="b">
        <v>0</v>
      </c>
    </row>
    <row r="306" spans="1:14" x14ac:dyDescent="0.3">
      <c r="A306" t="s">
        <v>509</v>
      </c>
      <c r="B306">
        <v>10</v>
      </c>
      <c r="C306">
        <v>12</v>
      </c>
      <c r="D306">
        <v>8</v>
      </c>
      <c r="E306" t="s">
        <v>308</v>
      </c>
      <c r="F306">
        <v>90.986999999999995</v>
      </c>
      <c r="G306">
        <v>25.218</v>
      </c>
      <c r="H306">
        <v>18.835999999999999</v>
      </c>
      <c r="I306">
        <v>19.404</v>
      </c>
      <c r="J306">
        <v>27.529</v>
      </c>
      <c r="K306">
        <v>313.89999999999998</v>
      </c>
      <c r="L306">
        <v>734.95799999999997</v>
      </c>
      <c r="M306" t="b">
        <v>0</v>
      </c>
      <c r="N306" t="b">
        <v>0</v>
      </c>
    </row>
    <row r="307" spans="1:14" x14ac:dyDescent="0.3">
      <c r="A307" t="s">
        <v>509</v>
      </c>
      <c r="B307">
        <v>10</v>
      </c>
      <c r="C307">
        <v>12</v>
      </c>
      <c r="D307">
        <v>9</v>
      </c>
      <c r="E307" t="s">
        <v>329</v>
      </c>
      <c r="F307">
        <v>91.177999999999997</v>
      </c>
      <c r="G307">
        <v>25.244</v>
      </c>
      <c r="H307">
        <v>18.765999999999998</v>
      </c>
      <c r="I307">
        <v>19.515000000000001</v>
      </c>
      <c r="J307">
        <v>27.652999999999999</v>
      </c>
      <c r="K307">
        <v>313.89999999999998</v>
      </c>
      <c r="L307">
        <v>826.13599999999997</v>
      </c>
      <c r="M307" t="b">
        <v>0</v>
      </c>
      <c r="N307" t="b">
        <v>0</v>
      </c>
    </row>
    <row r="308" spans="1:14" x14ac:dyDescent="0.3">
      <c r="A308" t="s">
        <v>509</v>
      </c>
      <c r="B308">
        <v>10</v>
      </c>
      <c r="C308">
        <v>12</v>
      </c>
      <c r="D308">
        <v>10</v>
      </c>
      <c r="E308" t="s">
        <v>330</v>
      </c>
      <c r="F308">
        <v>91.14</v>
      </c>
      <c r="G308">
        <v>25.288</v>
      </c>
      <c r="H308">
        <v>18.745000000000001</v>
      </c>
      <c r="I308">
        <v>19.466999999999999</v>
      </c>
      <c r="J308">
        <v>27.64</v>
      </c>
      <c r="K308">
        <v>313</v>
      </c>
      <c r="L308">
        <v>917.27599999999995</v>
      </c>
      <c r="M308" t="b">
        <v>0</v>
      </c>
      <c r="N308" t="b">
        <v>0</v>
      </c>
    </row>
    <row r="309" spans="1:14" x14ac:dyDescent="0.3">
      <c r="A309" t="s">
        <v>509</v>
      </c>
      <c r="B309">
        <v>10</v>
      </c>
      <c r="C309">
        <v>12</v>
      </c>
      <c r="D309">
        <v>11</v>
      </c>
      <c r="E309" t="s">
        <v>331</v>
      </c>
      <c r="F309">
        <v>91.07</v>
      </c>
      <c r="G309">
        <v>25.260999999999999</v>
      </c>
      <c r="H309">
        <v>18.795999999999999</v>
      </c>
      <c r="I309">
        <v>19.46</v>
      </c>
      <c r="J309">
        <v>27.553000000000001</v>
      </c>
      <c r="K309">
        <v>313</v>
      </c>
      <c r="L309">
        <v>1008.346</v>
      </c>
      <c r="M309" t="b">
        <v>0</v>
      </c>
      <c r="N309" t="b">
        <v>0</v>
      </c>
    </row>
    <row r="310" spans="1:14" x14ac:dyDescent="0.3">
      <c r="A310" t="s">
        <v>509</v>
      </c>
      <c r="B310">
        <v>10</v>
      </c>
      <c r="C310">
        <v>12</v>
      </c>
      <c r="D310">
        <v>12</v>
      </c>
      <c r="E310" t="s">
        <v>332</v>
      </c>
      <c r="F310">
        <v>91.19</v>
      </c>
      <c r="G310">
        <v>25.331</v>
      </c>
      <c r="H310">
        <v>18.719000000000001</v>
      </c>
      <c r="I310">
        <v>19.533999999999999</v>
      </c>
      <c r="J310">
        <v>27.606000000000002</v>
      </c>
      <c r="K310">
        <v>313.89999999999998</v>
      </c>
      <c r="L310">
        <v>1099.5360000000001</v>
      </c>
      <c r="M310" t="b">
        <v>0</v>
      </c>
      <c r="N310" t="b">
        <v>0</v>
      </c>
    </row>
    <row r="311" spans="1:14" x14ac:dyDescent="0.3">
      <c r="A311" t="s">
        <v>509</v>
      </c>
      <c r="B311">
        <v>10</v>
      </c>
      <c r="C311">
        <v>12</v>
      </c>
      <c r="D311">
        <v>13</v>
      </c>
      <c r="E311" t="s">
        <v>333</v>
      </c>
      <c r="F311">
        <v>91.042000000000002</v>
      </c>
      <c r="G311">
        <v>25.288</v>
      </c>
      <c r="H311">
        <v>18.734999999999999</v>
      </c>
      <c r="I311">
        <v>19.5</v>
      </c>
      <c r="J311">
        <v>27.518999999999998</v>
      </c>
      <c r="K311">
        <v>312.10000000000002</v>
      </c>
      <c r="L311">
        <v>1190.578</v>
      </c>
      <c r="M311" t="b">
        <v>0</v>
      </c>
      <c r="N311" t="b">
        <v>0</v>
      </c>
    </row>
    <row r="312" spans="1:14" x14ac:dyDescent="0.3">
      <c r="A312" t="s">
        <v>509</v>
      </c>
      <c r="B312">
        <v>10</v>
      </c>
      <c r="C312">
        <v>12</v>
      </c>
      <c r="D312">
        <v>14</v>
      </c>
      <c r="E312" t="s">
        <v>334</v>
      </c>
      <c r="F312">
        <v>91.004999999999995</v>
      </c>
      <c r="G312">
        <v>25.268000000000001</v>
      </c>
      <c r="H312">
        <v>18.731999999999999</v>
      </c>
      <c r="I312">
        <v>19.498999999999999</v>
      </c>
      <c r="J312">
        <v>27.506</v>
      </c>
      <c r="K312">
        <v>313.89999999999998</v>
      </c>
      <c r="L312">
        <v>1281.5830000000001</v>
      </c>
      <c r="M312" t="b">
        <v>0</v>
      </c>
      <c r="N312" t="b">
        <v>0</v>
      </c>
    </row>
    <row r="313" spans="1:14" x14ac:dyDescent="0.3">
      <c r="A313" t="s">
        <v>509</v>
      </c>
      <c r="B313">
        <v>10</v>
      </c>
      <c r="C313">
        <v>12</v>
      </c>
      <c r="D313">
        <v>15</v>
      </c>
      <c r="E313" t="s">
        <v>335</v>
      </c>
      <c r="F313">
        <v>90.984999999999999</v>
      </c>
      <c r="G313">
        <v>25.216000000000001</v>
      </c>
      <c r="H313">
        <v>18.728999999999999</v>
      </c>
      <c r="I313">
        <v>19.459</v>
      </c>
      <c r="J313">
        <v>27.581</v>
      </c>
      <c r="K313">
        <v>314.8</v>
      </c>
      <c r="L313">
        <v>1372.568</v>
      </c>
      <c r="M313" t="b">
        <v>0</v>
      </c>
      <c r="N313" t="b">
        <v>0</v>
      </c>
    </row>
    <row r="314" spans="1:14" x14ac:dyDescent="0.3">
      <c r="A314" t="s">
        <v>509</v>
      </c>
      <c r="B314">
        <v>10</v>
      </c>
      <c r="C314">
        <v>12</v>
      </c>
      <c r="D314">
        <v>16</v>
      </c>
      <c r="E314" t="s">
        <v>336</v>
      </c>
      <c r="F314">
        <v>91.156999999999996</v>
      </c>
      <c r="G314">
        <v>25.263999999999999</v>
      </c>
      <c r="H314">
        <v>18.809000000000001</v>
      </c>
      <c r="I314">
        <v>19.427</v>
      </c>
      <c r="J314">
        <v>27.657</v>
      </c>
      <c r="K314">
        <v>313.89999999999998</v>
      </c>
      <c r="L314">
        <v>1463.7249999999999</v>
      </c>
      <c r="M314" t="b">
        <v>0</v>
      </c>
      <c r="N314" t="b">
        <v>0</v>
      </c>
    </row>
    <row r="315" spans="1:14" x14ac:dyDescent="0.3">
      <c r="A315" t="s">
        <v>509</v>
      </c>
      <c r="B315">
        <v>10</v>
      </c>
      <c r="C315">
        <v>12</v>
      </c>
      <c r="D315">
        <v>17</v>
      </c>
      <c r="E315" t="s">
        <v>174</v>
      </c>
      <c r="F315">
        <v>91.248000000000005</v>
      </c>
      <c r="G315">
        <v>25.276</v>
      </c>
      <c r="H315">
        <v>18.907</v>
      </c>
      <c r="I315">
        <v>19.396000000000001</v>
      </c>
      <c r="J315">
        <v>27.669</v>
      </c>
      <c r="K315">
        <v>313</v>
      </c>
      <c r="L315">
        <v>1554.973</v>
      </c>
      <c r="M315" t="b">
        <v>0</v>
      </c>
      <c r="N315" t="b">
        <v>0</v>
      </c>
    </row>
    <row r="316" spans="1:14" x14ac:dyDescent="0.3">
      <c r="A316" t="s">
        <v>509</v>
      </c>
      <c r="B316">
        <v>10</v>
      </c>
      <c r="C316">
        <v>12</v>
      </c>
      <c r="D316">
        <v>18</v>
      </c>
      <c r="E316" t="s">
        <v>337</v>
      </c>
      <c r="F316">
        <v>90.953000000000003</v>
      </c>
      <c r="G316">
        <v>25.23</v>
      </c>
      <c r="H316">
        <v>18.75</v>
      </c>
      <c r="I316">
        <v>19.398</v>
      </c>
      <c r="J316">
        <v>27.574999999999999</v>
      </c>
      <c r="K316">
        <v>313.89999999999998</v>
      </c>
      <c r="L316">
        <v>1645.9259999999999</v>
      </c>
      <c r="M316" t="b">
        <v>0</v>
      </c>
      <c r="N316" t="b">
        <v>0</v>
      </c>
    </row>
    <row r="317" spans="1:14" x14ac:dyDescent="0.3">
      <c r="A317" t="s">
        <v>509</v>
      </c>
      <c r="B317">
        <v>10</v>
      </c>
      <c r="C317">
        <v>12</v>
      </c>
      <c r="D317">
        <v>19</v>
      </c>
      <c r="E317" t="s">
        <v>338</v>
      </c>
      <c r="F317">
        <v>91.635999999999996</v>
      </c>
      <c r="G317">
        <v>25.195</v>
      </c>
      <c r="H317">
        <v>18.913</v>
      </c>
      <c r="I317">
        <v>19.494</v>
      </c>
      <c r="J317">
        <v>28.033999999999999</v>
      </c>
      <c r="K317">
        <v>314.8</v>
      </c>
      <c r="L317">
        <v>1737.5619999999999</v>
      </c>
      <c r="M317" t="b">
        <v>0</v>
      </c>
      <c r="N317" t="b">
        <v>0</v>
      </c>
    </row>
    <row r="318" spans="1:14" x14ac:dyDescent="0.3">
      <c r="A318" t="s">
        <v>509</v>
      </c>
      <c r="B318">
        <v>10</v>
      </c>
      <c r="C318">
        <v>12</v>
      </c>
      <c r="D318">
        <v>20</v>
      </c>
      <c r="E318" t="s">
        <v>339</v>
      </c>
      <c r="F318">
        <v>91.38</v>
      </c>
      <c r="G318">
        <v>25.305</v>
      </c>
      <c r="H318">
        <v>18.831</v>
      </c>
      <c r="I318">
        <v>19.54</v>
      </c>
      <c r="J318">
        <v>27.704000000000001</v>
      </c>
      <c r="K318">
        <v>311.2</v>
      </c>
      <c r="L318">
        <v>1828.942</v>
      </c>
      <c r="M318" t="b">
        <v>0</v>
      </c>
      <c r="N318" t="b">
        <v>0</v>
      </c>
    </row>
    <row r="319" spans="1:14" x14ac:dyDescent="0.3">
      <c r="A319" t="s">
        <v>509</v>
      </c>
      <c r="B319">
        <v>10</v>
      </c>
      <c r="C319">
        <v>12</v>
      </c>
      <c r="D319">
        <v>21</v>
      </c>
      <c r="E319" t="s">
        <v>340</v>
      </c>
      <c r="F319">
        <v>91.128</v>
      </c>
      <c r="G319">
        <v>25.355</v>
      </c>
      <c r="H319">
        <v>18.748000000000001</v>
      </c>
      <c r="I319">
        <v>19.41</v>
      </c>
      <c r="J319">
        <v>27.614999999999998</v>
      </c>
      <c r="K319">
        <v>316.7</v>
      </c>
      <c r="L319">
        <v>1920.07</v>
      </c>
      <c r="M319" t="b">
        <v>0</v>
      </c>
      <c r="N319" t="b">
        <v>0</v>
      </c>
    </row>
    <row r="320" spans="1:14" x14ac:dyDescent="0.3">
      <c r="A320" t="s">
        <v>509</v>
      </c>
      <c r="B320">
        <v>10</v>
      </c>
      <c r="C320">
        <v>12</v>
      </c>
      <c r="D320">
        <v>22</v>
      </c>
      <c r="E320" t="s">
        <v>341</v>
      </c>
      <c r="F320">
        <v>91.039000000000001</v>
      </c>
      <c r="G320">
        <v>25.170999999999999</v>
      </c>
      <c r="H320">
        <v>18.785</v>
      </c>
      <c r="I320">
        <v>19.431999999999999</v>
      </c>
      <c r="J320">
        <v>27.651</v>
      </c>
      <c r="K320">
        <v>316.7</v>
      </c>
      <c r="L320">
        <v>2011.1089999999999</v>
      </c>
      <c r="M320" t="b">
        <v>0</v>
      </c>
      <c r="N320" t="b">
        <v>0</v>
      </c>
    </row>
    <row r="321" spans="1:14" x14ac:dyDescent="0.3">
      <c r="A321" t="s">
        <v>509</v>
      </c>
      <c r="B321">
        <v>10</v>
      </c>
      <c r="C321">
        <v>12</v>
      </c>
      <c r="D321">
        <v>23</v>
      </c>
      <c r="E321" t="s">
        <v>206</v>
      </c>
      <c r="F321">
        <v>91.31</v>
      </c>
      <c r="G321">
        <v>25.373999999999999</v>
      </c>
      <c r="H321">
        <v>18.757000000000001</v>
      </c>
      <c r="I321">
        <v>19.472999999999999</v>
      </c>
      <c r="J321">
        <v>27.706</v>
      </c>
      <c r="K321">
        <v>313.89999999999998</v>
      </c>
      <c r="L321">
        <v>2102.4189999999999</v>
      </c>
      <c r="M321" t="b">
        <v>0</v>
      </c>
      <c r="N321" t="b">
        <v>0</v>
      </c>
    </row>
    <row r="322" spans="1:14" x14ac:dyDescent="0.3">
      <c r="A322" t="s">
        <v>509</v>
      </c>
      <c r="B322">
        <v>10</v>
      </c>
      <c r="C322">
        <v>12</v>
      </c>
      <c r="D322">
        <v>24</v>
      </c>
      <c r="E322" t="s">
        <v>342</v>
      </c>
      <c r="F322">
        <v>90.998000000000005</v>
      </c>
      <c r="G322">
        <v>25.28</v>
      </c>
      <c r="H322">
        <v>18.742999999999999</v>
      </c>
      <c r="I322">
        <v>19.457999999999998</v>
      </c>
      <c r="J322">
        <v>27.516999999999999</v>
      </c>
      <c r="K322">
        <v>313.89999999999998</v>
      </c>
      <c r="L322">
        <v>2193.4169999999999</v>
      </c>
      <c r="M322" t="b">
        <v>0</v>
      </c>
      <c r="N322" t="b">
        <v>0</v>
      </c>
    </row>
    <row r="323" spans="1:14" x14ac:dyDescent="0.3">
      <c r="A323" t="s">
        <v>509</v>
      </c>
      <c r="B323">
        <v>10</v>
      </c>
      <c r="C323">
        <v>12</v>
      </c>
      <c r="D323">
        <v>25</v>
      </c>
      <c r="E323" t="s">
        <v>343</v>
      </c>
      <c r="F323">
        <v>91.74</v>
      </c>
      <c r="G323">
        <v>25.390999999999998</v>
      </c>
      <c r="H323">
        <v>18.97</v>
      </c>
      <c r="I323">
        <v>19.538</v>
      </c>
      <c r="J323">
        <v>27.841000000000001</v>
      </c>
      <c r="K323">
        <v>315.7</v>
      </c>
      <c r="L323">
        <v>2285.1570000000002</v>
      </c>
      <c r="M323" t="b">
        <v>0</v>
      </c>
      <c r="N323" t="b">
        <v>0</v>
      </c>
    </row>
    <row r="324" spans="1:14" x14ac:dyDescent="0.3">
      <c r="A324" t="s">
        <v>509</v>
      </c>
      <c r="B324">
        <v>10</v>
      </c>
      <c r="C324">
        <v>12</v>
      </c>
      <c r="D324">
        <v>26</v>
      </c>
      <c r="E324" t="s">
        <v>344</v>
      </c>
      <c r="F324">
        <v>92.495000000000005</v>
      </c>
      <c r="G324">
        <v>26.401</v>
      </c>
      <c r="H324">
        <v>18.846</v>
      </c>
      <c r="I324">
        <v>19.5</v>
      </c>
      <c r="J324">
        <v>27.748000000000001</v>
      </c>
      <c r="K324">
        <v>314.8</v>
      </c>
      <c r="L324">
        <v>2377.652</v>
      </c>
      <c r="M324" t="b">
        <v>0</v>
      </c>
      <c r="N324" t="b">
        <v>0</v>
      </c>
    </row>
    <row r="325" spans="1:14" x14ac:dyDescent="0.3">
      <c r="A325" t="s">
        <v>509</v>
      </c>
      <c r="B325">
        <v>10</v>
      </c>
      <c r="C325">
        <v>12</v>
      </c>
      <c r="D325">
        <v>27</v>
      </c>
      <c r="E325" t="s">
        <v>345</v>
      </c>
      <c r="F325">
        <v>91.585999999999999</v>
      </c>
      <c r="G325">
        <v>25.331</v>
      </c>
      <c r="H325">
        <v>18.893999999999998</v>
      </c>
      <c r="I325">
        <v>19.533999999999999</v>
      </c>
      <c r="J325">
        <v>27.827000000000002</v>
      </c>
      <c r="K325">
        <v>313.89999999999998</v>
      </c>
      <c r="L325">
        <v>2469.2379999999998</v>
      </c>
      <c r="M325" t="b">
        <v>0</v>
      </c>
      <c r="N325" t="b">
        <v>0</v>
      </c>
    </row>
    <row r="326" spans="1:14" x14ac:dyDescent="0.3">
      <c r="A326" t="s">
        <v>510</v>
      </c>
      <c r="B326">
        <v>5</v>
      </c>
      <c r="C326">
        <v>13</v>
      </c>
      <c r="D326">
        <v>1</v>
      </c>
      <c r="E326" t="s">
        <v>348</v>
      </c>
      <c r="F326">
        <v>97.852000000000004</v>
      </c>
      <c r="G326">
        <v>30.861999999999998</v>
      </c>
      <c r="H326">
        <v>19.510999999999999</v>
      </c>
      <c r="I326">
        <v>19.814</v>
      </c>
      <c r="J326">
        <v>27.664999999999999</v>
      </c>
      <c r="K326">
        <v>270</v>
      </c>
      <c r="L326">
        <v>97.852000000000004</v>
      </c>
      <c r="M326" t="b">
        <v>0</v>
      </c>
      <c r="N326" t="b">
        <v>0</v>
      </c>
    </row>
    <row r="327" spans="1:14" x14ac:dyDescent="0.3">
      <c r="A327" t="s">
        <v>510</v>
      </c>
      <c r="B327">
        <v>5</v>
      </c>
      <c r="C327">
        <v>13</v>
      </c>
      <c r="D327">
        <v>2</v>
      </c>
      <c r="E327" t="s">
        <v>349</v>
      </c>
      <c r="F327">
        <v>92.325999999999993</v>
      </c>
      <c r="G327">
        <v>25.696999999999999</v>
      </c>
      <c r="H327">
        <v>19.059999999999999</v>
      </c>
      <c r="I327">
        <v>19.798999999999999</v>
      </c>
      <c r="J327">
        <v>27.77</v>
      </c>
      <c r="K327">
        <v>299.10000000000002</v>
      </c>
      <c r="L327">
        <v>190.178</v>
      </c>
      <c r="M327" t="b">
        <v>0</v>
      </c>
      <c r="N327" t="b">
        <v>0</v>
      </c>
    </row>
    <row r="328" spans="1:14" x14ac:dyDescent="0.3">
      <c r="A328" t="s">
        <v>510</v>
      </c>
      <c r="B328">
        <v>5</v>
      </c>
      <c r="C328">
        <v>13</v>
      </c>
      <c r="D328">
        <v>3</v>
      </c>
      <c r="E328" t="s">
        <v>350</v>
      </c>
      <c r="F328">
        <v>91.688999999999993</v>
      </c>
      <c r="G328">
        <v>25.670999999999999</v>
      </c>
      <c r="H328">
        <v>18.908000000000001</v>
      </c>
      <c r="I328">
        <v>19.489999999999998</v>
      </c>
      <c r="J328">
        <v>27.62</v>
      </c>
      <c r="K328">
        <v>292.60000000000002</v>
      </c>
      <c r="L328">
        <v>281.86700000000002</v>
      </c>
      <c r="M328" t="b">
        <v>1</v>
      </c>
      <c r="N328" t="b">
        <v>0</v>
      </c>
    </row>
    <row r="329" spans="1:14" x14ac:dyDescent="0.3">
      <c r="A329" t="s">
        <v>510</v>
      </c>
      <c r="B329">
        <v>5</v>
      </c>
      <c r="C329">
        <v>13</v>
      </c>
      <c r="D329">
        <v>4</v>
      </c>
      <c r="E329" t="s">
        <v>351</v>
      </c>
      <c r="F329">
        <v>91.375</v>
      </c>
      <c r="G329">
        <v>25.52</v>
      </c>
      <c r="H329">
        <v>18.986000000000001</v>
      </c>
      <c r="I329">
        <v>19.411000000000001</v>
      </c>
      <c r="J329">
        <v>27.457999999999998</v>
      </c>
      <c r="K329">
        <v>291.10000000000002</v>
      </c>
      <c r="L329">
        <v>373.24200000000002</v>
      </c>
      <c r="M329" t="b">
        <v>0</v>
      </c>
      <c r="N329" t="b">
        <v>0</v>
      </c>
    </row>
    <row r="330" spans="1:14" x14ac:dyDescent="0.3">
      <c r="A330" t="s">
        <v>510</v>
      </c>
      <c r="B330">
        <v>5</v>
      </c>
      <c r="C330">
        <v>13</v>
      </c>
      <c r="D330">
        <v>5</v>
      </c>
      <c r="E330" t="s">
        <v>352</v>
      </c>
      <c r="F330">
        <v>91.058999999999997</v>
      </c>
      <c r="G330">
        <v>25.353999999999999</v>
      </c>
      <c r="H330">
        <v>18.791</v>
      </c>
      <c r="I330">
        <v>19.382000000000001</v>
      </c>
      <c r="J330">
        <v>27.532</v>
      </c>
      <c r="K330">
        <v>307.60000000000002</v>
      </c>
      <c r="L330">
        <v>464.30099999999999</v>
      </c>
      <c r="M330" t="b">
        <v>0</v>
      </c>
      <c r="N330" t="b">
        <v>0</v>
      </c>
    </row>
    <row r="331" spans="1:14" x14ac:dyDescent="0.3">
      <c r="A331" t="s">
        <v>510</v>
      </c>
      <c r="B331">
        <v>5</v>
      </c>
      <c r="C331">
        <v>13</v>
      </c>
      <c r="D331">
        <v>6</v>
      </c>
      <c r="E331" t="s">
        <v>353</v>
      </c>
      <c r="F331">
        <v>91.123000000000005</v>
      </c>
      <c r="G331">
        <v>25.448</v>
      </c>
      <c r="H331">
        <v>18.747</v>
      </c>
      <c r="I331">
        <v>19.469000000000001</v>
      </c>
      <c r="J331">
        <v>27.459</v>
      </c>
      <c r="K331">
        <v>308.5</v>
      </c>
      <c r="L331">
        <v>555.42399999999998</v>
      </c>
      <c r="M331" t="b">
        <v>0</v>
      </c>
      <c r="N331" t="b">
        <v>0</v>
      </c>
    </row>
    <row r="332" spans="1:14" x14ac:dyDescent="0.3">
      <c r="A332" t="s">
        <v>510</v>
      </c>
      <c r="B332">
        <v>5</v>
      </c>
      <c r="C332">
        <v>13</v>
      </c>
      <c r="D332">
        <v>7</v>
      </c>
      <c r="E332" t="s">
        <v>354</v>
      </c>
      <c r="F332">
        <v>91.403000000000006</v>
      </c>
      <c r="G332">
        <v>25.356999999999999</v>
      </c>
      <c r="H332">
        <v>18.763000000000002</v>
      </c>
      <c r="I332">
        <v>19.361000000000001</v>
      </c>
      <c r="J332">
        <v>27.922000000000001</v>
      </c>
      <c r="K332">
        <v>300</v>
      </c>
      <c r="L332">
        <v>646.827</v>
      </c>
      <c r="M332" t="b">
        <v>0</v>
      </c>
      <c r="N332" t="b">
        <v>0</v>
      </c>
    </row>
    <row r="333" spans="1:14" x14ac:dyDescent="0.3">
      <c r="A333" t="s">
        <v>510</v>
      </c>
      <c r="B333">
        <v>5</v>
      </c>
      <c r="C333">
        <v>13</v>
      </c>
      <c r="D333">
        <v>8</v>
      </c>
      <c r="E333" t="s">
        <v>273</v>
      </c>
      <c r="F333">
        <v>91.126999999999995</v>
      </c>
      <c r="G333">
        <v>25.338999999999999</v>
      </c>
      <c r="H333">
        <v>18.831</v>
      </c>
      <c r="I333">
        <v>19.376999999999999</v>
      </c>
      <c r="J333">
        <v>27.58</v>
      </c>
      <c r="K333">
        <v>311.2</v>
      </c>
      <c r="L333">
        <v>737.95399999999995</v>
      </c>
      <c r="M333" t="b">
        <v>0</v>
      </c>
      <c r="N333" t="b">
        <v>0</v>
      </c>
    </row>
    <row r="334" spans="1:14" x14ac:dyDescent="0.3">
      <c r="A334" t="s">
        <v>510</v>
      </c>
      <c r="B334">
        <v>5</v>
      </c>
      <c r="C334">
        <v>13</v>
      </c>
      <c r="D334">
        <v>9</v>
      </c>
      <c r="E334" t="s">
        <v>355</v>
      </c>
      <c r="F334">
        <v>90.988</v>
      </c>
      <c r="G334">
        <v>25.459</v>
      </c>
      <c r="H334">
        <v>18.779</v>
      </c>
      <c r="I334">
        <v>19.347999999999999</v>
      </c>
      <c r="J334">
        <v>27.402000000000001</v>
      </c>
      <c r="K334">
        <v>310.3</v>
      </c>
      <c r="L334">
        <v>828.94200000000001</v>
      </c>
      <c r="M334" t="b">
        <v>0</v>
      </c>
      <c r="N334" t="b">
        <v>0</v>
      </c>
    </row>
    <row r="335" spans="1:14" x14ac:dyDescent="0.3">
      <c r="A335" t="s">
        <v>510</v>
      </c>
      <c r="B335">
        <v>5</v>
      </c>
      <c r="C335">
        <v>13</v>
      </c>
      <c r="D335">
        <v>10</v>
      </c>
      <c r="E335" t="s">
        <v>356</v>
      </c>
      <c r="F335">
        <v>91.078000000000003</v>
      </c>
      <c r="G335">
        <v>25.411000000000001</v>
      </c>
      <c r="H335">
        <v>18.797999999999998</v>
      </c>
      <c r="I335">
        <v>19.443000000000001</v>
      </c>
      <c r="J335">
        <v>27.425999999999998</v>
      </c>
      <c r="K335">
        <v>301.60000000000002</v>
      </c>
      <c r="L335">
        <v>920.02</v>
      </c>
      <c r="M335" t="b">
        <v>0</v>
      </c>
      <c r="N335" t="b">
        <v>0</v>
      </c>
    </row>
    <row r="336" spans="1:14" x14ac:dyDescent="0.3">
      <c r="A336" t="s">
        <v>510</v>
      </c>
      <c r="B336">
        <v>5</v>
      </c>
      <c r="C336">
        <v>13</v>
      </c>
      <c r="D336">
        <v>11</v>
      </c>
      <c r="E336" t="s">
        <v>175</v>
      </c>
      <c r="F336">
        <v>90.974000000000004</v>
      </c>
      <c r="G336">
        <v>25.361000000000001</v>
      </c>
      <c r="H336">
        <v>18.928000000000001</v>
      </c>
      <c r="I336">
        <v>19.347999999999999</v>
      </c>
      <c r="J336">
        <v>27.337</v>
      </c>
      <c r="K336">
        <v>300</v>
      </c>
      <c r="L336">
        <v>1010.994</v>
      </c>
      <c r="M336" t="b">
        <v>0</v>
      </c>
      <c r="N336" t="b">
        <v>0</v>
      </c>
    </row>
    <row r="337" spans="1:14" x14ac:dyDescent="0.3">
      <c r="A337" t="s">
        <v>510</v>
      </c>
      <c r="B337">
        <v>5</v>
      </c>
      <c r="C337">
        <v>13</v>
      </c>
      <c r="D337">
        <v>12</v>
      </c>
      <c r="E337" t="s">
        <v>357</v>
      </c>
      <c r="F337">
        <v>91.36</v>
      </c>
      <c r="G337">
        <v>25.867999999999999</v>
      </c>
      <c r="H337">
        <v>18.803000000000001</v>
      </c>
      <c r="I337">
        <v>19.285</v>
      </c>
      <c r="J337">
        <v>27.404</v>
      </c>
      <c r="K337">
        <v>310.3</v>
      </c>
      <c r="L337">
        <v>1102.354</v>
      </c>
      <c r="M337" t="b">
        <v>0</v>
      </c>
      <c r="N337" t="b">
        <v>0</v>
      </c>
    </row>
    <row r="338" spans="1:14" x14ac:dyDescent="0.3">
      <c r="A338" t="s">
        <v>510</v>
      </c>
      <c r="B338">
        <v>5</v>
      </c>
      <c r="C338">
        <v>13</v>
      </c>
      <c r="D338">
        <v>13</v>
      </c>
      <c r="E338" t="s">
        <v>358</v>
      </c>
      <c r="F338">
        <v>91.165000000000006</v>
      </c>
      <c r="G338">
        <v>25.245000000000001</v>
      </c>
      <c r="H338">
        <v>18.635000000000002</v>
      </c>
      <c r="I338">
        <v>19.837</v>
      </c>
      <c r="J338">
        <v>27.448</v>
      </c>
      <c r="K338">
        <v>309.39999999999998</v>
      </c>
      <c r="L338">
        <v>1193.519</v>
      </c>
      <c r="M338" t="b">
        <v>0</v>
      </c>
      <c r="N338" t="b">
        <v>0</v>
      </c>
    </row>
    <row r="339" spans="1:14" x14ac:dyDescent="0.3">
      <c r="A339" t="s">
        <v>510</v>
      </c>
      <c r="B339">
        <v>5</v>
      </c>
      <c r="C339">
        <v>13</v>
      </c>
      <c r="D339">
        <v>14</v>
      </c>
      <c r="E339" t="s">
        <v>359</v>
      </c>
      <c r="F339">
        <v>91.855000000000004</v>
      </c>
      <c r="G339">
        <v>25.978999999999999</v>
      </c>
      <c r="H339">
        <v>18.823</v>
      </c>
      <c r="I339">
        <v>19.78</v>
      </c>
      <c r="J339">
        <v>27.273</v>
      </c>
      <c r="K339">
        <v>300</v>
      </c>
      <c r="L339">
        <v>1285.374</v>
      </c>
      <c r="M339" t="b">
        <v>0</v>
      </c>
      <c r="N339" t="b">
        <v>0</v>
      </c>
    </row>
    <row r="340" spans="1:14" x14ac:dyDescent="0.3">
      <c r="A340" t="s">
        <v>510</v>
      </c>
      <c r="B340">
        <v>5</v>
      </c>
      <c r="C340">
        <v>13</v>
      </c>
      <c r="D340">
        <v>15</v>
      </c>
      <c r="E340" t="s">
        <v>360</v>
      </c>
      <c r="F340">
        <v>91.034000000000006</v>
      </c>
      <c r="G340">
        <v>25.204000000000001</v>
      </c>
      <c r="H340">
        <v>18.904</v>
      </c>
      <c r="I340">
        <v>19.460999999999999</v>
      </c>
      <c r="J340">
        <v>27.465</v>
      </c>
      <c r="K340">
        <v>311.2</v>
      </c>
      <c r="L340">
        <v>1376.4079999999999</v>
      </c>
      <c r="M340" t="b">
        <v>0</v>
      </c>
      <c r="N340" t="b">
        <v>0</v>
      </c>
    </row>
    <row r="341" spans="1:14" x14ac:dyDescent="0.3">
      <c r="A341" t="s">
        <v>510</v>
      </c>
      <c r="B341">
        <v>5</v>
      </c>
      <c r="C341">
        <v>13</v>
      </c>
      <c r="D341">
        <v>16</v>
      </c>
      <c r="E341" t="s">
        <v>260</v>
      </c>
      <c r="F341">
        <v>91.057000000000002</v>
      </c>
      <c r="G341">
        <v>25.331</v>
      </c>
      <c r="H341">
        <v>18.917999999999999</v>
      </c>
      <c r="I341">
        <v>19.378</v>
      </c>
      <c r="J341">
        <v>27.43</v>
      </c>
      <c r="K341">
        <v>306.8</v>
      </c>
      <c r="L341">
        <v>1467.4649999999999</v>
      </c>
      <c r="M341" t="b">
        <v>0</v>
      </c>
      <c r="N341" t="b">
        <v>0</v>
      </c>
    </row>
    <row r="342" spans="1:14" x14ac:dyDescent="0.3">
      <c r="A342" t="s">
        <v>510</v>
      </c>
      <c r="B342">
        <v>5</v>
      </c>
      <c r="C342">
        <v>13</v>
      </c>
      <c r="D342">
        <v>17</v>
      </c>
      <c r="E342" t="s">
        <v>283</v>
      </c>
      <c r="F342">
        <v>90.799000000000007</v>
      </c>
      <c r="G342">
        <v>25.262</v>
      </c>
      <c r="H342">
        <v>18.759</v>
      </c>
      <c r="I342">
        <v>19.321000000000002</v>
      </c>
      <c r="J342">
        <v>27.457000000000001</v>
      </c>
      <c r="K342">
        <v>308.5</v>
      </c>
      <c r="L342">
        <v>1558.2639999999999</v>
      </c>
      <c r="M342" t="b">
        <v>0</v>
      </c>
      <c r="N342" t="b">
        <v>0</v>
      </c>
    </row>
    <row r="343" spans="1:14" x14ac:dyDescent="0.3">
      <c r="A343" t="s">
        <v>510</v>
      </c>
      <c r="B343">
        <v>5</v>
      </c>
      <c r="C343">
        <v>13</v>
      </c>
      <c r="D343">
        <v>18</v>
      </c>
      <c r="E343" t="s">
        <v>361</v>
      </c>
      <c r="F343">
        <v>90.771000000000001</v>
      </c>
      <c r="G343">
        <v>25.234999999999999</v>
      </c>
      <c r="H343">
        <v>18.806999999999999</v>
      </c>
      <c r="I343">
        <v>19.404</v>
      </c>
      <c r="J343">
        <v>27.324999999999999</v>
      </c>
      <c r="K343">
        <v>310.3</v>
      </c>
      <c r="L343">
        <v>1649.0350000000001</v>
      </c>
      <c r="M343" t="b">
        <v>0</v>
      </c>
      <c r="N343" t="b">
        <v>0</v>
      </c>
    </row>
    <row r="344" spans="1:14" x14ac:dyDescent="0.3">
      <c r="A344" t="s">
        <v>510</v>
      </c>
      <c r="B344">
        <v>5</v>
      </c>
      <c r="C344">
        <v>13</v>
      </c>
      <c r="D344">
        <v>19</v>
      </c>
      <c r="E344" t="s">
        <v>147</v>
      </c>
      <c r="F344">
        <v>90.853999999999999</v>
      </c>
      <c r="G344">
        <v>25.183</v>
      </c>
      <c r="H344">
        <v>18.812000000000001</v>
      </c>
      <c r="I344">
        <v>19.440999999999999</v>
      </c>
      <c r="J344">
        <v>27.417999999999999</v>
      </c>
      <c r="K344">
        <v>312.10000000000002</v>
      </c>
      <c r="L344">
        <v>1739.8889999999999</v>
      </c>
      <c r="M344" t="b">
        <v>0</v>
      </c>
      <c r="N344" t="b">
        <v>0</v>
      </c>
    </row>
    <row r="345" spans="1:14" x14ac:dyDescent="0.3">
      <c r="A345" t="s">
        <v>510</v>
      </c>
      <c r="B345">
        <v>5</v>
      </c>
      <c r="C345">
        <v>13</v>
      </c>
      <c r="D345">
        <v>20</v>
      </c>
      <c r="E345" t="s">
        <v>119</v>
      </c>
      <c r="F345">
        <v>90.858000000000004</v>
      </c>
      <c r="G345">
        <v>25.335000000000001</v>
      </c>
      <c r="H345">
        <v>18.738</v>
      </c>
      <c r="I345">
        <v>19.396999999999998</v>
      </c>
      <c r="J345">
        <v>27.388000000000002</v>
      </c>
      <c r="K345">
        <v>311.2</v>
      </c>
      <c r="L345">
        <v>1830.7470000000001</v>
      </c>
      <c r="M345" t="b">
        <v>0</v>
      </c>
      <c r="N345" t="b">
        <v>0</v>
      </c>
    </row>
    <row r="346" spans="1:14" x14ac:dyDescent="0.3">
      <c r="A346" t="s">
        <v>510</v>
      </c>
      <c r="B346">
        <v>5</v>
      </c>
      <c r="C346">
        <v>13</v>
      </c>
      <c r="D346">
        <v>21</v>
      </c>
      <c r="E346" t="s">
        <v>362</v>
      </c>
      <c r="F346">
        <v>90.903999999999996</v>
      </c>
      <c r="G346">
        <v>25.265000000000001</v>
      </c>
      <c r="H346">
        <v>18.788</v>
      </c>
      <c r="I346">
        <v>19.431999999999999</v>
      </c>
      <c r="J346">
        <v>27.419</v>
      </c>
      <c r="K346">
        <v>308.5</v>
      </c>
      <c r="L346">
        <v>1921.6510000000001</v>
      </c>
      <c r="M346" t="b">
        <v>0</v>
      </c>
      <c r="N346" t="b">
        <v>0</v>
      </c>
    </row>
    <row r="347" spans="1:14" x14ac:dyDescent="0.3">
      <c r="A347" t="s">
        <v>510</v>
      </c>
      <c r="B347">
        <v>5</v>
      </c>
      <c r="C347">
        <v>13</v>
      </c>
      <c r="D347">
        <v>22</v>
      </c>
      <c r="E347" t="s">
        <v>363</v>
      </c>
      <c r="F347">
        <v>90.805000000000007</v>
      </c>
      <c r="G347">
        <v>25.241</v>
      </c>
      <c r="H347">
        <v>18.759</v>
      </c>
      <c r="I347">
        <v>19.416</v>
      </c>
      <c r="J347">
        <v>27.388999999999999</v>
      </c>
      <c r="K347">
        <v>313.89999999999998</v>
      </c>
      <c r="L347">
        <v>2012.4559999999999</v>
      </c>
      <c r="M347" t="b">
        <v>0</v>
      </c>
      <c r="N347" t="b">
        <v>0</v>
      </c>
    </row>
    <row r="348" spans="1:14" x14ac:dyDescent="0.3">
      <c r="A348" t="s">
        <v>510</v>
      </c>
      <c r="B348">
        <v>5</v>
      </c>
      <c r="C348">
        <v>13</v>
      </c>
      <c r="D348">
        <v>23</v>
      </c>
      <c r="E348" t="s">
        <v>364</v>
      </c>
      <c r="F348">
        <v>91.114999999999995</v>
      </c>
      <c r="G348">
        <v>25.398</v>
      </c>
      <c r="H348">
        <v>18.853000000000002</v>
      </c>
      <c r="I348">
        <v>19.356000000000002</v>
      </c>
      <c r="J348">
        <v>27.507999999999999</v>
      </c>
      <c r="K348">
        <v>305.89999999999998</v>
      </c>
      <c r="L348">
        <v>2103.5709999999999</v>
      </c>
      <c r="M348" t="b">
        <v>0</v>
      </c>
      <c r="N348" t="b">
        <v>0</v>
      </c>
    </row>
    <row r="349" spans="1:14" x14ac:dyDescent="0.3">
      <c r="A349" t="s">
        <v>510</v>
      </c>
      <c r="B349">
        <v>5</v>
      </c>
      <c r="C349">
        <v>13</v>
      </c>
      <c r="D349">
        <v>24</v>
      </c>
      <c r="E349" t="s">
        <v>365</v>
      </c>
      <c r="F349">
        <v>91.191000000000003</v>
      </c>
      <c r="G349">
        <v>25.295999999999999</v>
      </c>
      <c r="H349">
        <v>18.812999999999999</v>
      </c>
      <c r="I349">
        <v>19.523</v>
      </c>
      <c r="J349">
        <v>27.559000000000001</v>
      </c>
      <c r="K349">
        <v>310.3</v>
      </c>
      <c r="L349">
        <v>2194.7620000000002</v>
      </c>
      <c r="M349" t="b">
        <v>0</v>
      </c>
      <c r="N349" t="b">
        <v>0</v>
      </c>
    </row>
    <row r="350" spans="1:14" x14ac:dyDescent="0.3">
      <c r="A350" t="s">
        <v>510</v>
      </c>
      <c r="B350">
        <v>5</v>
      </c>
      <c r="C350">
        <v>13</v>
      </c>
      <c r="D350">
        <v>25</v>
      </c>
      <c r="E350" t="s">
        <v>366</v>
      </c>
      <c r="F350">
        <v>92.546000000000006</v>
      </c>
      <c r="G350">
        <v>25.25</v>
      </c>
      <c r="H350">
        <v>20.013000000000002</v>
      </c>
      <c r="I350">
        <v>19.693999999999999</v>
      </c>
      <c r="J350">
        <v>27.588999999999999</v>
      </c>
      <c r="K350">
        <v>310.3</v>
      </c>
      <c r="L350">
        <v>2287.308</v>
      </c>
      <c r="M350" t="b">
        <v>0</v>
      </c>
      <c r="N350" t="b">
        <v>0</v>
      </c>
    </row>
    <row r="351" spans="1:14" x14ac:dyDescent="0.3">
      <c r="A351" t="s">
        <v>510</v>
      </c>
      <c r="B351">
        <v>5</v>
      </c>
      <c r="C351">
        <v>13</v>
      </c>
      <c r="D351">
        <v>26</v>
      </c>
      <c r="E351" t="s">
        <v>367</v>
      </c>
      <c r="F351">
        <v>92.872</v>
      </c>
      <c r="G351">
        <v>26.236000000000001</v>
      </c>
      <c r="H351">
        <v>19.146999999999998</v>
      </c>
      <c r="I351">
        <v>19.72</v>
      </c>
      <c r="J351">
        <v>27.768999999999998</v>
      </c>
      <c r="K351">
        <v>317.60000000000002</v>
      </c>
      <c r="L351">
        <v>2380.1799999999998</v>
      </c>
      <c r="M351" t="b">
        <v>0</v>
      </c>
      <c r="N351" t="b">
        <v>0</v>
      </c>
    </row>
    <row r="352" spans="1:14" x14ac:dyDescent="0.3">
      <c r="A352" t="s">
        <v>510</v>
      </c>
      <c r="B352">
        <v>5</v>
      </c>
      <c r="C352">
        <v>13</v>
      </c>
      <c r="D352">
        <v>27</v>
      </c>
      <c r="E352" t="s">
        <v>368</v>
      </c>
      <c r="F352">
        <v>92.662000000000006</v>
      </c>
      <c r="G352">
        <v>25.411999999999999</v>
      </c>
      <c r="H352">
        <v>19.212</v>
      </c>
      <c r="I352">
        <v>19.773</v>
      </c>
      <c r="J352">
        <v>28.265000000000001</v>
      </c>
      <c r="K352">
        <v>313</v>
      </c>
      <c r="L352">
        <v>2472.8420000000001</v>
      </c>
      <c r="M352" t="b">
        <v>0</v>
      </c>
      <c r="N352" t="b">
        <v>0</v>
      </c>
    </row>
    <row r="353" spans="1:14" x14ac:dyDescent="0.3">
      <c r="A353" t="s">
        <v>511</v>
      </c>
      <c r="B353">
        <v>21</v>
      </c>
      <c r="C353">
        <v>14</v>
      </c>
      <c r="D353">
        <v>1</v>
      </c>
      <c r="E353" t="s">
        <v>370</v>
      </c>
      <c r="F353">
        <v>98.936000000000007</v>
      </c>
      <c r="G353">
        <v>31.004999999999999</v>
      </c>
      <c r="H353">
        <v>19.756</v>
      </c>
      <c r="I353">
        <v>20.056999999999999</v>
      </c>
      <c r="J353">
        <v>28.117999999999999</v>
      </c>
      <c r="K353">
        <v>263.39999999999998</v>
      </c>
      <c r="L353">
        <v>98.936000000000007</v>
      </c>
      <c r="M353" t="b">
        <v>0</v>
      </c>
      <c r="N353" t="b">
        <v>0</v>
      </c>
    </row>
    <row r="354" spans="1:14" x14ac:dyDescent="0.3">
      <c r="A354" t="s">
        <v>511</v>
      </c>
      <c r="B354">
        <v>21</v>
      </c>
      <c r="C354">
        <v>14</v>
      </c>
      <c r="D354">
        <v>2</v>
      </c>
      <c r="E354" t="s">
        <v>371</v>
      </c>
      <c r="F354">
        <v>92.813999999999993</v>
      </c>
      <c r="G354">
        <v>26.466000000000001</v>
      </c>
      <c r="H354">
        <v>19.103999999999999</v>
      </c>
      <c r="I354">
        <v>19.609000000000002</v>
      </c>
      <c r="J354">
        <v>27.635000000000002</v>
      </c>
      <c r="K354">
        <v>309.39999999999998</v>
      </c>
      <c r="L354">
        <v>191.75</v>
      </c>
      <c r="M354" t="b">
        <v>0</v>
      </c>
      <c r="N354" t="b">
        <v>0</v>
      </c>
    </row>
    <row r="355" spans="1:14" x14ac:dyDescent="0.3">
      <c r="A355" t="s">
        <v>511</v>
      </c>
      <c r="B355">
        <v>21</v>
      </c>
      <c r="C355">
        <v>14</v>
      </c>
      <c r="D355">
        <v>3</v>
      </c>
      <c r="E355" t="s">
        <v>372</v>
      </c>
      <c r="F355">
        <v>91.825999999999993</v>
      </c>
      <c r="G355">
        <v>25.491</v>
      </c>
      <c r="H355">
        <v>19.029</v>
      </c>
      <c r="I355">
        <v>19.571999999999999</v>
      </c>
      <c r="J355">
        <v>27.734000000000002</v>
      </c>
      <c r="K355">
        <v>302.5</v>
      </c>
      <c r="L355">
        <v>283.57600000000002</v>
      </c>
      <c r="M355" t="b">
        <v>0</v>
      </c>
      <c r="N355" t="b">
        <v>0</v>
      </c>
    </row>
    <row r="356" spans="1:14" x14ac:dyDescent="0.3">
      <c r="A356" t="s">
        <v>511</v>
      </c>
      <c r="B356">
        <v>21</v>
      </c>
      <c r="C356">
        <v>14</v>
      </c>
      <c r="D356">
        <v>4</v>
      </c>
      <c r="E356" t="s">
        <v>373</v>
      </c>
      <c r="F356">
        <v>91.715000000000003</v>
      </c>
      <c r="G356">
        <v>25.62</v>
      </c>
      <c r="H356">
        <v>19.084</v>
      </c>
      <c r="I356">
        <v>19.475999999999999</v>
      </c>
      <c r="J356">
        <v>27.535</v>
      </c>
      <c r="K356">
        <v>300.8</v>
      </c>
      <c r="L356">
        <v>375.291</v>
      </c>
      <c r="M356" t="b">
        <v>0</v>
      </c>
      <c r="N356" t="b">
        <v>0</v>
      </c>
    </row>
    <row r="357" spans="1:14" x14ac:dyDescent="0.3">
      <c r="A357" t="s">
        <v>511</v>
      </c>
      <c r="B357">
        <v>21</v>
      </c>
      <c r="C357">
        <v>14</v>
      </c>
      <c r="D357">
        <v>5</v>
      </c>
      <c r="E357" t="s">
        <v>374</v>
      </c>
      <c r="F357">
        <v>91.334000000000003</v>
      </c>
      <c r="G357">
        <v>25.443999999999999</v>
      </c>
      <c r="H357">
        <v>18.856999999999999</v>
      </c>
      <c r="I357">
        <v>19.510000000000002</v>
      </c>
      <c r="J357">
        <v>27.523</v>
      </c>
      <c r="K357">
        <v>305.89999999999998</v>
      </c>
      <c r="L357">
        <v>466.625</v>
      </c>
      <c r="M357" t="b">
        <v>0</v>
      </c>
      <c r="N357" t="b">
        <v>0</v>
      </c>
    </row>
    <row r="358" spans="1:14" x14ac:dyDescent="0.3">
      <c r="A358" t="s">
        <v>511</v>
      </c>
      <c r="B358">
        <v>21</v>
      </c>
      <c r="C358">
        <v>14</v>
      </c>
      <c r="D358">
        <v>6</v>
      </c>
      <c r="E358" t="s">
        <v>375</v>
      </c>
      <c r="F358">
        <v>90.933999999999997</v>
      </c>
      <c r="G358">
        <v>25.327000000000002</v>
      </c>
      <c r="H358">
        <v>18.795000000000002</v>
      </c>
      <c r="I358">
        <v>19.437999999999999</v>
      </c>
      <c r="J358">
        <v>27.373999999999999</v>
      </c>
      <c r="K358">
        <v>313.89999999999998</v>
      </c>
      <c r="L358">
        <v>557.55899999999997</v>
      </c>
      <c r="M358" t="b">
        <v>1</v>
      </c>
      <c r="N358" t="b">
        <v>0</v>
      </c>
    </row>
    <row r="359" spans="1:14" x14ac:dyDescent="0.3">
      <c r="A359" t="s">
        <v>511</v>
      </c>
      <c r="B359">
        <v>21</v>
      </c>
      <c r="C359">
        <v>14</v>
      </c>
      <c r="D359">
        <v>7</v>
      </c>
      <c r="E359" t="s">
        <v>376</v>
      </c>
      <c r="F359">
        <v>90.938000000000002</v>
      </c>
      <c r="G359">
        <v>25.260999999999999</v>
      </c>
      <c r="H359">
        <v>18.742000000000001</v>
      </c>
      <c r="I359">
        <v>19.431000000000001</v>
      </c>
      <c r="J359">
        <v>27.504000000000001</v>
      </c>
      <c r="K359">
        <v>312.10000000000002</v>
      </c>
      <c r="L359">
        <v>648.49699999999996</v>
      </c>
      <c r="M359" t="b">
        <v>0</v>
      </c>
      <c r="N359" t="b">
        <v>0</v>
      </c>
    </row>
    <row r="360" spans="1:14" x14ac:dyDescent="0.3">
      <c r="A360" t="s">
        <v>511</v>
      </c>
      <c r="B360">
        <v>21</v>
      </c>
      <c r="C360">
        <v>14</v>
      </c>
      <c r="D360">
        <v>8</v>
      </c>
      <c r="E360" t="s">
        <v>377</v>
      </c>
      <c r="F360">
        <v>90.622</v>
      </c>
      <c r="G360">
        <v>25.248000000000001</v>
      </c>
      <c r="H360">
        <v>18.693000000000001</v>
      </c>
      <c r="I360">
        <v>19.375</v>
      </c>
      <c r="J360">
        <v>27.306000000000001</v>
      </c>
      <c r="K360">
        <v>313</v>
      </c>
      <c r="L360">
        <v>739.11900000000003</v>
      </c>
      <c r="M360" t="b">
        <v>0</v>
      </c>
      <c r="N360" t="b">
        <v>0</v>
      </c>
    </row>
    <row r="361" spans="1:14" x14ac:dyDescent="0.3">
      <c r="A361" t="s">
        <v>511</v>
      </c>
      <c r="B361">
        <v>21</v>
      </c>
      <c r="C361">
        <v>14</v>
      </c>
      <c r="D361">
        <v>9</v>
      </c>
      <c r="E361" t="s">
        <v>378</v>
      </c>
      <c r="F361">
        <v>90.811999999999998</v>
      </c>
      <c r="G361">
        <v>25.228000000000002</v>
      </c>
      <c r="H361">
        <v>18.765000000000001</v>
      </c>
      <c r="I361">
        <v>19.370999999999999</v>
      </c>
      <c r="J361">
        <v>27.448</v>
      </c>
      <c r="K361">
        <v>312.10000000000002</v>
      </c>
      <c r="L361">
        <v>829.93100000000004</v>
      </c>
      <c r="M361" t="b">
        <v>0</v>
      </c>
      <c r="N361" t="b">
        <v>0</v>
      </c>
    </row>
    <row r="362" spans="1:14" x14ac:dyDescent="0.3">
      <c r="A362" t="s">
        <v>511</v>
      </c>
      <c r="B362">
        <v>21</v>
      </c>
      <c r="C362">
        <v>14</v>
      </c>
      <c r="D362">
        <v>10</v>
      </c>
      <c r="E362" t="s">
        <v>379</v>
      </c>
      <c r="F362">
        <v>90.947999999999993</v>
      </c>
      <c r="G362">
        <v>25.419</v>
      </c>
      <c r="H362">
        <v>18.722999999999999</v>
      </c>
      <c r="I362">
        <v>19.46</v>
      </c>
      <c r="J362">
        <v>27.346</v>
      </c>
      <c r="K362">
        <v>303.3</v>
      </c>
      <c r="L362">
        <v>920.87900000000002</v>
      </c>
      <c r="M362" t="b">
        <v>0</v>
      </c>
      <c r="N362" t="b">
        <v>0</v>
      </c>
    </row>
    <row r="363" spans="1:14" x14ac:dyDescent="0.3">
      <c r="A363" t="s">
        <v>511</v>
      </c>
      <c r="B363">
        <v>21</v>
      </c>
      <c r="C363">
        <v>14</v>
      </c>
      <c r="D363">
        <v>11</v>
      </c>
      <c r="E363" t="s">
        <v>380</v>
      </c>
      <c r="F363">
        <v>91.522999999999996</v>
      </c>
      <c r="G363">
        <v>25.388000000000002</v>
      </c>
      <c r="H363">
        <v>18.966000000000001</v>
      </c>
      <c r="I363">
        <v>19.728999999999999</v>
      </c>
      <c r="J363">
        <v>27.44</v>
      </c>
      <c r="K363">
        <v>302.5</v>
      </c>
      <c r="L363">
        <v>1012.402</v>
      </c>
      <c r="M363" t="b">
        <v>0</v>
      </c>
      <c r="N363" t="b">
        <v>0</v>
      </c>
    </row>
    <row r="364" spans="1:14" x14ac:dyDescent="0.3">
      <c r="A364" t="s">
        <v>511</v>
      </c>
      <c r="B364">
        <v>21</v>
      </c>
      <c r="C364">
        <v>14</v>
      </c>
      <c r="D364">
        <v>12</v>
      </c>
      <c r="E364" t="s">
        <v>381</v>
      </c>
      <c r="F364">
        <v>91.260999999999996</v>
      </c>
      <c r="G364">
        <v>25.48</v>
      </c>
      <c r="H364">
        <v>18.942</v>
      </c>
      <c r="I364">
        <v>19.376000000000001</v>
      </c>
      <c r="J364">
        <v>27.463000000000001</v>
      </c>
      <c r="K364">
        <v>305.89999999999998</v>
      </c>
      <c r="L364">
        <v>1103.663</v>
      </c>
      <c r="M364" t="b">
        <v>0</v>
      </c>
      <c r="N364" t="b">
        <v>0</v>
      </c>
    </row>
    <row r="365" spans="1:14" x14ac:dyDescent="0.3">
      <c r="A365" t="s">
        <v>511</v>
      </c>
      <c r="B365">
        <v>21</v>
      </c>
      <c r="C365">
        <v>14</v>
      </c>
      <c r="D365">
        <v>13</v>
      </c>
      <c r="E365" t="s">
        <v>243</v>
      </c>
      <c r="F365">
        <v>91.3</v>
      </c>
      <c r="G365">
        <v>25.283999999999999</v>
      </c>
      <c r="H365">
        <v>18.866</v>
      </c>
      <c r="I365">
        <v>19.701000000000001</v>
      </c>
      <c r="J365">
        <v>27.449000000000002</v>
      </c>
      <c r="K365">
        <v>310.3</v>
      </c>
      <c r="L365">
        <v>1194.963</v>
      </c>
      <c r="M365" t="b">
        <v>0</v>
      </c>
      <c r="N365" t="b">
        <v>0</v>
      </c>
    </row>
    <row r="366" spans="1:14" x14ac:dyDescent="0.3">
      <c r="A366" t="s">
        <v>511</v>
      </c>
      <c r="B366">
        <v>21</v>
      </c>
      <c r="C366">
        <v>14</v>
      </c>
      <c r="D366">
        <v>14</v>
      </c>
      <c r="E366" t="s">
        <v>382</v>
      </c>
      <c r="F366">
        <v>91.521000000000001</v>
      </c>
      <c r="G366">
        <v>25.45</v>
      </c>
      <c r="H366">
        <v>18.93</v>
      </c>
      <c r="I366">
        <v>19.613</v>
      </c>
      <c r="J366">
        <v>27.527999999999999</v>
      </c>
      <c r="K366">
        <v>301.60000000000002</v>
      </c>
      <c r="L366">
        <v>1286.4839999999999</v>
      </c>
      <c r="M366" t="b">
        <v>0</v>
      </c>
      <c r="N366" t="b">
        <v>0</v>
      </c>
    </row>
    <row r="367" spans="1:14" x14ac:dyDescent="0.3">
      <c r="A367" t="s">
        <v>511</v>
      </c>
      <c r="B367">
        <v>21</v>
      </c>
      <c r="C367">
        <v>14</v>
      </c>
      <c r="D367">
        <v>15</v>
      </c>
      <c r="E367" t="s">
        <v>383</v>
      </c>
      <c r="F367">
        <v>91.522000000000006</v>
      </c>
      <c r="G367">
        <v>25.417999999999999</v>
      </c>
      <c r="H367">
        <v>18.956</v>
      </c>
      <c r="I367">
        <v>19.454999999999998</v>
      </c>
      <c r="J367">
        <v>27.693000000000001</v>
      </c>
      <c r="K367">
        <v>304.2</v>
      </c>
      <c r="L367">
        <v>1378.0060000000001</v>
      </c>
      <c r="M367" t="b">
        <v>0</v>
      </c>
      <c r="N367" t="b">
        <v>0</v>
      </c>
    </row>
    <row r="368" spans="1:14" x14ac:dyDescent="0.3">
      <c r="A368" t="s">
        <v>511</v>
      </c>
      <c r="B368">
        <v>21</v>
      </c>
      <c r="C368">
        <v>14</v>
      </c>
      <c r="D368">
        <v>16</v>
      </c>
      <c r="E368" t="s">
        <v>384</v>
      </c>
      <c r="F368">
        <v>91.525000000000006</v>
      </c>
      <c r="G368">
        <v>25.443000000000001</v>
      </c>
      <c r="H368">
        <v>18.971</v>
      </c>
      <c r="I368">
        <v>19.529</v>
      </c>
      <c r="J368">
        <v>27.582000000000001</v>
      </c>
      <c r="K368">
        <v>310.3</v>
      </c>
      <c r="L368">
        <v>1469.5309999999999</v>
      </c>
      <c r="M368" t="b">
        <v>0</v>
      </c>
      <c r="N368" t="b">
        <v>0</v>
      </c>
    </row>
    <row r="369" spans="1:14" x14ac:dyDescent="0.3">
      <c r="A369" t="s">
        <v>511</v>
      </c>
      <c r="B369">
        <v>21</v>
      </c>
      <c r="C369">
        <v>14</v>
      </c>
      <c r="D369">
        <v>17</v>
      </c>
      <c r="E369" t="s">
        <v>275</v>
      </c>
      <c r="F369">
        <v>91.197999999999993</v>
      </c>
      <c r="G369">
        <v>25.346</v>
      </c>
      <c r="H369">
        <v>18.879000000000001</v>
      </c>
      <c r="I369">
        <v>19.369</v>
      </c>
      <c r="J369">
        <v>27.603999999999999</v>
      </c>
      <c r="K369">
        <v>309.39999999999998</v>
      </c>
      <c r="L369">
        <v>1560.729</v>
      </c>
      <c r="M369" t="b">
        <v>0</v>
      </c>
      <c r="N369" t="b">
        <v>0</v>
      </c>
    </row>
    <row r="370" spans="1:14" x14ac:dyDescent="0.3">
      <c r="A370" t="s">
        <v>511</v>
      </c>
      <c r="B370">
        <v>21</v>
      </c>
      <c r="C370">
        <v>14</v>
      </c>
      <c r="D370">
        <v>18</v>
      </c>
      <c r="E370" t="s">
        <v>385</v>
      </c>
      <c r="F370">
        <v>91.256</v>
      </c>
      <c r="G370">
        <v>25.324999999999999</v>
      </c>
      <c r="H370">
        <v>18.936</v>
      </c>
      <c r="I370">
        <v>19.401</v>
      </c>
      <c r="J370">
        <v>27.594000000000001</v>
      </c>
      <c r="K370">
        <v>309.39999999999998</v>
      </c>
      <c r="L370">
        <v>1651.9849999999999</v>
      </c>
      <c r="M370" t="b">
        <v>0</v>
      </c>
      <c r="N370" t="b">
        <v>0</v>
      </c>
    </row>
    <row r="371" spans="1:14" x14ac:dyDescent="0.3">
      <c r="A371" t="s">
        <v>511</v>
      </c>
      <c r="B371">
        <v>21</v>
      </c>
      <c r="C371">
        <v>14</v>
      </c>
      <c r="D371">
        <v>19</v>
      </c>
      <c r="E371" t="s">
        <v>385</v>
      </c>
      <c r="F371">
        <v>91.256</v>
      </c>
      <c r="G371">
        <v>25.503</v>
      </c>
      <c r="H371">
        <v>18.824999999999999</v>
      </c>
      <c r="I371">
        <v>19.475000000000001</v>
      </c>
      <c r="J371">
        <v>27.452999999999999</v>
      </c>
      <c r="K371">
        <v>304.2</v>
      </c>
      <c r="L371">
        <v>1743.241</v>
      </c>
      <c r="M371" t="b">
        <v>0</v>
      </c>
      <c r="N371" t="b">
        <v>0</v>
      </c>
    </row>
    <row r="372" spans="1:14" x14ac:dyDescent="0.3">
      <c r="A372" t="s">
        <v>511</v>
      </c>
      <c r="B372">
        <v>21</v>
      </c>
      <c r="C372">
        <v>14</v>
      </c>
      <c r="D372">
        <v>20</v>
      </c>
      <c r="E372" t="s">
        <v>386</v>
      </c>
      <c r="F372">
        <v>91.706000000000003</v>
      </c>
      <c r="G372">
        <v>25.46</v>
      </c>
      <c r="H372">
        <v>19.026</v>
      </c>
      <c r="I372">
        <v>19.550999999999998</v>
      </c>
      <c r="J372">
        <v>27.669</v>
      </c>
      <c r="K372">
        <v>309.39999999999998</v>
      </c>
      <c r="L372">
        <v>1834.9469999999999</v>
      </c>
      <c r="M372" t="b">
        <v>0</v>
      </c>
      <c r="N372" t="b">
        <v>0</v>
      </c>
    </row>
    <row r="373" spans="1:14" x14ac:dyDescent="0.3">
      <c r="A373" t="s">
        <v>511</v>
      </c>
      <c r="B373">
        <v>21</v>
      </c>
      <c r="C373">
        <v>14</v>
      </c>
      <c r="D373">
        <v>21</v>
      </c>
      <c r="E373" t="s">
        <v>311</v>
      </c>
      <c r="F373">
        <v>91.722999999999999</v>
      </c>
      <c r="G373">
        <v>25.456</v>
      </c>
      <c r="H373">
        <v>18.975000000000001</v>
      </c>
      <c r="I373">
        <v>19.690000000000001</v>
      </c>
      <c r="J373">
        <v>27.602</v>
      </c>
      <c r="K373">
        <v>306.8</v>
      </c>
      <c r="L373">
        <v>1926.67</v>
      </c>
      <c r="M373" t="b">
        <v>0</v>
      </c>
      <c r="N373" t="b">
        <v>0</v>
      </c>
    </row>
    <row r="374" spans="1:14" x14ac:dyDescent="0.3">
      <c r="A374" t="s">
        <v>511</v>
      </c>
      <c r="B374">
        <v>21</v>
      </c>
      <c r="C374">
        <v>14</v>
      </c>
      <c r="D374">
        <v>22</v>
      </c>
      <c r="E374" t="s">
        <v>387</v>
      </c>
      <c r="F374">
        <v>91.296000000000006</v>
      </c>
      <c r="G374">
        <v>25.356000000000002</v>
      </c>
      <c r="H374">
        <v>18.998999999999999</v>
      </c>
      <c r="I374">
        <v>19.420999999999999</v>
      </c>
      <c r="J374">
        <v>27.52</v>
      </c>
      <c r="K374">
        <v>312.10000000000002</v>
      </c>
      <c r="L374">
        <v>2017.9659999999999</v>
      </c>
      <c r="M374" t="b">
        <v>1</v>
      </c>
      <c r="N374" t="b">
        <v>0</v>
      </c>
    </row>
    <row r="375" spans="1:14" x14ac:dyDescent="0.3">
      <c r="A375" t="s">
        <v>511</v>
      </c>
      <c r="B375">
        <v>21</v>
      </c>
      <c r="C375">
        <v>14</v>
      </c>
      <c r="D375">
        <v>23</v>
      </c>
      <c r="E375" t="s">
        <v>388</v>
      </c>
      <c r="F375">
        <v>91.278999999999996</v>
      </c>
      <c r="G375">
        <v>25.462</v>
      </c>
      <c r="H375">
        <v>18.779</v>
      </c>
      <c r="I375">
        <v>19.489999999999998</v>
      </c>
      <c r="J375">
        <v>27.547999999999998</v>
      </c>
      <c r="K375">
        <v>310.3</v>
      </c>
      <c r="L375">
        <v>2109.2449999999999</v>
      </c>
      <c r="M375" t="b">
        <v>0</v>
      </c>
      <c r="N375" t="b">
        <v>0</v>
      </c>
    </row>
    <row r="376" spans="1:14" x14ac:dyDescent="0.3">
      <c r="A376" t="s">
        <v>511</v>
      </c>
      <c r="B376">
        <v>21</v>
      </c>
      <c r="C376">
        <v>14</v>
      </c>
      <c r="D376">
        <v>24</v>
      </c>
      <c r="E376" t="s">
        <v>389</v>
      </c>
      <c r="F376">
        <v>91.179000000000002</v>
      </c>
      <c r="G376">
        <v>25.245000000000001</v>
      </c>
      <c r="H376">
        <v>18.794</v>
      </c>
      <c r="I376">
        <v>19.556000000000001</v>
      </c>
      <c r="J376">
        <v>27.584</v>
      </c>
      <c r="K376">
        <v>313.89999999999998</v>
      </c>
      <c r="L376">
        <v>2200.424</v>
      </c>
      <c r="M376" t="b">
        <v>0</v>
      </c>
      <c r="N376" t="b">
        <v>0</v>
      </c>
    </row>
    <row r="377" spans="1:14" x14ac:dyDescent="0.3">
      <c r="A377" t="s">
        <v>511</v>
      </c>
      <c r="B377">
        <v>21</v>
      </c>
      <c r="C377">
        <v>14</v>
      </c>
      <c r="D377">
        <v>25</v>
      </c>
      <c r="E377" t="s">
        <v>390</v>
      </c>
      <c r="F377">
        <v>91.438000000000002</v>
      </c>
      <c r="G377">
        <v>25.385000000000002</v>
      </c>
      <c r="H377">
        <v>18.829999999999998</v>
      </c>
      <c r="I377">
        <v>19.489000000000001</v>
      </c>
      <c r="J377">
        <v>27.734000000000002</v>
      </c>
      <c r="K377">
        <v>312.10000000000002</v>
      </c>
      <c r="L377">
        <v>2291.8620000000001</v>
      </c>
      <c r="M377" t="b">
        <v>0</v>
      </c>
      <c r="N377" t="b">
        <v>0</v>
      </c>
    </row>
    <row r="378" spans="1:14" x14ac:dyDescent="0.3">
      <c r="A378" t="s">
        <v>511</v>
      </c>
      <c r="B378">
        <v>21</v>
      </c>
      <c r="C378">
        <v>14</v>
      </c>
      <c r="D378">
        <v>26</v>
      </c>
      <c r="E378" t="s">
        <v>391</v>
      </c>
      <c r="F378">
        <v>91.662999999999997</v>
      </c>
      <c r="G378">
        <v>25.617999999999999</v>
      </c>
      <c r="H378">
        <v>18.943000000000001</v>
      </c>
      <c r="I378">
        <v>19.445</v>
      </c>
      <c r="J378">
        <v>27.657</v>
      </c>
      <c r="K378">
        <v>306.8</v>
      </c>
      <c r="L378">
        <v>2383.5250000000001</v>
      </c>
      <c r="M378" t="b">
        <v>0</v>
      </c>
      <c r="N378" t="b">
        <v>0</v>
      </c>
    </row>
    <row r="379" spans="1:14" x14ac:dyDescent="0.3">
      <c r="A379" t="s">
        <v>511</v>
      </c>
      <c r="B379">
        <v>21</v>
      </c>
      <c r="C379">
        <v>14</v>
      </c>
      <c r="D379">
        <v>27</v>
      </c>
      <c r="E379" t="s">
        <v>392</v>
      </c>
      <c r="F379">
        <v>91.069000000000003</v>
      </c>
      <c r="G379">
        <v>25.286000000000001</v>
      </c>
      <c r="H379">
        <v>18.905000000000001</v>
      </c>
      <c r="I379">
        <v>19.388999999999999</v>
      </c>
      <c r="J379">
        <v>27.489000000000001</v>
      </c>
      <c r="K379">
        <v>311.2</v>
      </c>
      <c r="L379">
        <v>2474.5940000000001</v>
      </c>
      <c r="M379" t="b">
        <v>0</v>
      </c>
      <c r="N379" t="b">
        <v>0</v>
      </c>
    </row>
    <row r="380" spans="1:14" x14ac:dyDescent="0.3">
      <c r="A380" t="s">
        <v>512</v>
      </c>
      <c r="B380">
        <v>42</v>
      </c>
      <c r="C380">
        <v>15</v>
      </c>
      <c r="D380">
        <v>1</v>
      </c>
      <c r="E380" t="s">
        <v>394</v>
      </c>
      <c r="F380">
        <v>98.11</v>
      </c>
      <c r="G380">
        <v>30.803000000000001</v>
      </c>
      <c r="H380">
        <v>19.486999999999998</v>
      </c>
      <c r="I380">
        <v>19.798999999999999</v>
      </c>
      <c r="J380">
        <v>28.021000000000001</v>
      </c>
      <c r="K380">
        <v>268.60000000000002</v>
      </c>
      <c r="L380">
        <v>98.11</v>
      </c>
      <c r="M380" t="b">
        <v>0</v>
      </c>
      <c r="N380" t="b">
        <v>0</v>
      </c>
    </row>
    <row r="381" spans="1:14" x14ac:dyDescent="0.3">
      <c r="A381" t="s">
        <v>512</v>
      </c>
      <c r="B381">
        <v>42</v>
      </c>
      <c r="C381">
        <v>15</v>
      </c>
      <c r="D381">
        <v>2</v>
      </c>
      <c r="E381" t="s">
        <v>395</v>
      </c>
      <c r="F381">
        <v>91.983000000000004</v>
      </c>
      <c r="G381">
        <v>25.643999999999998</v>
      </c>
      <c r="H381">
        <v>18.972000000000001</v>
      </c>
      <c r="I381">
        <v>19.544</v>
      </c>
      <c r="J381">
        <v>27.823</v>
      </c>
      <c r="K381">
        <v>304.2</v>
      </c>
      <c r="L381">
        <v>190.09299999999999</v>
      </c>
      <c r="M381" t="b">
        <v>0</v>
      </c>
      <c r="N381" t="b">
        <v>0</v>
      </c>
    </row>
    <row r="382" spans="1:14" x14ac:dyDescent="0.3">
      <c r="A382" t="s">
        <v>512</v>
      </c>
      <c r="B382">
        <v>42</v>
      </c>
      <c r="C382">
        <v>15</v>
      </c>
      <c r="D382">
        <v>3</v>
      </c>
      <c r="E382" t="s">
        <v>396</v>
      </c>
      <c r="F382">
        <v>91.677000000000007</v>
      </c>
      <c r="G382">
        <v>25.591999999999999</v>
      </c>
      <c r="H382">
        <v>18.780999999999999</v>
      </c>
      <c r="I382">
        <v>19.556999999999999</v>
      </c>
      <c r="J382">
        <v>27.747</v>
      </c>
      <c r="K382">
        <v>303.3</v>
      </c>
      <c r="L382">
        <v>281.77</v>
      </c>
      <c r="M382" t="b">
        <v>0</v>
      </c>
      <c r="N382" t="b">
        <v>0</v>
      </c>
    </row>
    <row r="383" spans="1:14" x14ac:dyDescent="0.3">
      <c r="A383" t="s">
        <v>512</v>
      </c>
      <c r="B383">
        <v>42</v>
      </c>
      <c r="C383">
        <v>15</v>
      </c>
      <c r="D383">
        <v>4</v>
      </c>
      <c r="E383" t="s">
        <v>292</v>
      </c>
      <c r="F383">
        <v>91.150999999999996</v>
      </c>
      <c r="G383">
        <v>25.462</v>
      </c>
      <c r="H383">
        <v>18.701000000000001</v>
      </c>
      <c r="I383">
        <v>19.481000000000002</v>
      </c>
      <c r="J383">
        <v>27.507000000000001</v>
      </c>
      <c r="K383">
        <v>305.89999999999998</v>
      </c>
      <c r="L383">
        <v>372.92099999999999</v>
      </c>
      <c r="M383" t="b">
        <v>0</v>
      </c>
      <c r="N383" t="b">
        <v>0</v>
      </c>
    </row>
    <row r="384" spans="1:14" x14ac:dyDescent="0.3">
      <c r="A384" t="s">
        <v>512</v>
      </c>
      <c r="B384">
        <v>42</v>
      </c>
      <c r="C384">
        <v>15</v>
      </c>
      <c r="D384">
        <v>5</v>
      </c>
      <c r="E384" t="s">
        <v>306</v>
      </c>
      <c r="F384">
        <v>91.141000000000005</v>
      </c>
      <c r="G384">
        <v>25.457999999999998</v>
      </c>
      <c r="H384">
        <v>18.742000000000001</v>
      </c>
      <c r="I384">
        <v>19.504999999999999</v>
      </c>
      <c r="J384">
        <v>27.436</v>
      </c>
      <c r="K384">
        <v>301.60000000000002</v>
      </c>
      <c r="L384">
        <v>464.06200000000001</v>
      </c>
      <c r="M384" t="b">
        <v>0</v>
      </c>
      <c r="N384" t="b">
        <v>0</v>
      </c>
    </row>
    <row r="385" spans="1:14" x14ac:dyDescent="0.3">
      <c r="A385" t="s">
        <v>512</v>
      </c>
      <c r="B385">
        <v>42</v>
      </c>
      <c r="C385">
        <v>15</v>
      </c>
      <c r="D385">
        <v>6</v>
      </c>
      <c r="E385" t="s">
        <v>332</v>
      </c>
      <c r="F385">
        <v>91.19</v>
      </c>
      <c r="G385">
        <v>25.466999999999999</v>
      </c>
      <c r="H385">
        <v>18.646999999999998</v>
      </c>
      <c r="I385">
        <v>19.623999999999999</v>
      </c>
      <c r="J385">
        <v>27.452000000000002</v>
      </c>
      <c r="K385">
        <v>307.60000000000002</v>
      </c>
      <c r="L385">
        <v>555.25199999999995</v>
      </c>
      <c r="M385" t="b">
        <v>0</v>
      </c>
      <c r="N385" t="b">
        <v>0</v>
      </c>
    </row>
    <row r="386" spans="1:14" x14ac:dyDescent="0.3">
      <c r="A386" t="s">
        <v>512</v>
      </c>
      <c r="B386">
        <v>42</v>
      </c>
      <c r="C386">
        <v>15</v>
      </c>
      <c r="D386">
        <v>7</v>
      </c>
      <c r="E386" t="s">
        <v>397</v>
      </c>
      <c r="F386">
        <v>91.149000000000001</v>
      </c>
      <c r="G386">
        <v>25.385999999999999</v>
      </c>
      <c r="H386">
        <v>18.646999999999998</v>
      </c>
      <c r="I386">
        <v>19.442</v>
      </c>
      <c r="J386">
        <v>27.673999999999999</v>
      </c>
      <c r="K386">
        <v>306.8</v>
      </c>
      <c r="L386">
        <v>646.40099999999995</v>
      </c>
      <c r="M386" t="b">
        <v>0</v>
      </c>
      <c r="N386" t="b">
        <v>0</v>
      </c>
    </row>
    <row r="387" spans="1:14" x14ac:dyDescent="0.3">
      <c r="A387" t="s">
        <v>512</v>
      </c>
      <c r="B387">
        <v>42</v>
      </c>
      <c r="C387">
        <v>15</v>
      </c>
      <c r="D387">
        <v>8</v>
      </c>
      <c r="E387" t="s">
        <v>398</v>
      </c>
      <c r="F387">
        <v>91.299000000000007</v>
      </c>
      <c r="G387">
        <v>25.597999999999999</v>
      </c>
      <c r="H387">
        <v>18.724</v>
      </c>
      <c r="I387">
        <v>19.385000000000002</v>
      </c>
      <c r="J387">
        <v>27.591999999999999</v>
      </c>
      <c r="K387">
        <v>303.3</v>
      </c>
      <c r="L387">
        <v>737.7</v>
      </c>
      <c r="M387" t="b">
        <v>0</v>
      </c>
      <c r="N387" t="b">
        <v>0</v>
      </c>
    </row>
    <row r="388" spans="1:14" x14ac:dyDescent="0.3">
      <c r="A388" t="s">
        <v>512</v>
      </c>
      <c r="B388">
        <v>42</v>
      </c>
      <c r="C388">
        <v>15</v>
      </c>
      <c r="D388">
        <v>9</v>
      </c>
      <c r="E388" t="s">
        <v>399</v>
      </c>
      <c r="F388">
        <v>90.962999999999994</v>
      </c>
      <c r="G388">
        <v>25.446000000000002</v>
      </c>
      <c r="H388">
        <v>18.649999999999999</v>
      </c>
      <c r="I388">
        <v>19.427</v>
      </c>
      <c r="J388">
        <v>27.44</v>
      </c>
      <c r="K388">
        <v>305.89999999999998</v>
      </c>
      <c r="L388">
        <v>828.66300000000001</v>
      </c>
      <c r="M388" t="b">
        <v>0</v>
      </c>
      <c r="N388" t="b">
        <v>0</v>
      </c>
    </row>
    <row r="389" spans="1:14" x14ac:dyDescent="0.3">
      <c r="A389" t="s">
        <v>512</v>
      </c>
      <c r="B389">
        <v>42</v>
      </c>
      <c r="C389">
        <v>15</v>
      </c>
      <c r="D389">
        <v>10</v>
      </c>
      <c r="E389" t="s">
        <v>400</v>
      </c>
      <c r="F389">
        <v>91.227999999999994</v>
      </c>
      <c r="G389">
        <v>25.506</v>
      </c>
      <c r="H389">
        <v>18.876999999999999</v>
      </c>
      <c r="I389">
        <v>19.423999999999999</v>
      </c>
      <c r="J389">
        <v>27.420999999999999</v>
      </c>
      <c r="K389">
        <v>305.89999999999998</v>
      </c>
      <c r="L389">
        <v>919.89099999999996</v>
      </c>
      <c r="M389" t="b">
        <v>0</v>
      </c>
      <c r="N389" t="b">
        <v>0</v>
      </c>
    </row>
    <row r="390" spans="1:14" x14ac:dyDescent="0.3">
      <c r="A390" t="s">
        <v>512</v>
      </c>
      <c r="B390">
        <v>42</v>
      </c>
      <c r="C390">
        <v>15</v>
      </c>
      <c r="D390">
        <v>11</v>
      </c>
      <c r="E390" t="s">
        <v>401</v>
      </c>
      <c r="F390">
        <v>90.953999999999994</v>
      </c>
      <c r="G390">
        <v>25.324000000000002</v>
      </c>
      <c r="H390">
        <v>18.917999999999999</v>
      </c>
      <c r="I390">
        <v>19.364999999999998</v>
      </c>
      <c r="J390">
        <v>27.347000000000001</v>
      </c>
      <c r="K390">
        <v>307.60000000000002</v>
      </c>
      <c r="L390">
        <v>1010.845</v>
      </c>
      <c r="M390" t="b">
        <v>0</v>
      </c>
      <c r="N390" t="b">
        <v>0</v>
      </c>
    </row>
    <row r="391" spans="1:14" x14ac:dyDescent="0.3">
      <c r="A391" t="s">
        <v>512</v>
      </c>
      <c r="B391">
        <v>42</v>
      </c>
      <c r="C391">
        <v>15</v>
      </c>
      <c r="D391">
        <v>12</v>
      </c>
      <c r="E391" t="s">
        <v>329</v>
      </c>
      <c r="F391">
        <v>91.177999999999997</v>
      </c>
      <c r="G391">
        <v>25.684999999999999</v>
      </c>
      <c r="H391">
        <v>18.748999999999999</v>
      </c>
      <c r="I391">
        <v>19.375</v>
      </c>
      <c r="J391">
        <v>27.369</v>
      </c>
      <c r="K391">
        <v>307.60000000000002</v>
      </c>
      <c r="L391">
        <v>1102.0229999999999</v>
      </c>
      <c r="M391" t="b">
        <v>0</v>
      </c>
      <c r="N391" t="b">
        <v>0</v>
      </c>
    </row>
    <row r="392" spans="1:14" x14ac:dyDescent="0.3">
      <c r="A392" t="s">
        <v>512</v>
      </c>
      <c r="B392">
        <v>42</v>
      </c>
      <c r="C392">
        <v>15</v>
      </c>
      <c r="D392">
        <v>13</v>
      </c>
      <c r="E392" t="s">
        <v>402</v>
      </c>
      <c r="F392">
        <v>91.356999999999999</v>
      </c>
      <c r="G392">
        <v>25.396000000000001</v>
      </c>
      <c r="H392">
        <v>18.754000000000001</v>
      </c>
      <c r="I392">
        <v>19.773</v>
      </c>
      <c r="J392">
        <v>27.434000000000001</v>
      </c>
      <c r="K392">
        <v>305.89999999999998</v>
      </c>
      <c r="L392">
        <v>1193.3800000000001</v>
      </c>
      <c r="M392" t="b">
        <v>0</v>
      </c>
      <c r="N392" t="b">
        <v>0</v>
      </c>
    </row>
    <row r="393" spans="1:14" x14ac:dyDescent="0.3">
      <c r="A393" t="s">
        <v>512</v>
      </c>
      <c r="B393">
        <v>42</v>
      </c>
      <c r="C393">
        <v>15</v>
      </c>
      <c r="D393">
        <v>14</v>
      </c>
      <c r="E393" t="s">
        <v>403</v>
      </c>
      <c r="F393">
        <v>92.417000000000002</v>
      </c>
      <c r="G393">
        <v>26.38</v>
      </c>
      <c r="H393">
        <v>18.794</v>
      </c>
      <c r="I393">
        <v>19.739000000000001</v>
      </c>
      <c r="J393">
        <v>27.504000000000001</v>
      </c>
      <c r="K393">
        <v>308.5</v>
      </c>
      <c r="L393">
        <v>1285.797</v>
      </c>
      <c r="M393" t="b">
        <v>0</v>
      </c>
      <c r="N393" t="b">
        <v>0</v>
      </c>
    </row>
    <row r="394" spans="1:14" x14ac:dyDescent="0.3">
      <c r="A394" t="s">
        <v>512</v>
      </c>
      <c r="B394">
        <v>42</v>
      </c>
      <c r="C394">
        <v>15</v>
      </c>
      <c r="D394">
        <v>15</v>
      </c>
      <c r="E394" t="s">
        <v>404</v>
      </c>
      <c r="F394">
        <v>91.159000000000006</v>
      </c>
      <c r="G394">
        <v>25.370999999999999</v>
      </c>
      <c r="H394">
        <v>18.811</v>
      </c>
      <c r="I394">
        <v>19.561</v>
      </c>
      <c r="J394">
        <v>27.416</v>
      </c>
      <c r="K394">
        <v>305.89999999999998</v>
      </c>
      <c r="L394">
        <v>1376.9559999999999</v>
      </c>
      <c r="M394" t="b">
        <v>0</v>
      </c>
      <c r="N394" t="b">
        <v>0</v>
      </c>
    </row>
    <row r="395" spans="1:14" x14ac:dyDescent="0.3">
      <c r="A395" t="s">
        <v>512</v>
      </c>
      <c r="B395">
        <v>42</v>
      </c>
      <c r="C395">
        <v>15</v>
      </c>
      <c r="D395">
        <v>16</v>
      </c>
      <c r="E395" t="s">
        <v>405</v>
      </c>
      <c r="F395">
        <v>91.233999999999995</v>
      </c>
      <c r="G395">
        <v>25.472999999999999</v>
      </c>
      <c r="H395">
        <v>18.806000000000001</v>
      </c>
      <c r="I395">
        <v>19.5</v>
      </c>
      <c r="J395">
        <v>27.454999999999998</v>
      </c>
      <c r="K395">
        <v>305.89999999999998</v>
      </c>
      <c r="L395">
        <v>1468.19</v>
      </c>
      <c r="M395" t="b">
        <v>0</v>
      </c>
      <c r="N395" t="b">
        <v>0</v>
      </c>
    </row>
    <row r="396" spans="1:14" x14ac:dyDescent="0.3">
      <c r="A396" t="s">
        <v>512</v>
      </c>
      <c r="B396">
        <v>42</v>
      </c>
      <c r="C396">
        <v>15</v>
      </c>
      <c r="D396">
        <v>17</v>
      </c>
      <c r="E396" t="s">
        <v>406</v>
      </c>
      <c r="F396">
        <v>91.453999999999994</v>
      </c>
      <c r="G396">
        <v>25.481999999999999</v>
      </c>
      <c r="H396">
        <v>18.841999999999999</v>
      </c>
      <c r="I396">
        <v>19.530999999999999</v>
      </c>
      <c r="J396">
        <v>27.599</v>
      </c>
      <c r="K396">
        <v>307.60000000000002</v>
      </c>
      <c r="L396">
        <v>1559.644</v>
      </c>
      <c r="M396" t="b">
        <v>0</v>
      </c>
      <c r="N396" t="b">
        <v>0</v>
      </c>
    </row>
    <row r="397" spans="1:14" x14ac:dyDescent="0.3">
      <c r="A397" t="s">
        <v>512</v>
      </c>
      <c r="B397">
        <v>42</v>
      </c>
      <c r="C397">
        <v>15</v>
      </c>
      <c r="D397">
        <v>18</v>
      </c>
      <c r="E397" t="s">
        <v>407</v>
      </c>
      <c r="F397">
        <v>91.481999999999999</v>
      </c>
      <c r="G397">
        <v>25.454000000000001</v>
      </c>
      <c r="H397">
        <v>18.791</v>
      </c>
      <c r="I397">
        <v>19.597999999999999</v>
      </c>
      <c r="J397">
        <v>27.638999999999999</v>
      </c>
      <c r="K397">
        <v>305</v>
      </c>
      <c r="L397">
        <v>1651.126</v>
      </c>
      <c r="M397" t="b">
        <v>0</v>
      </c>
      <c r="N397" t="b">
        <v>0</v>
      </c>
    </row>
    <row r="398" spans="1:14" x14ac:dyDescent="0.3">
      <c r="A398" t="s">
        <v>512</v>
      </c>
      <c r="B398">
        <v>42</v>
      </c>
      <c r="C398">
        <v>15</v>
      </c>
      <c r="D398">
        <v>19</v>
      </c>
      <c r="E398" t="s">
        <v>408</v>
      </c>
      <c r="F398">
        <v>91.691999999999993</v>
      </c>
      <c r="G398">
        <v>25.545999999999999</v>
      </c>
      <c r="H398">
        <v>18.974</v>
      </c>
      <c r="I398">
        <v>19.526</v>
      </c>
      <c r="J398">
        <v>27.646000000000001</v>
      </c>
      <c r="K398">
        <v>308.5</v>
      </c>
      <c r="L398">
        <v>1742.818</v>
      </c>
      <c r="M398" t="b">
        <v>0</v>
      </c>
      <c r="N398" t="b">
        <v>0</v>
      </c>
    </row>
    <row r="399" spans="1:14" x14ac:dyDescent="0.3">
      <c r="A399" t="s">
        <v>512</v>
      </c>
      <c r="B399">
        <v>42</v>
      </c>
      <c r="C399">
        <v>15</v>
      </c>
      <c r="D399">
        <v>20</v>
      </c>
      <c r="E399" t="s">
        <v>409</v>
      </c>
      <c r="F399">
        <v>92.01</v>
      </c>
      <c r="G399">
        <v>25.655999999999999</v>
      </c>
      <c r="H399">
        <v>18.972000000000001</v>
      </c>
      <c r="I399">
        <v>19.626999999999999</v>
      </c>
      <c r="J399">
        <v>27.754999999999999</v>
      </c>
      <c r="K399">
        <v>307.60000000000002</v>
      </c>
      <c r="L399">
        <v>1834.828</v>
      </c>
      <c r="M399" t="b">
        <v>0</v>
      </c>
      <c r="N399" t="b">
        <v>0</v>
      </c>
    </row>
    <row r="400" spans="1:14" x14ac:dyDescent="0.3">
      <c r="A400" t="s">
        <v>512</v>
      </c>
      <c r="B400">
        <v>42</v>
      </c>
      <c r="C400">
        <v>15</v>
      </c>
      <c r="D400">
        <v>21</v>
      </c>
      <c r="E400" t="s">
        <v>410</v>
      </c>
      <c r="F400">
        <v>92.45</v>
      </c>
      <c r="G400">
        <v>25.937999999999999</v>
      </c>
      <c r="H400">
        <v>18.972999999999999</v>
      </c>
      <c r="I400">
        <v>19.722999999999999</v>
      </c>
      <c r="J400">
        <v>27.815999999999999</v>
      </c>
      <c r="K400">
        <v>294.2</v>
      </c>
      <c r="L400">
        <v>1927.278</v>
      </c>
      <c r="M400" t="b">
        <v>0</v>
      </c>
      <c r="N400" t="b">
        <v>0</v>
      </c>
    </row>
    <row r="401" spans="1:14" x14ac:dyDescent="0.3">
      <c r="A401" t="s">
        <v>512</v>
      </c>
      <c r="B401">
        <v>42</v>
      </c>
      <c r="C401">
        <v>15</v>
      </c>
      <c r="D401">
        <v>22</v>
      </c>
      <c r="E401" t="s">
        <v>411</v>
      </c>
      <c r="F401">
        <v>91.753</v>
      </c>
      <c r="G401">
        <v>25.491</v>
      </c>
      <c r="H401">
        <v>19.010999999999999</v>
      </c>
      <c r="I401">
        <v>19.582000000000001</v>
      </c>
      <c r="J401">
        <v>27.669</v>
      </c>
      <c r="K401">
        <v>306.8</v>
      </c>
      <c r="L401">
        <v>2019.0309999999999</v>
      </c>
      <c r="M401" t="b">
        <v>0</v>
      </c>
      <c r="N401" t="b">
        <v>0</v>
      </c>
    </row>
    <row r="402" spans="1:14" x14ac:dyDescent="0.3">
      <c r="A402" t="s">
        <v>512</v>
      </c>
      <c r="B402">
        <v>42</v>
      </c>
      <c r="C402">
        <v>15</v>
      </c>
      <c r="D402">
        <v>23</v>
      </c>
      <c r="E402" t="s">
        <v>412</v>
      </c>
      <c r="F402">
        <v>91.650999999999996</v>
      </c>
      <c r="G402">
        <v>25.506</v>
      </c>
      <c r="H402">
        <v>18.919</v>
      </c>
      <c r="I402">
        <v>19.548999999999999</v>
      </c>
      <c r="J402">
        <v>27.677</v>
      </c>
      <c r="K402">
        <v>305</v>
      </c>
      <c r="L402">
        <v>2110.6819999999998</v>
      </c>
      <c r="M402" t="b">
        <v>0</v>
      </c>
      <c r="N402" t="b">
        <v>0</v>
      </c>
    </row>
    <row r="403" spans="1:14" x14ac:dyDescent="0.3">
      <c r="A403" t="s">
        <v>512</v>
      </c>
      <c r="B403">
        <v>42</v>
      </c>
      <c r="C403">
        <v>15</v>
      </c>
      <c r="D403">
        <v>24</v>
      </c>
      <c r="E403" t="s">
        <v>413</v>
      </c>
      <c r="F403">
        <v>91.977000000000004</v>
      </c>
      <c r="G403">
        <v>25.654</v>
      </c>
      <c r="H403">
        <v>19.006</v>
      </c>
      <c r="I403">
        <v>19.622</v>
      </c>
      <c r="J403">
        <v>27.695</v>
      </c>
      <c r="K403">
        <v>304.2</v>
      </c>
      <c r="L403">
        <v>2202.6590000000001</v>
      </c>
      <c r="M403" t="b">
        <v>0</v>
      </c>
      <c r="N403" t="b">
        <v>0</v>
      </c>
    </row>
    <row r="404" spans="1:14" x14ac:dyDescent="0.3">
      <c r="A404" t="s">
        <v>512</v>
      </c>
      <c r="B404">
        <v>42</v>
      </c>
      <c r="C404">
        <v>15</v>
      </c>
      <c r="D404">
        <v>25</v>
      </c>
      <c r="E404" t="s">
        <v>414</v>
      </c>
      <c r="F404">
        <v>91.816999999999993</v>
      </c>
      <c r="G404">
        <v>25.51</v>
      </c>
      <c r="H404">
        <v>18.920000000000002</v>
      </c>
      <c r="I404">
        <v>19.670000000000002</v>
      </c>
      <c r="J404">
        <v>27.716999999999999</v>
      </c>
      <c r="K404">
        <v>308.5</v>
      </c>
      <c r="L404">
        <v>2294.4760000000001</v>
      </c>
      <c r="M404" t="b">
        <v>0</v>
      </c>
      <c r="N404" t="b">
        <v>0</v>
      </c>
    </row>
    <row r="405" spans="1:14" x14ac:dyDescent="0.3">
      <c r="A405" t="s">
        <v>512</v>
      </c>
      <c r="B405">
        <v>42</v>
      </c>
      <c r="C405">
        <v>15</v>
      </c>
      <c r="D405">
        <v>26</v>
      </c>
      <c r="E405" t="s">
        <v>415</v>
      </c>
      <c r="F405">
        <v>92</v>
      </c>
      <c r="G405">
        <v>25.584</v>
      </c>
      <c r="H405">
        <v>19.033000000000001</v>
      </c>
      <c r="I405">
        <v>19.646999999999998</v>
      </c>
      <c r="J405">
        <v>27.736000000000001</v>
      </c>
      <c r="K405">
        <v>305.89999999999998</v>
      </c>
      <c r="L405">
        <v>2386.4760000000001</v>
      </c>
      <c r="M405" t="b">
        <v>0</v>
      </c>
      <c r="N405" t="b">
        <v>0</v>
      </c>
    </row>
    <row r="406" spans="1:14" x14ac:dyDescent="0.3">
      <c r="A406" t="s">
        <v>512</v>
      </c>
      <c r="B406">
        <v>42</v>
      </c>
      <c r="C406">
        <v>15</v>
      </c>
      <c r="D406">
        <v>27</v>
      </c>
      <c r="E406" t="s">
        <v>416</v>
      </c>
      <c r="F406">
        <v>91.768000000000001</v>
      </c>
      <c r="G406">
        <v>25.565000000000001</v>
      </c>
      <c r="H406">
        <v>18.893999999999998</v>
      </c>
      <c r="I406">
        <v>19.59</v>
      </c>
      <c r="J406">
        <v>27.719000000000001</v>
      </c>
      <c r="K406">
        <v>305.89999999999998</v>
      </c>
      <c r="L406">
        <v>2478.2440000000001</v>
      </c>
      <c r="M406" t="b">
        <v>0</v>
      </c>
      <c r="N406" t="b">
        <v>0</v>
      </c>
    </row>
    <row r="407" spans="1:14" x14ac:dyDescent="0.3">
      <c r="A407" t="s">
        <v>513</v>
      </c>
      <c r="B407">
        <v>11</v>
      </c>
      <c r="C407">
        <v>16</v>
      </c>
      <c r="D407">
        <v>1</v>
      </c>
      <c r="E407" t="s">
        <v>419</v>
      </c>
      <c r="F407">
        <v>98.988</v>
      </c>
      <c r="G407">
        <v>31.195</v>
      </c>
      <c r="H407">
        <v>19.725000000000001</v>
      </c>
      <c r="I407">
        <v>19.888000000000002</v>
      </c>
      <c r="J407">
        <v>28.18</v>
      </c>
      <c r="K407">
        <v>272.7</v>
      </c>
      <c r="L407">
        <v>98.988</v>
      </c>
      <c r="M407" t="b">
        <v>0</v>
      </c>
      <c r="N407" t="b">
        <v>0</v>
      </c>
    </row>
    <row r="408" spans="1:14" x14ac:dyDescent="0.3">
      <c r="A408" t="s">
        <v>513</v>
      </c>
      <c r="B408">
        <v>11</v>
      </c>
      <c r="C408">
        <v>16</v>
      </c>
      <c r="D408">
        <v>2</v>
      </c>
      <c r="E408" t="s">
        <v>420</v>
      </c>
      <c r="F408">
        <v>92.031999999999996</v>
      </c>
      <c r="G408">
        <v>26.04</v>
      </c>
      <c r="H408">
        <v>19.001999999999999</v>
      </c>
      <c r="I408">
        <v>19.45</v>
      </c>
      <c r="J408">
        <v>27.54</v>
      </c>
      <c r="K408">
        <v>311.2</v>
      </c>
      <c r="L408">
        <v>191.02</v>
      </c>
      <c r="M408" t="b">
        <v>0</v>
      </c>
      <c r="N408" t="b">
        <v>0</v>
      </c>
    </row>
    <row r="409" spans="1:14" x14ac:dyDescent="0.3">
      <c r="A409" t="s">
        <v>513</v>
      </c>
      <c r="B409">
        <v>11</v>
      </c>
      <c r="C409">
        <v>16</v>
      </c>
      <c r="D409">
        <v>3</v>
      </c>
      <c r="E409" t="s">
        <v>421</v>
      </c>
      <c r="F409">
        <v>91.593999999999994</v>
      </c>
      <c r="G409">
        <v>25.593</v>
      </c>
      <c r="H409">
        <v>19.052</v>
      </c>
      <c r="I409">
        <v>19.472999999999999</v>
      </c>
      <c r="J409">
        <v>27.475999999999999</v>
      </c>
      <c r="K409">
        <v>308.5</v>
      </c>
      <c r="L409">
        <v>282.61399999999998</v>
      </c>
      <c r="M409" t="b">
        <v>0</v>
      </c>
      <c r="N409" t="b">
        <v>0</v>
      </c>
    </row>
    <row r="410" spans="1:14" x14ac:dyDescent="0.3">
      <c r="A410" t="s">
        <v>513</v>
      </c>
      <c r="B410">
        <v>11</v>
      </c>
      <c r="C410">
        <v>16</v>
      </c>
      <c r="D410">
        <v>4</v>
      </c>
      <c r="E410" t="s">
        <v>422</v>
      </c>
      <c r="F410">
        <v>91.254000000000005</v>
      </c>
      <c r="G410">
        <v>25.448</v>
      </c>
      <c r="H410">
        <v>18.989000000000001</v>
      </c>
      <c r="I410">
        <v>19.402000000000001</v>
      </c>
      <c r="J410">
        <v>27.414999999999999</v>
      </c>
      <c r="K410">
        <v>305</v>
      </c>
      <c r="L410">
        <v>373.86799999999999</v>
      </c>
      <c r="M410" t="b">
        <v>1</v>
      </c>
      <c r="N410" t="b">
        <v>0</v>
      </c>
    </row>
    <row r="411" spans="1:14" x14ac:dyDescent="0.3">
      <c r="A411" t="s">
        <v>513</v>
      </c>
      <c r="B411">
        <v>11</v>
      </c>
      <c r="C411">
        <v>16</v>
      </c>
      <c r="D411">
        <v>5</v>
      </c>
      <c r="E411" t="s">
        <v>423</v>
      </c>
      <c r="F411">
        <v>91.138999999999996</v>
      </c>
      <c r="G411">
        <v>25.306000000000001</v>
      </c>
      <c r="H411">
        <v>19.109000000000002</v>
      </c>
      <c r="I411">
        <v>19.396000000000001</v>
      </c>
      <c r="J411">
        <v>27.327999999999999</v>
      </c>
      <c r="K411">
        <v>305.89999999999998</v>
      </c>
      <c r="L411">
        <v>465.00700000000001</v>
      </c>
      <c r="M411" t="b">
        <v>0</v>
      </c>
      <c r="N411" t="b">
        <v>0</v>
      </c>
    </row>
    <row r="412" spans="1:14" x14ac:dyDescent="0.3">
      <c r="A412" t="s">
        <v>513</v>
      </c>
      <c r="B412">
        <v>11</v>
      </c>
      <c r="C412">
        <v>16</v>
      </c>
      <c r="D412">
        <v>6</v>
      </c>
      <c r="E412" t="s">
        <v>424</v>
      </c>
      <c r="F412">
        <v>90.97</v>
      </c>
      <c r="G412">
        <v>25.33</v>
      </c>
      <c r="H412">
        <v>18.943999999999999</v>
      </c>
      <c r="I412">
        <v>19.401</v>
      </c>
      <c r="J412">
        <v>27.295000000000002</v>
      </c>
      <c r="K412">
        <v>307.60000000000002</v>
      </c>
      <c r="L412">
        <v>555.97699999999998</v>
      </c>
      <c r="M412" t="b">
        <v>0</v>
      </c>
      <c r="N412" t="b">
        <v>0</v>
      </c>
    </row>
    <row r="413" spans="1:14" x14ac:dyDescent="0.3">
      <c r="A413" t="s">
        <v>513</v>
      </c>
      <c r="B413">
        <v>11</v>
      </c>
      <c r="C413">
        <v>16</v>
      </c>
      <c r="D413">
        <v>7</v>
      </c>
      <c r="E413" t="s">
        <v>425</v>
      </c>
      <c r="F413">
        <v>91.302999999999997</v>
      </c>
      <c r="G413">
        <v>25.349</v>
      </c>
      <c r="H413">
        <v>18.809999999999999</v>
      </c>
      <c r="I413">
        <v>19.448</v>
      </c>
      <c r="J413">
        <v>27.696000000000002</v>
      </c>
      <c r="K413">
        <v>304.2</v>
      </c>
      <c r="L413">
        <v>647.28</v>
      </c>
      <c r="M413" t="b">
        <v>1</v>
      </c>
      <c r="N413" t="b">
        <v>0</v>
      </c>
    </row>
    <row r="414" spans="1:14" x14ac:dyDescent="0.3">
      <c r="A414" t="s">
        <v>513</v>
      </c>
      <c r="B414">
        <v>11</v>
      </c>
      <c r="C414">
        <v>16</v>
      </c>
      <c r="D414">
        <v>8</v>
      </c>
      <c r="E414" t="s">
        <v>426</v>
      </c>
      <c r="F414">
        <v>91.103999999999999</v>
      </c>
      <c r="G414">
        <v>25.335000000000001</v>
      </c>
      <c r="H414">
        <v>18.876999999999999</v>
      </c>
      <c r="I414">
        <v>19.459</v>
      </c>
      <c r="J414">
        <v>27.433</v>
      </c>
      <c r="K414">
        <v>310.3</v>
      </c>
      <c r="L414">
        <v>738.38400000000001</v>
      </c>
      <c r="M414" t="b">
        <v>0</v>
      </c>
      <c r="N414" t="b">
        <v>0</v>
      </c>
    </row>
    <row r="415" spans="1:14" x14ac:dyDescent="0.3">
      <c r="A415" t="s">
        <v>513</v>
      </c>
      <c r="B415">
        <v>11</v>
      </c>
      <c r="C415">
        <v>16</v>
      </c>
      <c r="D415">
        <v>9</v>
      </c>
      <c r="E415" t="s">
        <v>330</v>
      </c>
      <c r="F415">
        <v>91.14</v>
      </c>
      <c r="G415">
        <v>25.390999999999998</v>
      </c>
      <c r="H415">
        <v>18.882000000000001</v>
      </c>
      <c r="I415">
        <v>19.468</v>
      </c>
      <c r="J415">
        <v>27.399000000000001</v>
      </c>
      <c r="K415">
        <v>311.2</v>
      </c>
      <c r="L415">
        <v>829.524</v>
      </c>
      <c r="M415" t="b">
        <v>0</v>
      </c>
      <c r="N415" t="b">
        <v>0</v>
      </c>
    </row>
    <row r="416" spans="1:14" x14ac:dyDescent="0.3">
      <c r="A416" t="s">
        <v>513</v>
      </c>
      <c r="B416">
        <v>11</v>
      </c>
      <c r="C416">
        <v>16</v>
      </c>
      <c r="D416">
        <v>10</v>
      </c>
      <c r="E416" t="s">
        <v>427</v>
      </c>
      <c r="F416">
        <v>91.146000000000001</v>
      </c>
      <c r="G416">
        <v>25.363</v>
      </c>
      <c r="H416">
        <v>18.945</v>
      </c>
      <c r="I416">
        <v>19.393999999999998</v>
      </c>
      <c r="J416">
        <v>27.443999999999999</v>
      </c>
      <c r="K416">
        <v>307.60000000000002</v>
      </c>
      <c r="L416">
        <v>920.67</v>
      </c>
      <c r="M416" t="b">
        <v>0</v>
      </c>
      <c r="N416" t="b">
        <v>0</v>
      </c>
    </row>
    <row r="417" spans="1:14" x14ac:dyDescent="0.3">
      <c r="A417" t="s">
        <v>513</v>
      </c>
      <c r="B417">
        <v>11</v>
      </c>
      <c r="C417">
        <v>16</v>
      </c>
      <c r="D417">
        <v>11</v>
      </c>
      <c r="E417" t="s">
        <v>428</v>
      </c>
      <c r="F417">
        <v>91.471000000000004</v>
      </c>
      <c r="G417">
        <v>25.302</v>
      </c>
      <c r="H417">
        <v>19.251000000000001</v>
      </c>
      <c r="I417">
        <v>19.483000000000001</v>
      </c>
      <c r="J417">
        <v>27.434999999999999</v>
      </c>
      <c r="K417">
        <v>311.2</v>
      </c>
      <c r="L417">
        <v>1012.141</v>
      </c>
      <c r="M417" t="b">
        <v>0</v>
      </c>
      <c r="N417" t="b">
        <v>0</v>
      </c>
    </row>
    <row r="418" spans="1:14" x14ac:dyDescent="0.3">
      <c r="A418" t="s">
        <v>513</v>
      </c>
      <c r="B418">
        <v>11</v>
      </c>
      <c r="C418">
        <v>16</v>
      </c>
      <c r="D418">
        <v>12</v>
      </c>
      <c r="E418" t="s">
        <v>429</v>
      </c>
      <c r="F418">
        <v>91.117999999999995</v>
      </c>
      <c r="G418">
        <v>25.331</v>
      </c>
      <c r="H418">
        <v>18.96</v>
      </c>
      <c r="I418">
        <v>19.422000000000001</v>
      </c>
      <c r="J418">
        <v>27.405000000000001</v>
      </c>
      <c r="K418">
        <v>308.5</v>
      </c>
      <c r="L418">
        <v>1103.259</v>
      </c>
      <c r="M418" t="b">
        <v>0</v>
      </c>
      <c r="N418" t="b">
        <v>0</v>
      </c>
    </row>
    <row r="419" spans="1:14" x14ac:dyDescent="0.3">
      <c r="A419" t="s">
        <v>513</v>
      </c>
      <c r="B419">
        <v>11</v>
      </c>
      <c r="C419">
        <v>16</v>
      </c>
      <c r="D419">
        <v>13</v>
      </c>
      <c r="E419" t="s">
        <v>430</v>
      </c>
      <c r="F419">
        <v>91.477000000000004</v>
      </c>
      <c r="G419">
        <v>25.323</v>
      </c>
      <c r="H419">
        <v>19.024999999999999</v>
      </c>
      <c r="I419">
        <v>19.71</v>
      </c>
      <c r="J419">
        <v>27.419</v>
      </c>
      <c r="K419">
        <v>309.39999999999998</v>
      </c>
      <c r="L419">
        <v>1194.7360000000001</v>
      </c>
      <c r="M419" t="b">
        <v>0</v>
      </c>
      <c r="N419" t="b">
        <v>0</v>
      </c>
    </row>
    <row r="420" spans="1:14" x14ac:dyDescent="0.3">
      <c r="A420" t="s">
        <v>513</v>
      </c>
      <c r="B420">
        <v>11</v>
      </c>
      <c r="C420">
        <v>16</v>
      </c>
      <c r="D420">
        <v>14</v>
      </c>
      <c r="E420" t="s">
        <v>384</v>
      </c>
      <c r="F420">
        <v>91.525000000000006</v>
      </c>
      <c r="G420">
        <v>25.484000000000002</v>
      </c>
      <c r="H420">
        <v>18.922999999999998</v>
      </c>
      <c r="I420">
        <v>19.622</v>
      </c>
      <c r="J420">
        <v>27.495999999999999</v>
      </c>
      <c r="K420">
        <v>313</v>
      </c>
      <c r="L420">
        <v>1286.261</v>
      </c>
      <c r="M420" t="b">
        <v>0</v>
      </c>
      <c r="N420" t="b">
        <v>0</v>
      </c>
    </row>
    <row r="421" spans="1:14" x14ac:dyDescent="0.3">
      <c r="A421" t="s">
        <v>513</v>
      </c>
      <c r="B421">
        <v>11</v>
      </c>
      <c r="C421">
        <v>16</v>
      </c>
      <c r="D421">
        <v>15</v>
      </c>
      <c r="E421" t="s">
        <v>431</v>
      </c>
      <c r="F421">
        <v>92.087000000000003</v>
      </c>
      <c r="G421">
        <v>25.355</v>
      </c>
      <c r="H421">
        <v>19.265999999999998</v>
      </c>
      <c r="I421">
        <v>19.824999999999999</v>
      </c>
      <c r="J421">
        <v>27.640999999999998</v>
      </c>
      <c r="K421">
        <v>310.3</v>
      </c>
      <c r="L421">
        <v>1378.348</v>
      </c>
      <c r="M421" t="b">
        <v>1</v>
      </c>
      <c r="N421" t="b">
        <v>0</v>
      </c>
    </row>
    <row r="422" spans="1:14" x14ac:dyDescent="0.3">
      <c r="A422" t="s">
        <v>513</v>
      </c>
      <c r="B422">
        <v>11</v>
      </c>
      <c r="C422">
        <v>16</v>
      </c>
      <c r="D422">
        <v>16</v>
      </c>
      <c r="E422" t="s">
        <v>432</v>
      </c>
      <c r="F422">
        <v>91.7</v>
      </c>
      <c r="G422">
        <v>25.442</v>
      </c>
      <c r="H422">
        <v>19</v>
      </c>
      <c r="I422">
        <v>19.582999999999998</v>
      </c>
      <c r="J422">
        <v>27.675000000000001</v>
      </c>
      <c r="K422">
        <v>309.39999999999998</v>
      </c>
      <c r="L422">
        <v>1470.048</v>
      </c>
      <c r="M422" t="b">
        <v>0</v>
      </c>
      <c r="N422" t="b">
        <v>0</v>
      </c>
    </row>
    <row r="423" spans="1:14" x14ac:dyDescent="0.3">
      <c r="A423" t="s">
        <v>513</v>
      </c>
      <c r="B423">
        <v>11</v>
      </c>
      <c r="C423">
        <v>16</v>
      </c>
      <c r="D423">
        <v>17</v>
      </c>
      <c r="E423" t="s">
        <v>338</v>
      </c>
      <c r="F423">
        <v>91.635999999999996</v>
      </c>
      <c r="G423">
        <v>25.49</v>
      </c>
      <c r="H423">
        <v>19.03</v>
      </c>
      <c r="I423">
        <v>19.533000000000001</v>
      </c>
      <c r="J423">
        <v>27.582999999999998</v>
      </c>
      <c r="K423">
        <v>310.3</v>
      </c>
      <c r="L423">
        <v>1561.684</v>
      </c>
      <c r="M423" t="b">
        <v>0</v>
      </c>
      <c r="N423" t="b">
        <v>0</v>
      </c>
    </row>
    <row r="424" spans="1:14" x14ac:dyDescent="0.3">
      <c r="A424" t="s">
        <v>513</v>
      </c>
      <c r="B424">
        <v>11</v>
      </c>
      <c r="C424">
        <v>16</v>
      </c>
      <c r="D424">
        <v>18</v>
      </c>
      <c r="E424" t="s">
        <v>433</v>
      </c>
      <c r="F424">
        <v>91.683000000000007</v>
      </c>
      <c r="G424">
        <v>25.488</v>
      </c>
      <c r="H424">
        <v>19.074999999999999</v>
      </c>
      <c r="I424">
        <v>19.579999999999998</v>
      </c>
      <c r="J424">
        <v>27.54</v>
      </c>
      <c r="K424">
        <v>311.2</v>
      </c>
      <c r="L424">
        <v>1653.367</v>
      </c>
      <c r="M424" t="b">
        <v>0</v>
      </c>
      <c r="N424" t="b">
        <v>0</v>
      </c>
    </row>
    <row r="425" spans="1:14" x14ac:dyDescent="0.3">
      <c r="A425" t="s">
        <v>513</v>
      </c>
      <c r="B425">
        <v>11</v>
      </c>
      <c r="C425">
        <v>16</v>
      </c>
      <c r="D425">
        <v>19</v>
      </c>
      <c r="E425" t="s">
        <v>434</v>
      </c>
      <c r="F425">
        <v>91.563999999999993</v>
      </c>
      <c r="G425">
        <v>25.350999999999999</v>
      </c>
      <c r="H425">
        <v>18.957000000000001</v>
      </c>
      <c r="I425">
        <v>19.581</v>
      </c>
      <c r="J425">
        <v>27.675000000000001</v>
      </c>
      <c r="K425">
        <v>312.10000000000002</v>
      </c>
      <c r="L425">
        <v>1744.931</v>
      </c>
      <c r="M425" t="b">
        <v>0</v>
      </c>
      <c r="N425" t="b">
        <v>0</v>
      </c>
    </row>
    <row r="426" spans="1:14" x14ac:dyDescent="0.3">
      <c r="A426" t="s">
        <v>513</v>
      </c>
      <c r="B426">
        <v>11</v>
      </c>
      <c r="C426">
        <v>16</v>
      </c>
      <c r="D426">
        <v>20</v>
      </c>
      <c r="E426" t="s">
        <v>435</v>
      </c>
      <c r="F426">
        <v>91.698999999999998</v>
      </c>
      <c r="G426">
        <v>25.449000000000002</v>
      </c>
      <c r="H426">
        <v>19.065000000000001</v>
      </c>
      <c r="I426">
        <v>19.57</v>
      </c>
      <c r="J426">
        <v>27.614999999999998</v>
      </c>
      <c r="K426">
        <v>313</v>
      </c>
      <c r="L426">
        <v>1836.63</v>
      </c>
      <c r="M426" t="b">
        <v>0</v>
      </c>
      <c r="N426" t="b">
        <v>0</v>
      </c>
    </row>
    <row r="427" spans="1:14" x14ac:dyDescent="0.3">
      <c r="A427" t="s">
        <v>513</v>
      </c>
      <c r="B427">
        <v>11</v>
      </c>
      <c r="C427">
        <v>16</v>
      </c>
      <c r="D427">
        <v>21</v>
      </c>
      <c r="E427" t="s">
        <v>436</v>
      </c>
      <c r="F427">
        <v>91.759</v>
      </c>
      <c r="G427">
        <v>25.5</v>
      </c>
      <c r="H427">
        <v>19.102</v>
      </c>
      <c r="I427">
        <v>19.611000000000001</v>
      </c>
      <c r="J427">
        <v>27.545999999999999</v>
      </c>
      <c r="K427">
        <v>311.2</v>
      </c>
      <c r="L427">
        <v>1928.3889999999999</v>
      </c>
      <c r="M427" t="b">
        <v>0</v>
      </c>
      <c r="N427" t="b">
        <v>0</v>
      </c>
    </row>
    <row r="428" spans="1:14" x14ac:dyDescent="0.3">
      <c r="A428" t="s">
        <v>513</v>
      </c>
      <c r="B428">
        <v>11</v>
      </c>
      <c r="C428">
        <v>16</v>
      </c>
      <c r="D428">
        <v>22</v>
      </c>
      <c r="E428" t="s">
        <v>437</v>
      </c>
      <c r="F428">
        <v>91.561000000000007</v>
      </c>
      <c r="G428">
        <v>25.436</v>
      </c>
      <c r="H428">
        <v>19.106000000000002</v>
      </c>
      <c r="I428">
        <v>19.503</v>
      </c>
      <c r="J428">
        <v>27.515999999999998</v>
      </c>
      <c r="K428">
        <v>310.3</v>
      </c>
      <c r="L428">
        <v>2019.95</v>
      </c>
      <c r="M428" t="b">
        <v>0</v>
      </c>
      <c r="N428" t="b">
        <v>0</v>
      </c>
    </row>
    <row r="429" spans="1:14" x14ac:dyDescent="0.3">
      <c r="A429" t="s">
        <v>513</v>
      </c>
      <c r="B429">
        <v>11</v>
      </c>
      <c r="C429">
        <v>16</v>
      </c>
      <c r="D429">
        <v>23</v>
      </c>
      <c r="E429" t="s">
        <v>438</v>
      </c>
      <c r="F429">
        <v>91.569000000000003</v>
      </c>
      <c r="G429">
        <v>25.463999999999999</v>
      </c>
      <c r="H429">
        <v>18.914000000000001</v>
      </c>
      <c r="I429">
        <v>19.568000000000001</v>
      </c>
      <c r="J429">
        <v>27.623000000000001</v>
      </c>
      <c r="K429">
        <v>310.3</v>
      </c>
      <c r="L429">
        <v>2111.5189999999998</v>
      </c>
      <c r="M429" t="b">
        <v>0</v>
      </c>
      <c r="N429" t="b">
        <v>0</v>
      </c>
    </row>
    <row r="430" spans="1:14" x14ac:dyDescent="0.3">
      <c r="A430" t="s">
        <v>513</v>
      </c>
      <c r="B430">
        <v>11</v>
      </c>
      <c r="C430">
        <v>16</v>
      </c>
      <c r="D430">
        <v>24</v>
      </c>
      <c r="E430" t="s">
        <v>439</v>
      </c>
      <c r="F430">
        <v>91.99</v>
      </c>
      <c r="G430">
        <v>25.53</v>
      </c>
      <c r="H430">
        <v>19.097000000000001</v>
      </c>
      <c r="I430">
        <v>19.713999999999999</v>
      </c>
      <c r="J430">
        <v>27.649000000000001</v>
      </c>
      <c r="K430">
        <v>310.3</v>
      </c>
      <c r="L430">
        <v>2203.509</v>
      </c>
      <c r="M430" t="b">
        <v>0</v>
      </c>
      <c r="N430" t="b">
        <v>0</v>
      </c>
    </row>
    <row r="431" spans="1:14" x14ac:dyDescent="0.3">
      <c r="A431" t="s">
        <v>513</v>
      </c>
      <c r="B431">
        <v>11</v>
      </c>
      <c r="C431">
        <v>16</v>
      </c>
      <c r="D431">
        <v>25</v>
      </c>
      <c r="E431" t="s">
        <v>440</v>
      </c>
      <c r="F431">
        <v>92.007999999999996</v>
      </c>
      <c r="G431">
        <v>25.558</v>
      </c>
      <c r="H431">
        <v>19.045000000000002</v>
      </c>
      <c r="I431">
        <v>19.626999999999999</v>
      </c>
      <c r="J431">
        <v>27.777999999999999</v>
      </c>
      <c r="K431">
        <v>311.2</v>
      </c>
      <c r="L431">
        <v>2295.5169999999998</v>
      </c>
      <c r="M431" t="b">
        <v>0</v>
      </c>
      <c r="N431" t="b">
        <v>0</v>
      </c>
    </row>
    <row r="432" spans="1:14" x14ac:dyDescent="0.3">
      <c r="A432" t="s">
        <v>513</v>
      </c>
      <c r="B432">
        <v>11</v>
      </c>
      <c r="C432">
        <v>16</v>
      </c>
      <c r="D432">
        <v>26</v>
      </c>
      <c r="E432" t="s">
        <v>441</v>
      </c>
      <c r="F432">
        <v>92.337999999999994</v>
      </c>
      <c r="G432">
        <v>25.547000000000001</v>
      </c>
      <c r="H432">
        <v>19.184000000000001</v>
      </c>
      <c r="I432">
        <v>19.699000000000002</v>
      </c>
      <c r="J432">
        <v>27.908000000000001</v>
      </c>
      <c r="K432">
        <v>310.3</v>
      </c>
      <c r="L432">
        <v>2387.855</v>
      </c>
      <c r="M432" t="b">
        <v>0</v>
      </c>
      <c r="N432" t="b">
        <v>0</v>
      </c>
    </row>
    <row r="433" spans="1:14" x14ac:dyDescent="0.3">
      <c r="A433" t="s">
        <v>513</v>
      </c>
      <c r="B433">
        <v>11</v>
      </c>
      <c r="C433">
        <v>16</v>
      </c>
      <c r="D433">
        <v>27</v>
      </c>
      <c r="E433" t="s">
        <v>442</v>
      </c>
      <c r="F433">
        <v>92.894999999999996</v>
      </c>
      <c r="G433">
        <v>25.626000000000001</v>
      </c>
      <c r="H433">
        <v>19.295999999999999</v>
      </c>
      <c r="I433">
        <v>19.667000000000002</v>
      </c>
      <c r="J433">
        <v>28.306000000000001</v>
      </c>
      <c r="K433">
        <v>309.39999999999998</v>
      </c>
      <c r="L433">
        <v>2480.75</v>
      </c>
      <c r="M433" t="b">
        <v>0</v>
      </c>
      <c r="N433" t="b">
        <v>0</v>
      </c>
    </row>
    <row r="434" spans="1:14" x14ac:dyDescent="0.3">
      <c r="A434" t="s">
        <v>514</v>
      </c>
      <c r="B434">
        <v>12</v>
      </c>
      <c r="C434">
        <v>17</v>
      </c>
      <c r="D434">
        <v>1</v>
      </c>
      <c r="E434" t="s">
        <v>444</v>
      </c>
      <c r="F434">
        <v>99.495999999999995</v>
      </c>
      <c r="G434">
        <v>31.379000000000001</v>
      </c>
      <c r="H434">
        <v>19.873000000000001</v>
      </c>
      <c r="I434">
        <v>19.998999999999999</v>
      </c>
      <c r="J434">
        <v>28.245000000000001</v>
      </c>
      <c r="K434">
        <v>270.60000000000002</v>
      </c>
      <c r="L434">
        <v>99.495999999999995</v>
      </c>
      <c r="M434" t="b">
        <v>0</v>
      </c>
      <c r="N434" t="b">
        <v>0</v>
      </c>
    </row>
    <row r="435" spans="1:14" x14ac:dyDescent="0.3">
      <c r="A435" t="s">
        <v>514</v>
      </c>
      <c r="B435">
        <v>12</v>
      </c>
      <c r="C435">
        <v>17</v>
      </c>
      <c r="D435">
        <v>2</v>
      </c>
      <c r="E435" t="s">
        <v>445</v>
      </c>
      <c r="F435">
        <v>94.989000000000004</v>
      </c>
      <c r="G435">
        <v>27.722999999999999</v>
      </c>
      <c r="H435">
        <v>19.577000000000002</v>
      </c>
      <c r="I435">
        <v>19.72</v>
      </c>
      <c r="J435">
        <v>27.969000000000001</v>
      </c>
      <c r="K435">
        <v>313</v>
      </c>
      <c r="L435">
        <v>194.48500000000001</v>
      </c>
      <c r="M435" t="b">
        <v>1</v>
      </c>
      <c r="N435" t="b">
        <v>0</v>
      </c>
    </row>
    <row r="436" spans="1:14" x14ac:dyDescent="0.3">
      <c r="A436" t="s">
        <v>514</v>
      </c>
      <c r="B436">
        <v>12</v>
      </c>
      <c r="C436">
        <v>17</v>
      </c>
      <c r="D436">
        <v>3</v>
      </c>
      <c r="E436" t="s">
        <v>446</v>
      </c>
      <c r="F436">
        <v>92.57</v>
      </c>
      <c r="G436">
        <v>25.777000000000001</v>
      </c>
      <c r="H436">
        <v>19.114999999999998</v>
      </c>
      <c r="I436">
        <v>19.716000000000001</v>
      </c>
      <c r="J436">
        <v>27.962</v>
      </c>
      <c r="K436">
        <v>308.5</v>
      </c>
      <c r="L436">
        <v>287.05500000000001</v>
      </c>
      <c r="M436" t="b">
        <v>0</v>
      </c>
      <c r="N436" t="b">
        <v>0</v>
      </c>
    </row>
    <row r="437" spans="1:14" x14ac:dyDescent="0.3">
      <c r="A437" t="s">
        <v>514</v>
      </c>
      <c r="B437">
        <v>12</v>
      </c>
      <c r="C437">
        <v>17</v>
      </c>
      <c r="D437">
        <v>4</v>
      </c>
      <c r="E437" t="s">
        <v>447</v>
      </c>
      <c r="F437">
        <v>92.162000000000006</v>
      </c>
      <c r="G437">
        <v>25.574000000000002</v>
      </c>
      <c r="H437">
        <v>19.2</v>
      </c>
      <c r="I437">
        <v>19.593</v>
      </c>
      <c r="J437">
        <v>27.795000000000002</v>
      </c>
      <c r="K437">
        <v>311.2</v>
      </c>
      <c r="L437">
        <v>379.21699999999998</v>
      </c>
      <c r="M437" t="b">
        <v>0</v>
      </c>
      <c r="N437" t="b">
        <v>0</v>
      </c>
    </row>
    <row r="438" spans="1:14" x14ac:dyDescent="0.3">
      <c r="A438" t="s">
        <v>514</v>
      </c>
      <c r="B438">
        <v>12</v>
      </c>
      <c r="C438">
        <v>17</v>
      </c>
      <c r="D438">
        <v>5</v>
      </c>
      <c r="E438" t="s">
        <v>448</v>
      </c>
      <c r="F438">
        <v>92.27</v>
      </c>
      <c r="G438">
        <v>25.431000000000001</v>
      </c>
      <c r="H438">
        <v>19.369</v>
      </c>
      <c r="I438">
        <v>19.658999999999999</v>
      </c>
      <c r="J438">
        <v>27.811</v>
      </c>
      <c r="K438">
        <v>311.2</v>
      </c>
      <c r="L438">
        <v>471.48700000000002</v>
      </c>
      <c r="M438" t="b">
        <v>1</v>
      </c>
      <c r="N438" t="b">
        <v>0</v>
      </c>
    </row>
    <row r="439" spans="1:14" x14ac:dyDescent="0.3">
      <c r="A439" t="s">
        <v>514</v>
      </c>
      <c r="B439">
        <v>12</v>
      </c>
      <c r="C439">
        <v>17</v>
      </c>
      <c r="D439">
        <v>6</v>
      </c>
      <c r="E439" t="s">
        <v>449</v>
      </c>
      <c r="F439">
        <v>92.617000000000004</v>
      </c>
      <c r="G439">
        <v>25.795000000000002</v>
      </c>
      <c r="H439">
        <v>19.260000000000002</v>
      </c>
      <c r="I439">
        <v>19.545000000000002</v>
      </c>
      <c r="J439">
        <v>28.016999999999999</v>
      </c>
      <c r="K439">
        <v>310.3</v>
      </c>
      <c r="L439">
        <v>564.10400000000004</v>
      </c>
      <c r="M439" t="b">
        <v>0</v>
      </c>
      <c r="N439" t="b">
        <v>0</v>
      </c>
    </row>
    <row r="440" spans="1:14" x14ac:dyDescent="0.3">
      <c r="A440" t="s">
        <v>514</v>
      </c>
      <c r="B440">
        <v>12</v>
      </c>
      <c r="C440">
        <v>17</v>
      </c>
      <c r="D440">
        <v>7</v>
      </c>
      <c r="E440" t="s">
        <v>450</v>
      </c>
      <c r="F440">
        <v>92.616</v>
      </c>
      <c r="G440">
        <v>25.951000000000001</v>
      </c>
      <c r="H440">
        <v>19.120999999999999</v>
      </c>
      <c r="I440">
        <v>19.734999999999999</v>
      </c>
      <c r="J440">
        <v>27.809000000000001</v>
      </c>
      <c r="K440">
        <v>311.2</v>
      </c>
      <c r="L440">
        <v>656.72</v>
      </c>
      <c r="M440" t="b">
        <v>0</v>
      </c>
      <c r="N440" t="b">
        <v>0</v>
      </c>
    </row>
    <row r="441" spans="1:14" x14ac:dyDescent="0.3">
      <c r="A441" t="s">
        <v>514</v>
      </c>
      <c r="B441">
        <v>12</v>
      </c>
      <c r="C441">
        <v>17</v>
      </c>
      <c r="D441">
        <v>8</v>
      </c>
      <c r="E441" t="s">
        <v>451</v>
      </c>
      <c r="F441">
        <v>91.905000000000001</v>
      </c>
      <c r="G441">
        <v>25.462</v>
      </c>
      <c r="H441">
        <v>19.084</v>
      </c>
      <c r="I441">
        <v>19.481999999999999</v>
      </c>
      <c r="J441">
        <v>27.876999999999999</v>
      </c>
      <c r="K441">
        <v>310.3</v>
      </c>
      <c r="L441">
        <v>748.625</v>
      </c>
      <c r="M441" t="b">
        <v>0</v>
      </c>
      <c r="N441" t="b">
        <v>0</v>
      </c>
    </row>
    <row r="442" spans="1:14" x14ac:dyDescent="0.3">
      <c r="A442" t="s">
        <v>514</v>
      </c>
      <c r="B442">
        <v>12</v>
      </c>
      <c r="C442">
        <v>17</v>
      </c>
      <c r="D442">
        <v>9</v>
      </c>
      <c r="E442" t="s">
        <v>452</v>
      </c>
      <c r="F442">
        <v>92.085999999999999</v>
      </c>
      <c r="G442">
        <v>25.460999999999999</v>
      </c>
      <c r="H442">
        <v>18.989000000000001</v>
      </c>
      <c r="I442">
        <v>19.832999999999998</v>
      </c>
      <c r="J442">
        <v>27.803000000000001</v>
      </c>
      <c r="K442">
        <v>310.3</v>
      </c>
      <c r="L442">
        <v>840.71100000000001</v>
      </c>
      <c r="M442" t="b">
        <v>0</v>
      </c>
      <c r="N442" t="b">
        <v>0</v>
      </c>
    </row>
    <row r="443" spans="1:14" x14ac:dyDescent="0.3">
      <c r="A443" t="s">
        <v>514</v>
      </c>
      <c r="B443">
        <v>12</v>
      </c>
      <c r="C443">
        <v>17</v>
      </c>
      <c r="D443">
        <v>10</v>
      </c>
      <c r="E443" t="s">
        <v>453</v>
      </c>
      <c r="F443">
        <v>91.66</v>
      </c>
      <c r="G443">
        <v>25.422999999999998</v>
      </c>
      <c r="H443">
        <v>18.989000000000001</v>
      </c>
      <c r="I443">
        <v>19.568000000000001</v>
      </c>
      <c r="J443">
        <v>27.68</v>
      </c>
      <c r="K443">
        <v>309.39999999999998</v>
      </c>
      <c r="L443">
        <v>932.37099999999998</v>
      </c>
      <c r="M443" t="b">
        <v>0</v>
      </c>
      <c r="N443" t="b">
        <v>0</v>
      </c>
    </row>
    <row r="444" spans="1:14" x14ac:dyDescent="0.3">
      <c r="A444" t="s">
        <v>514</v>
      </c>
      <c r="B444">
        <v>12</v>
      </c>
      <c r="C444">
        <v>17</v>
      </c>
      <c r="D444">
        <v>11</v>
      </c>
      <c r="E444" t="s">
        <v>454</v>
      </c>
      <c r="F444">
        <v>91.754000000000005</v>
      </c>
      <c r="G444">
        <v>25.404</v>
      </c>
      <c r="H444">
        <v>19.042999999999999</v>
      </c>
      <c r="I444">
        <v>19.591999999999999</v>
      </c>
      <c r="J444">
        <v>27.715</v>
      </c>
      <c r="K444">
        <v>311.2</v>
      </c>
      <c r="L444">
        <v>1024.125</v>
      </c>
      <c r="M444" t="b">
        <v>0</v>
      </c>
      <c r="N444" t="b">
        <v>0</v>
      </c>
    </row>
    <row r="445" spans="1:14" x14ac:dyDescent="0.3">
      <c r="A445" t="s">
        <v>514</v>
      </c>
      <c r="B445">
        <v>12</v>
      </c>
      <c r="C445">
        <v>17</v>
      </c>
      <c r="D445">
        <v>12</v>
      </c>
      <c r="E445" t="s">
        <v>455</v>
      </c>
      <c r="F445">
        <v>91.69</v>
      </c>
      <c r="G445">
        <v>25.37</v>
      </c>
      <c r="H445">
        <v>18.931999999999999</v>
      </c>
      <c r="I445">
        <v>19.599</v>
      </c>
      <c r="J445">
        <v>27.789000000000001</v>
      </c>
      <c r="K445">
        <v>310.3</v>
      </c>
      <c r="L445">
        <v>1115.8150000000001</v>
      </c>
      <c r="M445" t="b">
        <v>0</v>
      </c>
      <c r="N445" t="b">
        <v>0</v>
      </c>
    </row>
    <row r="446" spans="1:14" x14ac:dyDescent="0.3">
      <c r="A446" t="s">
        <v>514</v>
      </c>
      <c r="B446">
        <v>12</v>
      </c>
      <c r="C446">
        <v>17</v>
      </c>
      <c r="D446">
        <v>13</v>
      </c>
      <c r="E446" t="s">
        <v>456</v>
      </c>
      <c r="F446">
        <v>92.459000000000003</v>
      </c>
      <c r="G446">
        <v>25.469000000000001</v>
      </c>
      <c r="H446">
        <v>19.222000000000001</v>
      </c>
      <c r="I446">
        <v>19.530999999999999</v>
      </c>
      <c r="J446">
        <v>28.236999999999998</v>
      </c>
      <c r="K446">
        <v>311.2</v>
      </c>
      <c r="L446">
        <v>1208.2739999999999</v>
      </c>
      <c r="M446" t="b">
        <v>0</v>
      </c>
      <c r="N446" t="b">
        <v>0</v>
      </c>
    </row>
    <row r="447" spans="1:14" x14ac:dyDescent="0.3">
      <c r="A447" t="s">
        <v>514</v>
      </c>
      <c r="B447">
        <v>12</v>
      </c>
      <c r="C447">
        <v>17</v>
      </c>
      <c r="D447">
        <v>14</v>
      </c>
      <c r="E447" t="s">
        <v>457</v>
      </c>
      <c r="F447">
        <v>92.537000000000006</v>
      </c>
      <c r="G447">
        <v>25.538</v>
      </c>
      <c r="H447">
        <v>19.420000000000002</v>
      </c>
      <c r="I447">
        <v>19.623999999999999</v>
      </c>
      <c r="J447">
        <v>27.954999999999998</v>
      </c>
      <c r="K447">
        <v>310.3</v>
      </c>
      <c r="L447">
        <v>1300.8109999999999</v>
      </c>
      <c r="M447" t="b">
        <v>0</v>
      </c>
      <c r="N447" t="b">
        <v>0</v>
      </c>
    </row>
    <row r="448" spans="1:14" x14ac:dyDescent="0.3">
      <c r="A448" t="s">
        <v>514</v>
      </c>
      <c r="B448">
        <v>12</v>
      </c>
      <c r="C448">
        <v>17</v>
      </c>
      <c r="D448">
        <v>15</v>
      </c>
      <c r="E448" t="s">
        <v>458</v>
      </c>
      <c r="F448">
        <v>91.974999999999994</v>
      </c>
      <c r="G448">
        <v>25.486000000000001</v>
      </c>
      <c r="H448">
        <v>19.119</v>
      </c>
      <c r="I448">
        <v>19.641999999999999</v>
      </c>
      <c r="J448">
        <v>27.728000000000002</v>
      </c>
      <c r="K448">
        <v>309.39999999999998</v>
      </c>
      <c r="L448">
        <v>1392.7860000000001</v>
      </c>
      <c r="M448" t="b">
        <v>0</v>
      </c>
      <c r="N448" t="b">
        <v>0</v>
      </c>
    </row>
    <row r="449" spans="1:14" x14ac:dyDescent="0.3">
      <c r="A449" t="s">
        <v>514</v>
      </c>
      <c r="B449">
        <v>12</v>
      </c>
      <c r="C449">
        <v>17</v>
      </c>
      <c r="D449">
        <v>16</v>
      </c>
      <c r="E449" t="s">
        <v>459</v>
      </c>
      <c r="F449">
        <v>91.575000000000003</v>
      </c>
      <c r="G449">
        <v>25.361999999999998</v>
      </c>
      <c r="H449">
        <v>18.966999999999999</v>
      </c>
      <c r="I449">
        <v>19.553999999999998</v>
      </c>
      <c r="J449">
        <v>27.692</v>
      </c>
      <c r="K449">
        <v>310.3</v>
      </c>
      <c r="L449">
        <v>1484.3610000000001</v>
      </c>
      <c r="M449" t="b">
        <v>0</v>
      </c>
      <c r="N449" t="b">
        <v>0</v>
      </c>
    </row>
    <row r="450" spans="1:14" x14ac:dyDescent="0.3">
      <c r="A450" t="s">
        <v>514</v>
      </c>
      <c r="B450">
        <v>12</v>
      </c>
      <c r="C450">
        <v>17</v>
      </c>
      <c r="D450">
        <v>17</v>
      </c>
      <c r="E450" t="s">
        <v>460</v>
      </c>
      <c r="F450">
        <v>91.436999999999998</v>
      </c>
      <c r="G450">
        <v>25.411000000000001</v>
      </c>
      <c r="H450">
        <v>18.934000000000001</v>
      </c>
      <c r="I450">
        <v>19.488</v>
      </c>
      <c r="J450">
        <v>27.603999999999999</v>
      </c>
      <c r="K450">
        <v>310.3</v>
      </c>
      <c r="L450">
        <v>1575.798</v>
      </c>
      <c r="M450" t="b">
        <v>0</v>
      </c>
      <c r="N450" t="b">
        <v>0</v>
      </c>
    </row>
    <row r="451" spans="1:14" x14ac:dyDescent="0.3">
      <c r="A451" t="s">
        <v>514</v>
      </c>
      <c r="B451">
        <v>12</v>
      </c>
      <c r="C451">
        <v>17</v>
      </c>
      <c r="D451">
        <v>18</v>
      </c>
      <c r="E451" t="s">
        <v>461</v>
      </c>
      <c r="F451">
        <v>91.581999999999994</v>
      </c>
      <c r="G451">
        <v>25.356000000000002</v>
      </c>
      <c r="H451">
        <v>19.018999999999998</v>
      </c>
      <c r="I451">
        <v>19.491</v>
      </c>
      <c r="J451">
        <v>27.716000000000001</v>
      </c>
      <c r="K451">
        <v>311.2</v>
      </c>
      <c r="L451">
        <v>1667.38</v>
      </c>
      <c r="M451" t="b">
        <v>0</v>
      </c>
      <c r="N451" t="b">
        <v>0</v>
      </c>
    </row>
    <row r="452" spans="1:14" x14ac:dyDescent="0.3">
      <c r="A452" t="s">
        <v>514</v>
      </c>
      <c r="B452">
        <v>12</v>
      </c>
      <c r="C452">
        <v>17</v>
      </c>
      <c r="D452">
        <v>19</v>
      </c>
      <c r="E452" t="s">
        <v>462</v>
      </c>
      <c r="F452">
        <v>91.686999999999998</v>
      </c>
      <c r="G452">
        <v>25.353999999999999</v>
      </c>
      <c r="H452">
        <v>19.099</v>
      </c>
      <c r="I452">
        <v>19.507999999999999</v>
      </c>
      <c r="J452">
        <v>27.725999999999999</v>
      </c>
      <c r="K452">
        <v>312.10000000000002</v>
      </c>
      <c r="L452">
        <v>1759.067</v>
      </c>
      <c r="M452" t="b">
        <v>0</v>
      </c>
      <c r="N452" t="b">
        <v>0</v>
      </c>
    </row>
    <row r="453" spans="1:14" x14ac:dyDescent="0.3">
      <c r="A453" t="s">
        <v>514</v>
      </c>
      <c r="B453">
        <v>12</v>
      </c>
      <c r="C453">
        <v>17</v>
      </c>
      <c r="D453">
        <v>20</v>
      </c>
      <c r="E453" t="s">
        <v>463</v>
      </c>
      <c r="F453">
        <v>92.391999999999996</v>
      </c>
      <c r="G453">
        <v>25.445</v>
      </c>
      <c r="H453">
        <v>19.452000000000002</v>
      </c>
      <c r="I453">
        <v>19.782</v>
      </c>
      <c r="J453">
        <v>27.713000000000001</v>
      </c>
      <c r="K453">
        <v>312.10000000000002</v>
      </c>
      <c r="L453">
        <v>1851.4590000000001</v>
      </c>
      <c r="M453" t="b">
        <v>0</v>
      </c>
      <c r="N453" t="b">
        <v>0</v>
      </c>
    </row>
    <row r="454" spans="1:14" x14ac:dyDescent="0.3">
      <c r="A454" t="s">
        <v>514</v>
      </c>
      <c r="B454">
        <v>12</v>
      </c>
      <c r="C454">
        <v>17</v>
      </c>
      <c r="D454">
        <v>21</v>
      </c>
      <c r="E454" t="s">
        <v>338</v>
      </c>
      <c r="F454">
        <v>91.635999999999996</v>
      </c>
      <c r="G454">
        <v>25.282</v>
      </c>
      <c r="H454">
        <v>19.033999999999999</v>
      </c>
      <c r="I454">
        <v>19.672999999999998</v>
      </c>
      <c r="J454">
        <v>27.646999999999998</v>
      </c>
      <c r="K454">
        <v>312.10000000000002</v>
      </c>
      <c r="L454">
        <v>1943.095</v>
      </c>
      <c r="M454" t="b">
        <v>0</v>
      </c>
      <c r="N454" t="b">
        <v>0</v>
      </c>
    </row>
    <row r="455" spans="1:14" x14ac:dyDescent="0.3">
      <c r="A455" t="s">
        <v>514</v>
      </c>
      <c r="B455">
        <v>12</v>
      </c>
      <c r="C455">
        <v>17</v>
      </c>
      <c r="D455">
        <v>22</v>
      </c>
      <c r="E455" t="s">
        <v>464</v>
      </c>
      <c r="F455">
        <v>91.432000000000002</v>
      </c>
      <c r="G455">
        <v>25.331</v>
      </c>
      <c r="H455">
        <v>18.981999999999999</v>
      </c>
      <c r="I455">
        <v>19.513999999999999</v>
      </c>
      <c r="J455">
        <v>27.605</v>
      </c>
      <c r="K455">
        <v>310.3</v>
      </c>
      <c r="L455">
        <v>2034.527</v>
      </c>
      <c r="M455" t="b">
        <v>0</v>
      </c>
      <c r="N455" t="b">
        <v>0</v>
      </c>
    </row>
    <row r="456" spans="1:14" x14ac:dyDescent="0.3">
      <c r="A456" t="s">
        <v>514</v>
      </c>
      <c r="B456">
        <v>12</v>
      </c>
      <c r="C456">
        <v>17</v>
      </c>
      <c r="D456">
        <v>23</v>
      </c>
      <c r="E456" t="s">
        <v>465</v>
      </c>
      <c r="F456">
        <v>91.483000000000004</v>
      </c>
      <c r="G456">
        <v>25.29</v>
      </c>
      <c r="H456">
        <v>18.963999999999999</v>
      </c>
      <c r="I456">
        <v>19.577000000000002</v>
      </c>
      <c r="J456">
        <v>27.652000000000001</v>
      </c>
      <c r="K456">
        <v>312.10000000000002</v>
      </c>
      <c r="L456">
        <v>2126.0100000000002</v>
      </c>
      <c r="M456" t="b">
        <v>1</v>
      </c>
      <c r="N456" t="b">
        <v>0</v>
      </c>
    </row>
    <row r="457" spans="1:14" x14ac:dyDescent="0.3">
      <c r="A457" t="s">
        <v>514</v>
      </c>
      <c r="B457">
        <v>12</v>
      </c>
      <c r="C457">
        <v>17</v>
      </c>
      <c r="D457">
        <v>24</v>
      </c>
      <c r="E457" t="s">
        <v>466</v>
      </c>
      <c r="F457">
        <v>91.61</v>
      </c>
      <c r="G457">
        <v>25.369</v>
      </c>
      <c r="H457">
        <v>18.978999999999999</v>
      </c>
      <c r="I457">
        <v>19.547000000000001</v>
      </c>
      <c r="J457">
        <v>27.715</v>
      </c>
      <c r="K457">
        <v>311.2</v>
      </c>
      <c r="L457">
        <v>2217.62</v>
      </c>
      <c r="M457" t="b">
        <v>0</v>
      </c>
      <c r="N457" t="b">
        <v>0</v>
      </c>
    </row>
    <row r="458" spans="1:14" x14ac:dyDescent="0.3">
      <c r="A458" t="s">
        <v>514</v>
      </c>
      <c r="B458">
        <v>12</v>
      </c>
      <c r="C458">
        <v>17</v>
      </c>
      <c r="D458">
        <v>25</v>
      </c>
      <c r="E458" t="s">
        <v>467</v>
      </c>
      <c r="F458">
        <v>92.108999999999995</v>
      </c>
      <c r="G458">
        <v>25.437000000000001</v>
      </c>
      <c r="H458">
        <v>18.994</v>
      </c>
      <c r="I458">
        <v>19.553000000000001</v>
      </c>
      <c r="J458">
        <v>28.125</v>
      </c>
      <c r="K458">
        <v>311.2</v>
      </c>
      <c r="L458">
        <v>2309.7289999999998</v>
      </c>
      <c r="M458" t="b">
        <v>1</v>
      </c>
      <c r="N458" t="b">
        <v>0</v>
      </c>
    </row>
    <row r="459" spans="1:14" x14ac:dyDescent="0.3">
      <c r="A459" t="s">
        <v>514</v>
      </c>
      <c r="B459">
        <v>12</v>
      </c>
      <c r="C459">
        <v>17</v>
      </c>
      <c r="D459">
        <v>26</v>
      </c>
      <c r="E459" t="s">
        <v>468</v>
      </c>
      <c r="F459">
        <v>94.816000000000003</v>
      </c>
      <c r="G459">
        <v>25.658000000000001</v>
      </c>
      <c r="H459">
        <v>19.68</v>
      </c>
      <c r="I459">
        <v>20.521999999999998</v>
      </c>
      <c r="J459">
        <v>28.956</v>
      </c>
      <c r="K459">
        <v>309.39999999999998</v>
      </c>
      <c r="L459">
        <v>2404.5450000000001</v>
      </c>
      <c r="M459" t="b">
        <v>0</v>
      </c>
      <c r="N459" t="b">
        <v>0</v>
      </c>
    </row>
    <row r="460" spans="1:14" x14ac:dyDescent="0.3">
      <c r="A460" t="s">
        <v>514</v>
      </c>
      <c r="B460">
        <v>12</v>
      </c>
      <c r="C460">
        <v>17</v>
      </c>
      <c r="D460">
        <v>27</v>
      </c>
      <c r="E460" t="s">
        <v>469</v>
      </c>
      <c r="F460">
        <v>97.632999999999996</v>
      </c>
      <c r="G460">
        <v>26.515999999999998</v>
      </c>
      <c r="H460">
        <v>20.216999999999999</v>
      </c>
      <c r="I460">
        <v>20.81</v>
      </c>
      <c r="J460">
        <v>30.09</v>
      </c>
      <c r="K460">
        <v>308.5</v>
      </c>
      <c r="L460">
        <v>2502.1779999999999</v>
      </c>
      <c r="M460" t="b">
        <v>0</v>
      </c>
      <c r="N460" t="b">
        <v>0</v>
      </c>
    </row>
    <row r="461" spans="1:14" x14ac:dyDescent="0.3">
      <c r="A461" t="s">
        <v>515</v>
      </c>
      <c r="B461">
        <v>7</v>
      </c>
      <c r="C461">
        <v>18</v>
      </c>
      <c r="D461">
        <v>1</v>
      </c>
      <c r="E461" t="s">
        <v>472</v>
      </c>
      <c r="F461">
        <v>98.99</v>
      </c>
      <c r="G461">
        <v>31.274000000000001</v>
      </c>
      <c r="H461">
        <v>19.731999999999999</v>
      </c>
      <c r="I461">
        <v>20.033999999999999</v>
      </c>
      <c r="J461">
        <v>27.95</v>
      </c>
      <c r="K461">
        <v>269.3</v>
      </c>
      <c r="L461">
        <v>98.99</v>
      </c>
      <c r="M461" t="b">
        <v>0</v>
      </c>
      <c r="N461" t="b">
        <v>0</v>
      </c>
    </row>
    <row r="462" spans="1:14" x14ac:dyDescent="0.3">
      <c r="A462" t="s">
        <v>515</v>
      </c>
      <c r="B462">
        <v>7</v>
      </c>
      <c r="C462">
        <v>18</v>
      </c>
      <c r="D462">
        <v>2</v>
      </c>
      <c r="E462" t="s">
        <v>473</v>
      </c>
      <c r="F462">
        <v>92.334000000000003</v>
      </c>
      <c r="G462">
        <v>25.911000000000001</v>
      </c>
      <c r="H462">
        <v>19.163</v>
      </c>
      <c r="I462">
        <v>19.677</v>
      </c>
      <c r="J462">
        <v>27.582999999999998</v>
      </c>
      <c r="K462">
        <v>298.3</v>
      </c>
      <c r="L462">
        <v>191.32400000000001</v>
      </c>
      <c r="M462" t="b">
        <v>0</v>
      </c>
      <c r="N462" t="b">
        <v>0</v>
      </c>
    </row>
    <row r="463" spans="1:14" x14ac:dyDescent="0.3">
      <c r="A463" t="s">
        <v>515</v>
      </c>
      <c r="B463">
        <v>7</v>
      </c>
      <c r="C463">
        <v>18</v>
      </c>
      <c r="D463">
        <v>3</v>
      </c>
      <c r="E463" t="s">
        <v>474</v>
      </c>
      <c r="F463">
        <v>92.081999999999994</v>
      </c>
      <c r="G463">
        <v>25.574999999999999</v>
      </c>
      <c r="H463">
        <v>19.062000000000001</v>
      </c>
      <c r="I463">
        <v>19.535</v>
      </c>
      <c r="J463">
        <v>27.91</v>
      </c>
      <c r="K463">
        <v>305</v>
      </c>
      <c r="L463">
        <v>283.40600000000001</v>
      </c>
      <c r="M463" t="b">
        <v>0</v>
      </c>
      <c r="N463" t="b">
        <v>0</v>
      </c>
    </row>
    <row r="464" spans="1:14" x14ac:dyDescent="0.3">
      <c r="A464" t="s">
        <v>515</v>
      </c>
      <c r="B464">
        <v>7</v>
      </c>
      <c r="C464">
        <v>18</v>
      </c>
      <c r="D464">
        <v>4</v>
      </c>
      <c r="E464" t="s">
        <v>345</v>
      </c>
      <c r="F464">
        <v>91.585999999999999</v>
      </c>
      <c r="G464">
        <v>25.577999999999999</v>
      </c>
      <c r="H464">
        <v>18.983000000000001</v>
      </c>
      <c r="I464">
        <v>19.463000000000001</v>
      </c>
      <c r="J464">
        <v>27.562000000000001</v>
      </c>
      <c r="K464">
        <v>309.39999999999998</v>
      </c>
      <c r="L464">
        <v>374.99200000000002</v>
      </c>
      <c r="M464" t="b">
        <v>0</v>
      </c>
      <c r="N464" t="b">
        <v>0</v>
      </c>
    </row>
    <row r="465" spans="1:14" x14ac:dyDescent="0.3">
      <c r="A465" t="s">
        <v>515</v>
      </c>
      <c r="B465">
        <v>7</v>
      </c>
      <c r="C465">
        <v>18</v>
      </c>
      <c r="D465">
        <v>5</v>
      </c>
      <c r="E465" t="s">
        <v>475</v>
      </c>
      <c r="F465">
        <v>92.052999999999997</v>
      </c>
      <c r="G465">
        <v>25.431999999999999</v>
      </c>
      <c r="H465">
        <v>19.088000000000001</v>
      </c>
      <c r="I465">
        <v>19.896999999999998</v>
      </c>
      <c r="J465">
        <v>27.635999999999999</v>
      </c>
      <c r="K465">
        <v>309.39999999999998</v>
      </c>
      <c r="L465">
        <v>467.04500000000002</v>
      </c>
      <c r="M465" t="b">
        <v>0</v>
      </c>
      <c r="N465" t="b">
        <v>0</v>
      </c>
    </row>
    <row r="466" spans="1:14" x14ac:dyDescent="0.3">
      <c r="A466" t="s">
        <v>515</v>
      </c>
      <c r="B466">
        <v>7</v>
      </c>
      <c r="C466">
        <v>18</v>
      </c>
      <c r="D466">
        <v>6</v>
      </c>
      <c r="E466" t="s">
        <v>476</v>
      </c>
      <c r="F466">
        <v>91.879000000000005</v>
      </c>
      <c r="G466">
        <v>25.585999999999999</v>
      </c>
      <c r="H466">
        <v>19.018000000000001</v>
      </c>
      <c r="I466">
        <v>19.567</v>
      </c>
      <c r="J466">
        <v>27.707999999999998</v>
      </c>
      <c r="K466">
        <v>306.8</v>
      </c>
      <c r="L466">
        <v>558.92399999999998</v>
      </c>
      <c r="M466" t="b">
        <v>0</v>
      </c>
      <c r="N466" t="b">
        <v>0</v>
      </c>
    </row>
    <row r="467" spans="1:14" x14ac:dyDescent="0.3">
      <c r="A467" t="s">
        <v>515</v>
      </c>
      <c r="B467">
        <v>7</v>
      </c>
      <c r="C467">
        <v>18</v>
      </c>
      <c r="D467">
        <v>7</v>
      </c>
      <c r="E467" t="s">
        <v>477</v>
      </c>
      <c r="F467">
        <v>92.021000000000001</v>
      </c>
      <c r="G467">
        <v>25.587</v>
      </c>
      <c r="H467">
        <v>18.96</v>
      </c>
      <c r="I467">
        <v>19.588000000000001</v>
      </c>
      <c r="J467">
        <v>27.885999999999999</v>
      </c>
      <c r="K467">
        <v>305.89999999999998</v>
      </c>
      <c r="L467">
        <v>650.94500000000005</v>
      </c>
      <c r="M467" t="b">
        <v>1</v>
      </c>
      <c r="N467" t="b">
        <v>0</v>
      </c>
    </row>
    <row r="468" spans="1:14" x14ac:dyDescent="0.3">
      <c r="A468" t="s">
        <v>515</v>
      </c>
      <c r="B468">
        <v>7</v>
      </c>
      <c r="C468">
        <v>18</v>
      </c>
      <c r="D468">
        <v>8</v>
      </c>
      <c r="E468" t="s">
        <v>478</v>
      </c>
      <c r="F468">
        <v>94.760999999999996</v>
      </c>
      <c r="G468">
        <v>25.649000000000001</v>
      </c>
      <c r="H468">
        <v>19.231000000000002</v>
      </c>
      <c r="I468">
        <v>20.207000000000001</v>
      </c>
      <c r="J468">
        <v>29.673999999999999</v>
      </c>
      <c r="K468">
        <v>305.89999999999998</v>
      </c>
      <c r="L468">
        <v>745.70600000000002</v>
      </c>
      <c r="M468" t="b">
        <v>0</v>
      </c>
      <c r="N468" t="b">
        <v>1</v>
      </c>
    </row>
    <row r="469" spans="1:14" x14ac:dyDescent="0.3">
      <c r="A469" t="s">
        <v>516</v>
      </c>
      <c r="B469">
        <v>63</v>
      </c>
      <c r="C469">
        <v>19</v>
      </c>
      <c r="D469">
        <v>1</v>
      </c>
      <c r="E469" t="s">
        <v>480</v>
      </c>
      <c r="F469">
        <v>97.314999999999998</v>
      </c>
      <c r="G469">
        <v>30.359000000000002</v>
      </c>
      <c r="H469">
        <v>19.373000000000001</v>
      </c>
      <c r="I469">
        <v>19.776</v>
      </c>
      <c r="J469">
        <v>27.806999999999999</v>
      </c>
      <c r="K469">
        <v>270.60000000000002</v>
      </c>
      <c r="L469">
        <v>97.314999999999998</v>
      </c>
      <c r="M469" t="b">
        <v>0</v>
      </c>
      <c r="N469" t="b">
        <v>0</v>
      </c>
    </row>
    <row r="470" spans="1:14" x14ac:dyDescent="0.3">
      <c r="A470" t="s">
        <v>516</v>
      </c>
      <c r="B470">
        <v>63</v>
      </c>
      <c r="C470">
        <v>19</v>
      </c>
      <c r="D470">
        <v>2</v>
      </c>
      <c r="E470" t="s">
        <v>481</v>
      </c>
      <c r="F470">
        <v>91.945999999999998</v>
      </c>
      <c r="G470">
        <v>25.724</v>
      </c>
      <c r="H470">
        <v>19.097000000000001</v>
      </c>
      <c r="I470">
        <v>19.509</v>
      </c>
      <c r="J470">
        <v>27.616</v>
      </c>
      <c r="K470">
        <v>300</v>
      </c>
      <c r="L470">
        <v>189.261</v>
      </c>
      <c r="M470" t="b">
        <v>0</v>
      </c>
      <c r="N470" t="b">
        <v>0</v>
      </c>
    </row>
    <row r="471" spans="1:14" x14ac:dyDescent="0.3">
      <c r="A471" t="s">
        <v>516</v>
      </c>
      <c r="B471">
        <v>63</v>
      </c>
      <c r="C471">
        <v>19</v>
      </c>
      <c r="D471">
        <v>3</v>
      </c>
      <c r="E471" t="s">
        <v>482</v>
      </c>
      <c r="F471">
        <v>91.337999999999994</v>
      </c>
      <c r="G471">
        <v>25.376999999999999</v>
      </c>
      <c r="H471">
        <v>18.800999999999998</v>
      </c>
      <c r="I471">
        <v>19.53</v>
      </c>
      <c r="J471">
        <v>27.63</v>
      </c>
      <c r="K471">
        <v>312.10000000000002</v>
      </c>
      <c r="L471">
        <v>280.59899999999999</v>
      </c>
      <c r="M471" t="b">
        <v>0</v>
      </c>
      <c r="N471" t="b">
        <v>0</v>
      </c>
    </row>
    <row r="472" spans="1:14" x14ac:dyDescent="0.3">
      <c r="A472" t="s">
        <v>516</v>
      </c>
      <c r="B472">
        <v>63</v>
      </c>
      <c r="C472">
        <v>19</v>
      </c>
      <c r="D472">
        <v>4</v>
      </c>
      <c r="E472" t="s">
        <v>483</v>
      </c>
      <c r="F472">
        <v>91.277000000000001</v>
      </c>
      <c r="G472">
        <v>25.283000000000001</v>
      </c>
      <c r="H472">
        <v>18.933</v>
      </c>
      <c r="I472">
        <v>19.498000000000001</v>
      </c>
      <c r="J472">
        <v>27.562999999999999</v>
      </c>
      <c r="K472">
        <v>316.7</v>
      </c>
      <c r="L472">
        <v>371.87599999999998</v>
      </c>
      <c r="M472" t="b">
        <v>0</v>
      </c>
      <c r="N472" t="b">
        <v>0</v>
      </c>
    </row>
    <row r="473" spans="1:14" x14ac:dyDescent="0.3">
      <c r="A473" t="s">
        <v>516</v>
      </c>
      <c r="B473">
        <v>63</v>
      </c>
      <c r="C473">
        <v>19</v>
      </c>
      <c r="D473">
        <v>5</v>
      </c>
      <c r="E473" t="s">
        <v>484</v>
      </c>
      <c r="F473">
        <v>91.072000000000003</v>
      </c>
      <c r="G473">
        <v>25.193999999999999</v>
      </c>
      <c r="H473">
        <v>18.818000000000001</v>
      </c>
      <c r="I473">
        <v>19.431000000000001</v>
      </c>
      <c r="J473">
        <v>27.629000000000001</v>
      </c>
      <c r="K473">
        <v>316.7</v>
      </c>
      <c r="L473">
        <v>462.94799999999998</v>
      </c>
      <c r="M473" t="b">
        <v>0</v>
      </c>
      <c r="N473" t="b">
        <v>0</v>
      </c>
    </row>
    <row r="474" spans="1:14" x14ac:dyDescent="0.3">
      <c r="A474" t="s">
        <v>517</v>
      </c>
      <c r="B474">
        <v>43</v>
      </c>
      <c r="C474">
        <v>20</v>
      </c>
      <c r="D474">
        <v>1</v>
      </c>
      <c r="E474" t="s">
        <v>486</v>
      </c>
      <c r="F474">
        <v>98.194999999999993</v>
      </c>
      <c r="G474">
        <v>31.114999999999998</v>
      </c>
      <c r="H474">
        <v>19.548999999999999</v>
      </c>
      <c r="I474">
        <v>19.745999999999999</v>
      </c>
      <c r="J474">
        <v>27.785</v>
      </c>
      <c r="K474">
        <v>266.60000000000002</v>
      </c>
      <c r="L474">
        <v>98.194999999999993</v>
      </c>
      <c r="M474" t="b">
        <v>0</v>
      </c>
      <c r="N474" t="b">
        <v>0</v>
      </c>
    </row>
    <row r="475" spans="1:14" x14ac:dyDescent="0.3">
      <c r="A475" t="s">
        <v>517</v>
      </c>
      <c r="B475">
        <v>43</v>
      </c>
      <c r="C475">
        <v>20</v>
      </c>
      <c r="D475">
        <v>2</v>
      </c>
      <c r="E475" t="s">
        <v>487</v>
      </c>
      <c r="F475">
        <v>92.129000000000005</v>
      </c>
      <c r="G475">
        <v>25.806000000000001</v>
      </c>
      <c r="H475">
        <v>19.052</v>
      </c>
      <c r="I475">
        <v>19.593</v>
      </c>
      <c r="J475">
        <v>27.678000000000001</v>
      </c>
      <c r="K475">
        <v>300</v>
      </c>
      <c r="L475">
        <v>190.32400000000001</v>
      </c>
      <c r="M475" t="b">
        <v>0</v>
      </c>
      <c r="N475" t="b">
        <v>0</v>
      </c>
    </row>
    <row r="476" spans="1:14" x14ac:dyDescent="0.3">
      <c r="A476" t="s">
        <v>517</v>
      </c>
      <c r="B476">
        <v>43</v>
      </c>
      <c r="C476">
        <v>20</v>
      </c>
      <c r="D476">
        <v>3</v>
      </c>
      <c r="E476" t="s">
        <v>488</v>
      </c>
      <c r="F476">
        <v>91.823999999999998</v>
      </c>
      <c r="G476">
        <v>25.736999999999998</v>
      </c>
      <c r="H476">
        <v>18.989000000000001</v>
      </c>
      <c r="I476">
        <v>19.475999999999999</v>
      </c>
      <c r="J476">
        <v>27.622</v>
      </c>
      <c r="K476">
        <v>291.10000000000002</v>
      </c>
      <c r="L476">
        <v>282.14800000000002</v>
      </c>
      <c r="M476" t="b">
        <v>0</v>
      </c>
      <c r="N476" t="b">
        <v>0</v>
      </c>
    </row>
    <row r="477" spans="1:14" x14ac:dyDescent="0.3">
      <c r="A477" t="s">
        <v>517</v>
      </c>
      <c r="B477">
        <v>43</v>
      </c>
      <c r="C477">
        <v>20</v>
      </c>
      <c r="D477">
        <v>4</v>
      </c>
      <c r="E477" t="s">
        <v>489</v>
      </c>
      <c r="F477">
        <v>91.397999999999996</v>
      </c>
      <c r="G477">
        <v>25.539000000000001</v>
      </c>
      <c r="H477">
        <v>18.863</v>
      </c>
      <c r="I477">
        <v>19.536999999999999</v>
      </c>
      <c r="J477">
        <v>27.459</v>
      </c>
      <c r="K477">
        <v>301.60000000000002</v>
      </c>
      <c r="L477">
        <v>373.54599999999999</v>
      </c>
      <c r="M477" t="b">
        <v>0</v>
      </c>
      <c r="N477" t="b">
        <v>0</v>
      </c>
    </row>
    <row r="478" spans="1:14" x14ac:dyDescent="0.3">
      <c r="A478" t="s">
        <v>517</v>
      </c>
      <c r="B478">
        <v>43</v>
      </c>
      <c r="C478">
        <v>20</v>
      </c>
      <c r="D478">
        <v>5</v>
      </c>
      <c r="E478" t="s">
        <v>490</v>
      </c>
      <c r="F478">
        <v>92.043000000000006</v>
      </c>
      <c r="G478">
        <v>25.407</v>
      </c>
      <c r="H478">
        <v>19.640999999999998</v>
      </c>
      <c r="I478">
        <v>19.486999999999998</v>
      </c>
      <c r="J478">
        <v>27.507999999999999</v>
      </c>
      <c r="K478">
        <v>307.60000000000002</v>
      </c>
      <c r="L478">
        <v>465.589</v>
      </c>
      <c r="M478" t="b">
        <v>0</v>
      </c>
      <c r="N478" t="b">
        <v>0</v>
      </c>
    </row>
    <row r="479" spans="1:14" x14ac:dyDescent="0.3">
      <c r="A479" t="s">
        <v>518</v>
      </c>
      <c r="B479">
        <v>54</v>
      </c>
      <c r="C479">
        <v>21</v>
      </c>
      <c r="D479">
        <v>1</v>
      </c>
      <c r="E479" t="s">
        <v>492</v>
      </c>
      <c r="F479">
        <v>95.718999999999994</v>
      </c>
      <c r="G479">
        <v>29.51</v>
      </c>
      <c r="H479">
        <v>19.081</v>
      </c>
      <c r="I479">
        <v>19.581</v>
      </c>
      <c r="J479">
        <v>27.547000000000001</v>
      </c>
      <c r="K479">
        <v>262.7</v>
      </c>
      <c r="L479">
        <v>95.718999999999994</v>
      </c>
      <c r="M479" t="b">
        <v>0</v>
      </c>
      <c r="N479" t="b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0"/>
  <sheetViews>
    <sheetView tabSelected="1" zoomScale="80" zoomScaleNormal="80" workbookViewId="0">
      <pane ySplit="3" topLeftCell="A4" activePane="bottomLeft" state="frozen"/>
      <selection pane="bottomLeft" activeCell="A24" sqref="A24"/>
    </sheetView>
  </sheetViews>
  <sheetFormatPr defaultRowHeight="14.4" x14ac:dyDescent="0.3"/>
  <cols>
    <col min="1" max="1" width="10.6640625" customWidth="1"/>
    <col min="2" max="2" width="26.6640625" customWidth="1"/>
    <col min="3" max="3" width="12.6640625" customWidth="1"/>
    <col min="6" max="26" width="14.6640625" style="8" customWidth="1"/>
  </cols>
  <sheetData>
    <row r="1" spans="1:26" ht="21" x14ac:dyDescent="0.4">
      <c r="A1" s="10" t="s">
        <v>519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x14ac:dyDescent="0.3">
      <c r="A3" s="2" t="s">
        <v>520</v>
      </c>
      <c r="B3" s="2" t="s">
        <v>493</v>
      </c>
      <c r="C3" s="2" t="s">
        <v>521</v>
      </c>
      <c r="E3" s="2" t="s">
        <v>7</v>
      </c>
      <c r="F3" s="2" t="s">
        <v>498</v>
      </c>
      <c r="G3" s="2" t="s">
        <v>499</v>
      </c>
      <c r="H3" s="2" t="s">
        <v>500</v>
      </c>
      <c r="I3" s="2" t="s">
        <v>501</v>
      </c>
      <c r="J3" s="2" t="s">
        <v>502</v>
      </c>
      <c r="K3" s="2" t="s">
        <v>503</v>
      </c>
      <c r="L3" s="2" t="s">
        <v>504</v>
      </c>
      <c r="M3" s="2" t="s">
        <v>505</v>
      </c>
      <c r="N3" s="2" t="s">
        <v>506</v>
      </c>
      <c r="O3" s="2" t="s">
        <v>507</v>
      </c>
      <c r="P3" s="2" t="s">
        <v>508</v>
      </c>
      <c r="Q3" s="2" t="s">
        <v>509</v>
      </c>
      <c r="R3" s="2" t="s">
        <v>510</v>
      </c>
      <c r="S3" s="2" t="s">
        <v>511</v>
      </c>
      <c r="T3" s="2" t="s">
        <v>512</v>
      </c>
      <c r="U3" s="2" t="s">
        <v>513</v>
      </c>
      <c r="V3" s="2" t="s">
        <v>514</v>
      </c>
      <c r="W3" s="2" t="s">
        <v>515</v>
      </c>
      <c r="X3" s="2" t="s">
        <v>516</v>
      </c>
      <c r="Y3" s="2" t="s">
        <v>517</v>
      </c>
      <c r="Z3" s="2" t="s">
        <v>518</v>
      </c>
    </row>
    <row r="4" spans="1:26" x14ac:dyDescent="0.3">
      <c r="A4" s="9" t="b">
        <v>1</v>
      </c>
      <c r="B4" t="s">
        <v>498</v>
      </c>
      <c r="C4" t="s">
        <v>522</v>
      </c>
      <c r="E4" s="4">
        <v>1</v>
      </c>
      <c r="F4" s="7">
        <f>IF($A$4,'Marco Bezzecchi'!J6,NA())</f>
        <v>1.0943750000000001E-3</v>
      </c>
      <c r="G4" s="7">
        <f>IF($A$5,'Raul Fernandez'!J6,NA())</f>
        <v>1.0880092592592591E-3</v>
      </c>
      <c r="H4" s="7">
        <f>IF($A$6,'Jorge Martin'!J6,NA())</f>
        <v>1.110046296296296E-3</v>
      </c>
      <c r="I4" s="7">
        <f>IF($A$7,'Ai Ogura'!J6,NA())</f>
        <v>1.1211574074074071E-3</v>
      </c>
      <c r="J4" s="7">
        <f>IF($A$8,'Pedro Acosta'!J6,NA())</f>
        <v>1.1190972222222221E-3</v>
      </c>
      <c r="K4" s="7">
        <f>IF($A$9,'Marc Marquez'!J6,NA())</f>
        <v>1.10125E-3</v>
      </c>
      <c r="L4" s="7">
        <f>IF($A$10,'Alex Marquez'!J6,NA())</f>
        <v>1.116134259259259E-3</v>
      </c>
      <c r="M4" s="7">
        <f>IF($A$11,'Fabio Di Giannantonio'!J6,NA())</f>
        <v>1.1085879629629629E-3</v>
      </c>
      <c r="N4" s="7">
        <f>IF($A$12,'Fabio Quartararo'!J6,NA())</f>
        <v>1.127430555555556E-3</v>
      </c>
      <c r="O4" s="7">
        <f>IF($A$13,'Enea Bastianini'!J6,NA())</f>
        <v>1.1316087962962959E-3</v>
      </c>
      <c r="P4" s="7">
        <f>IF($A$14,'Brad Binder'!J6,NA())</f>
        <v>1.1296875E-3</v>
      </c>
      <c r="Q4" s="7">
        <f>IF($A$15,'Luca Marini'!J6,NA())</f>
        <v>1.1230092592592589E-3</v>
      </c>
      <c r="R4" s="7">
        <f>IF($A$16,'Johann Zarco'!J6,NA())</f>
        <v>1.132546296296296E-3</v>
      </c>
      <c r="S4" s="7">
        <f>IF($A$17,'Franco Morbidelli'!J6,NA())</f>
        <v>1.1450925925925929E-3</v>
      </c>
      <c r="T4" s="7">
        <f>IF($A$18,'Alex Rins'!J6,NA())</f>
        <v>1.1355324074074069E-3</v>
      </c>
      <c r="U4" s="7">
        <f>IF($A$19,'Diogo Moreira'!J6,NA())</f>
        <v>1.145694444444444E-3</v>
      </c>
      <c r="V4" s="7">
        <f>IF($A$20,'Maverick Viñales'!J6,NA())</f>
        <v>1.151574074074074E-3</v>
      </c>
      <c r="W4" s="7">
        <f>IF($A$21,'Toprak Razgatlioglu'!J6,NA())</f>
        <v>1.1457175925925921E-3</v>
      </c>
      <c r="X4" s="7">
        <f>IF($A$22,'Francesco Bagnaia'!J6,NA())</f>
        <v>1.126331018518518E-3</v>
      </c>
      <c r="Y4" s="7">
        <f>IF($A$23,'Jack Miller'!J6,NA())</f>
        <v>1.136516203703704E-3</v>
      </c>
      <c r="Z4" s="7">
        <f>IF($A$24,'Fermin Aldeguer'!J6,NA())</f>
        <v>1.107858796296296E-3</v>
      </c>
    </row>
    <row r="5" spans="1:26" x14ac:dyDescent="0.3">
      <c r="A5" s="9" t="b">
        <v>1</v>
      </c>
      <c r="B5" t="s">
        <v>499</v>
      </c>
      <c r="C5" t="s">
        <v>523</v>
      </c>
      <c r="E5" s="4">
        <v>2</v>
      </c>
      <c r="F5" s="7">
        <f>IF($A$4,'Marco Bezzecchi'!J7,NA())</f>
        <v>1.050578703703704E-3</v>
      </c>
      <c r="G5" s="7">
        <f>IF($A$5,'Raul Fernandez'!J7,NA())</f>
        <v>1.0465393518518521E-3</v>
      </c>
      <c r="H5" s="7">
        <f>IF($A$6,'Jorge Martin'!J7,NA())</f>
        <v>1.052928240740741E-3</v>
      </c>
      <c r="I5" s="7">
        <f>IF($A$7,'Ai Ogura'!J7,NA())</f>
        <v>1.057013888888889E-3</v>
      </c>
      <c r="J5" s="7">
        <f>IF($A$8,'Pedro Acosta'!J7,NA())</f>
        <v>1.0505555555555561E-3</v>
      </c>
      <c r="K5" s="7">
        <f>IF($A$9,'Marc Marquez'!J7,NA())</f>
        <v>1.0546759259259259E-3</v>
      </c>
      <c r="L5" s="7">
        <f>IF($A$10,'Alex Marquez'!J7,NA())</f>
        <v>1.0579166666666671E-3</v>
      </c>
      <c r="M5" s="7">
        <f>IF($A$11,'Fabio Di Giannantonio'!J7,NA())</f>
        <v>1.058923611111111E-3</v>
      </c>
      <c r="N5" s="7">
        <f>IF($A$12,'Fabio Quartararo'!J7,NA())</f>
        <v>1.0648842592592589E-3</v>
      </c>
      <c r="O5" s="7">
        <f>IF($A$13,'Enea Bastianini'!J7,NA())</f>
        <v>1.066446759259259E-3</v>
      </c>
      <c r="P5" s="7">
        <f>IF($A$14,'Brad Binder'!J7,NA())</f>
        <v>1.0647685185185181E-3</v>
      </c>
      <c r="Q5" s="7">
        <f>IF($A$15,'Luca Marini'!J7,NA())</f>
        <v>1.060127314814815E-3</v>
      </c>
      <c r="R5" s="7">
        <f>IF($A$16,'Johann Zarco'!J7,NA())</f>
        <v>1.068587962962963E-3</v>
      </c>
      <c r="S5" s="7">
        <f>IF($A$17,'Franco Morbidelli'!J7,NA())</f>
        <v>1.0742361111111111E-3</v>
      </c>
      <c r="T5" s="7">
        <f>IF($A$18,'Alex Rins'!J7,NA())</f>
        <v>1.0646180555555561E-3</v>
      </c>
      <c r="U5" s="7">
        <f>IF($A$19,'Diogo Moreira'!J7,NA())</f>
        <v>1.0651851851851851E-3</v>
      </c>
      <c r="V5" s="7">
        <f>IF($A$20,'Maverick Viñales'!J7,NA())</f>
        <v>1.0994097222222221E-3</v>
      </c>
      <c r="W5" s="7">
        <f>IF($A$21,'Toprak Razgatlioglu'!J7,NA())</f>
        <v>1.068680555555556E-3</v>
      </c>
      <c r="X5" s="7">
        <f>IF($A$22,'Francesco Bagnaia'!J7,NA())</f>
        <v>1.0641898148148149E-3</v>
      </c>
      <c r="Y5" s="7">
        <f>IF($A$23,'Jack Miller'!J7,NA())</f>
        <v>1.06630787037037E-3</v>
      </c>
      <c r="Z5" s="7" t="e">
        <f>NA()</f>
        <v>#N/A</v>
      </c>
    </row>
    <row r="6" spans="1:26" x14ac:dyDescent="0.3">
      <c r="A6" s="9" t="b">
        <v>1</v>
      </c>
      <c r="B6" t="s">
        <v>500</v>
      </c>
      <c r="C6" t="s">
        <v>524</v>
      </c>
      <c r="E6" s="4">
        <v>3</v>
      </c>
      <c r="F6" s="7">
        <f>IF($A$4,'Marco Bezzecchi'!J8,NA())</f>
        <v>1.046319444444445E-3</v>
      </c>
      <c r="G6" s="7">
        <f>IF($A$5,'Raul Fernandez'!J8,NA())</f>
        <v>1.048449074074074E-3</v>
      </c>
      <c r="H6" s="7">
        <f>IF($A$6,'Jorge Martin'!J8,NA())</f>
        <v>1.045972222222222E-3</v>
      </c>
      <c r="I6" s="7">
        <f>IF($A$7,'Ai Ogura'!J8,NA())</f>
        <v>1.052731481481482E-3</v>
      </c>
      <c r="J6" s="7">
        <f>IF($A$8,'Pedro Acosta'!J8,NA())</f>
        <v>1.0479861111111111E-3</v>
      </c>
      <c r="K6" s="7">
        <f>IF($A$9,'Marc Marquez'!J8,NA())</f>
        <v>1.0562962962962961E-3</v>
      </c>
      <c r="L6" s="7">
        <f>IF($A$10,'Alex Marquez'!J8,NA())</f>
        <v>1.051805555555556E-3</v>
      </c>
      <c r="M6" s="7">
        <f>IF($A$11,'Fabio Di Giannantonio'!J8,NA())</f>
        <v>1.0520023148148151E-3</v>
      </c>
      <c r="N6" s="7">
        <f>IF($A$12,'Fabio Quartararo'!J8,NA())</f>
        <v>1.057430555555556E-3</v>
      </c>
      <c r="O6" s="7">
        <f>IF($A$13,'Enea Bastianini'!J8,NA())</f>
        <v>1.061099537037037E-3</v>
      </c>
      <c r="P6" s="7">
        <f>IF($A$14,'Brad Binder'!J8,NA())</f>
        <v>1.0572800925925929E-3</v>
      </c>
      <c r="Q6" s="7">
        <f>IF($A$15,'Luca Marini'!J8,NA())</f>
        <v>1.0552083333333329E-3</v>
      </c>
      <c r="R6" s="7">
        <f>IF($A$16,'Johann Zarco'!J8,NA())</f>
        <v>1.0612152777777779E-3</v>
      </c>
      <c r="S6" s="7">
        <f>IF($A$17,'Franco Morbidelli'!J8,NA())</f>
        <v>1.062800925925926E-3</v>
      </c>
      <c r="T6" s="7">
        <f>IF($A$18,'Alex Rins'!J8,NA())</f>
        <v>1.061076388888889E-3</v>
      </c>
      <c r="U6" s="7">
        <f>IF($A$19,'Diogo Moreira'!J8,NA())</f>
        <v>1.060115740740741E-3</v>
      </c>
      <c r="V6" s="7">
        <f>IF($A$20,'Maverick Viñales'!J8,NA())</f>
        <v>1.071412037037037E-3</v>
      </c>
      <c r="W6" s="7">
        <f>IF($A$21,'Toprak Razgatlioglu'!J8,NA())</f>
        <v>1.0657638888888891E-3</v>
      </c>
      <c r="X6" s="7">
        <f>IF($A$22,'Francesco Bagnaia'!J8,NA())</f>
        <v>1.057152777777778E-3</v>
      </c>
      <c r="Y6" s="7">
        <f>IF($A$23,'Jack Miller'!J8,NA())</f>
        <v>1.0627777777777779E-3</v>
      </c>
      <c r="Z6" s="7" t="e">
        <f>NA()</f>
        <v>#N/A</v>
      </c>
    </row>
    <row r="7" spans="1:26" x14ac:dyDescent="0.3">
      <c r="A7" s="9" t="b">
        <v>1</v>
      </c>
      <c r="B7" t="s">
        <v>501</v>
      </c>
      <c r="C7" t="s">
        <v>525</v>
      </c>
      <c r="E7" s="4">
        <v>4</v>
      </c>
      <c r="F7" s="7">
        <f>IF($A$4,'Marco Bezzecchi'!J9,NA())</f>
        <v>1.0459143518518519E-3</v>
      </c>
      <c r="G7" s="7">
        <f>IF($A$5,'Raul Fernandez'!J9,NA())</f>
        <v>1.0455439814814811E-3</v>
      </c>
      <c r="H7" s="7">
        <f>IF($A$6,'Jorge Martin'!J9,NA())</f>
        <v>1.046712962962963E-3</v>
      </c>
      <c r="I7" s="7">
        <f>IF($A$7,'Ai Ogura'!J9,NA())</f>
        <v>1.049293981481482E-3</v>
      </c>
      <c r="J7" s="7">
        <f>IF($A$8,'Pedro Acosta'!J9,NA())</f>
        <v>1.0446064814814821E-3</v>
      </c>
      <c r="K7" s="7">
        <f>IF($A$9,'Marc Marquez'!J9,NA())</f>
        <v>1.047928240740741E-3</v>
      </c>
      <c r="L7" s="7">
        <f>IF($A$10,'Alex Marquez'!J9,NA())</f>
        <v>1.048576388888889E-3</v>
      </c>
      <c r="M7" s="7">
        <f>IF($A$11,'Fabio Di Giannantonio'!J9,NA())</f>
        <v>1.0489699074074071E-3</v>
      </c>
      <c r="N7" s="7">
        <f>IF($A$12,'Fabio Quartararo'!J9,NA())</f>
        <v>1.0567129629629631E-3</v>
      </c>
      <c r="O7" s="7">
        <f>IF($A$13,'Enea Bastianini'!J9,NA())</f>
        <v>1.054756944444445E-3</v>
      </c>
      <c r="P7" s="7">
        <f>IF($A$14,'Brad Binder'!J9,NA())</f>
        <v>1.0565509259259261E-3</v>
      </c>
      <c r="Q7" s="7">
        <f>IF($A$15,'Luca Marini'!J9,NA())</f>
        <v>1.056319444444445E-3</v>
      </c>
      <c r="R7" s="7">
        <f>IF($A$16,'Johann Zarco'!J9,NA())</f>
        <v>1.057581018518518E-3</v>
      </c>
      <c r="S7" s="7">
        <f>IF($A$17,'Franco Morbidelli'!J9,NA())</f>
        <v>1.0615162037037041E-3</v>
      </c>
      <c r="T7" s="7">
        <f>IF($A$18,'Alex Rins'!J9,NA())</f>
        <v>1.054988425925926E-3</v>
      </c>
      <c r="U7" s="7">
        <f>IF($A$19,'Diogo Moreira'!J9,NA())</f>
        <v>1.0561805555555561E-3</v>
      </c>
      <c r="V7" s="7">
        <f>IF($A$20,'Maverick Viñales'!J9,NA())</f>
        <v>1.066689814814815E-3</v>
      </c>
      <c r="W7" s="7">
        <f>IF($A$21,'Toprak Razgatlioglu'!J9,NA())</f>
        <v>1.060023148148148E-3</v>
      </c>
      <c r="X7" s="7">
        <f>IF($A$22,'Francesco Bagnaia'!J9,NA())</f>
        <v>1.0564467592592589E-3</v>
      </c>
      <c r="Y7" s="7">
        <f>IF($A$23,'Jack Miller'!J9,NA())</f>
        <v>1.057847222222222E-3</v>
      </c>
      <c r="Z7" s="7" t="e">
        <f>NA()</f>
        <v>#N/A</v>
      </c>
    </row>
    <row r="8" spans="1:26" x14ac:dyDescent="0.3">
      <c r="A8" s="9" t="b">
        <v>1</v>
      </c>
      <c r="B8" t="s">
        <v>502</v>
      </c>
      <c r="C8" t="s">
        <v>526</v>
      </c>
      <c r="E8" s="4">
        <v>5</v>
      </c>
      <c r="F8" s="7">
        <f>IF($A$4,'Marco Bezzecchi'!J10,NA())</f>
        <v>1.042673611111111E-3</v>
      </c>
      <c r="G8" s="7">
        <f>IF($A$5,'Raul Fernandez'!J10,NA())</f>
        <v>1.041979166666667E-3</v>
      </c>
      <c r="H8" s="7">
        <f>IF($A$6,'Jorge Martin'!J10,NA())</f>
        <v>1.0448495370370371E-3</v>
      </c>
      <c r="I8" s="7">
        <f>IF($A$7,'Ai Ogura'!J10,NA())</f>
        <v>1.049699074074074E-3</v>
      </c>
      <c r="J8" s="7">
        <f>IF($A$8,'Pedro Acosta'!J10,NA())</f>
        <v>1.045972222222222E-3</v>
      </c>
      <c r="K8" s="7">
        <f>IF($A$9,'Marc Marquez'!J10,NA())</f>
        <v>1.046354166666667E-3</v>
      </c>
      <c r="L8" s="7">
        <f>IF($A$10,'Alex Marquez'!J10,NA())</f>
        <v>1.0476157407407411E-3</v>
      </c>
      <c r="M8" s="7">
        <f>IF($A$11,'Fabio Di Giannantonio'!J10,NA())</f>
        <v>1.047141203703704E-3</v>
      </c>
      <c r="N8" s="7">
        <f>IF($A$12,'Fabio Quartararo'!J10,NA())</f>
        <v>1.055706018518519E-3</v>
      </c>
      <c r="O8" s="7">
        <f>IF($A$13,'Enea Bastianini'!J10,NA())</f>
        <v>1.0542708333333331E-3</v>
      </c>
      <c r="P8" s="7">
        <f>IF($A$14,'Brad Binder'!J10,NA())</f>
        <v>1.0556365740740741E-3</v>
      </c>
      <c r="Q8" s="7">
        <f>IF($A$15,'Luca Marini'!J10,NA())</f>
        <v>1.0522453703703701E-3</v>
      </c>
      <c r="R8" s="7">
        <f>IF($A$16,'Johann Zarco'!J10,NA())</f>
        <v>1.0539236111111109E-3</v>
      </c>
      <c r="S8" s="7">
        <f>IF($A$17,'Franco Morbidelli'!J10,NA())</f>
        <v>1.057106481481482E-3</v>
      </c>
      <c r="T8" s="7">
        <f>IF($A$18,'Alex Rins'!J10,NA())</f>
        <v>1.0548726851851849E-3</v>
      </c>
      <c r="U8" s="7">
        <f>IF($A$19,'Diogo Moreira'!J10,NA())</f>
        <v>1.0548495370370371E-3</v>
      </c>
      <c r="V8" s="7">
        <f>IF($A$20,'Maverick Viñales'!J10,NA())</f>
        <v>1.067939814814815E-3</v>
      </c>
      <c r="W8" s="7">
        <f>IF($A$21,'Toprak Razgatlioglu'!J10,NA())</f>
        <v>1.0654282407407409E-3</v>
      </c>
      <c r="X8" s="7">
        <f>IF($A$22,'Francesco Bagnaia'!J10,NA())</f>
        <v>1.054074074074074E-3</v>
      </c>
      <c r="Y8" s="7">
        <f>IF($A$23,'Jack Miller'!J10,NA())</f>
        <v>1.0653125000000001E-3</v>
      </c>
      <c r="Z8" s="7" t="e">
        <f>NA()</f>
        <v>#N/A</v>
      </c>
    </row>
    <row r="9" spans="1:26" x14ac:dyDescent="0.3">
      <c r="A9" s="9" t="b">
        <v>1</v>
      </c>
      <c r="B9" t="s">
        <v>503</v>
      </c>
      <c r="C9" t="s">
        <v>527</v>
      </c>
      <c r="E9" s="4">
        <v>6</v>
      </c>
      <c r="F9" s="7">
        <f>IF($A$4,'Marco Bezzecchi'!J11,NA())</f>
        <v>1.046064814814815E-3</v>
      </c>
      <c r="G9" s="7">
        <f>IF($A$5,'Raul Fernandez'!J11,NA())</f>
        <v>1.045775462962963E-3</v>
      </c>
      <c r="H9" s="7">
        <f>IF($A$6,'Jorge Martin'!J11,NA())</f>
        <v>1.043333333333333E-3</v>
      </c>
      <c r="I9" s="7">
        <f>IF($A$7,'Ai Ogura'!J11,NA())</f>
        <v>1.0466203703703701E-3</v>
      </c>
      <c r="J9" s="7">
        <f>IF($A$8,'Pedro Acosta'!J11,NA())</f>
        <v>1.0446296296296299E-3</v>
      </c>
      <c r="K9" s="7">
        <f>IF($A$9,'Marc Marquez'!J11,NA())</f>
        <v>1.0443171296296301E-3</v>
      </c>
      <c r="L9" s="7">
        <f>IF($A$10,'Alex Marquez'!J11,NA())</f>
        <v>1.0453009259259261E-3</v>
      </c>
      <c r="M9" s="7">
        <f>IF($A$11,'Fabio Di Giannantonio'!J11,NA())</f>
        <v>1.0463425925925931E-3</v>
      </c>
      <c r="N9" s="7">
        <f>IF($A$12,'Fabio Quartararo'!J11,NA())</f>
        <v>1.054907407407407E-3</v>
      </c>
      <c r="O9" s="7">
        <f>IF($A$13,'Enea Bastianini'!J11,NA())</f>
        <v>1.05630787037037E-3</v>
      </c>
      <c r="P9" s="7">
        <f>IF($A$14,'Brad Binder'!J11,NA())</f>
        <v>1.05837962962963E-3</v>
      </c>
      <c r="Q9" s="7">
        <f>IF($A$15,'Luca Marini'!J11,NA())</f>
        <v>1.052627314814815E-3</v>
      </c>
      <c r="R9" s="7">
        <f>IF($A$16,'Johann Zarco'!J11,NA())</f>
        <v>1.054664351851852E-3</v>
      </c>
      <c r="S9" s="7">
        <f>IF($A$17,'Franco Morbidelli'!J11,NA())</f>
        <v>1.052476851851852E-3</v>
      </c>
      <c r="T9" s="7">
        <f>IF($A$18,'Alex Rins'!J11,NA())</f>
        <v>1.055439814814815E-3</v>
      </c>
      <c r="U9" s="7">
        <f>IF($A$19,'Diogo Moreira'!J11,NA())</f>
        <v>1.052893518518519E-3</v>
      </c>
      <c r="V9" s="7">
        <f>IF($A$20,'Maverick Viñales'!J11,NA())</f>
        <v>1.071956018518519E-3</v>
      </c>
      <c r="W9" s="7">
        <f>IF($A$21,'Toprak Razgatlioglu'!J11,NA())</f>
        <v>1.0634143518518521E-3</v>
      </c>
      <c r="X9" s="7" t="e">
        <f>NA()</f>
        <v>#N/A</v>
      </c>
      <c r="Y9" s="7" t="e">
        <f>NA()</f>
        <v>#N/A</v>
      </c>
      <c r="Z9" s="7" t="e">
        <f>NA()</f>
        <v>#N/A</v>
      </c>
    </row>
    <row r="10" spans="1:26" x14ac:dyDescent="0.3">
      <c r="A10" s="9" t="b">
        <v>1</v>
      </c>
      <c r="B10" t="s">
        <v>504</v>
      </c>
      <c r="C10" t="s">
        <v>528</v>
      </c>
      <c r="E10" s="4">
        <v>7</v>
      </c>
      <c r="F10" s="7">
        <f>IF($A$4,'Marco Bezzecchi'!J12,NA())</f>
        <v>1.043865740740741E-3</v>
      </c>
      <c r="G10" s="7">
        <f>IF($A$5,'Raul Fernandez'!J12,NA())</f>
        <v>1.0480092592592589E-3</v>
      </c>
      <c r="H10" s="7">
        <f>IF($A$6,'Jorge Martin'!J12,NA())</f>
        <v>1.0443402777777779E-3</v>
      </c>
      <c r="I10" s="7">
        <f>IF($A$7,'Ai Ogura'!J12,NA())</f>
        <v>1.0470370370370371E-3</v>
      </c>
      <c r="J10" s="7">
        <f>IF($A$8,'Pedro Acosta'!J12,NA())</f>
        <v>1.048287037037037E-3</v>
      </c>
      <c r="K10" s="7">
        <f>IF($A$9,'Marc Marquez'!J12,NA())</f>
        <v>1.054363425925926E-3</v>
      </c>
      <c r="L10" s="7">
        <f>IF($A$10,'Alex Marquez'!J12,NA())</f>
        <v>1.0494212962962959E-3</v>
      </c>
      <c r="M10" s="7">
        <f>IF($A$11,'Fabio Di Giannantonio'!J12,NA())</f>
        <v>1.0461805555555561E-3</v>
      </c>
      <c r="N10" s="7">
        <f>IF($A$12,'Fabio Quartararo'!J12,NA())</f>
        <v>1.053587962962963E-3</v>
      </c>
      <c r="O10" s="7">
        <f>IF($A$13,'Enea Bastianini'!J12,NA())</f>
        <v>1.0547106481481479E-3</v>
      </c>
      <c r="P10" s="7">
        <f>IF($A$14,'Brad Binder'!J12,NA())</f>
        <v>1.0527199074074069E-3</v>
      </c>
      <c r="Q10" s="7">
        <f>IF($A$15,'Luca Marini'!J12,NA())</f>
        <v>1.053831018518519E-3</v>
      </c>
      <c r="R10" s="7">
        <f>IF($A$16,'Johann Zarco'!J12,NA())</f>
        <v>1.0579050925925929E-3</v>
      </c>
      <c r="S10" s="7">
        <f>IF($A$17,'Franco Morbidelli'!J12,NA())</f>
        <v>1.0525231481481479E-3</v>
      </c>
      <c r="T10" s="7">
        <f>IF($A$18,'Alex Rins'!J12,NA())</f>
        <v>1.0549652777777779E-3</v>
      </c>
      <c r="U10" s="7">
        <f>IF($A$19,'Diogo Moreira'!J12,NA())</f>
        <v>1.0567476851851851E-3</v>
      </c>
      <c r="V10" s="7">
        <f>IF($A$20,'Maverick Viñales'!J12,NA())</f>
        <v>1.0719444444444439E-3</v>
      </c>
      <c r="W10" s="7">
        <f>IF($A$21,'Toprak Razgatlioglu'!J12,NA())</f>
        <v>1.0650578703703701E-3</v>
      </c>
      <c r="X10" s="7" t="e">
        <f>NA()</f>
        <v>#N/A</v>
      </c>
      <c r="Y10" s="7" t="e">
        <f>NA()</f>
        <v>#N/A</v>
      </c>
      <c r="Z10" s="7" t="e">
        <f>NA()</f>
        <v>#N/A</v>
      </c>
    </row>
    <row r="11" spans="1:26" x14ac:dyDescent="0.3">
      <c r="A11" s="9" t="b">
        <v>1</v>
      </c>
      <c r="B11" t="s">
        <v>505</v>
      </c>
      <c r="C11" t="s">
        <v>529</v>
      </c>
      <c r="E11" s="4">
        <v>8</v>
      </c>
      <c r="F11" s="7">
        <f>IF($A$4,'Marco Bezzecchi'!J13,NA())</f>
        <v>1.043194444444444E-3</v>
      </c>
      <c r="G11" s="7">
        <f>IF($A$5,'Raul Fernandez'!J13,NA())</f>
        <v>1.0424884259259261E-3</v>
      </c>
      <c r="H11" s="7">
        <f>IF($A$6,'Jorge Martin'!J13,NA())</f>
        <v>1.046967592592593E-3</v>
      </c>
      <c r="I11" s="7">
        <f>IF($A$7,'Ai Ogura'!J13,NA())</f>
        <v>1.045150462962963E-3</v>
      </c>
      <c r="J11" s="7">
        <f>IF($A$8,'Pedro Acosta'!J13,NA())</f>
        <v>1.0479745370370369E-3</v>
      </c>
      <c r="K11" s="7">
        <f>IF($A$9,'Marc Marquez'!J13,NA())</f>
        <v>1.047222222222222E-3</v>
      </c>
      <c r="L11" s="7">
        <f>IF($A$10,'Alex Marquez'!J13,NA())</f>
        <v>1.0490625000000001E-3</v>
      </c>
      <c r="M11" s="7">
        <f>IF($A$11,'Fabio Di Giannantonio'!J13,NA())</f>
        <v>1.0493518518518521E-3</v>
      </c>
      <c r="N11" s="7">
        <f>IF($A$12,'Fabio Quartararo'!J13,NA())</f>
        <v>1.053252314814815E-3</v>
      </c>
      <c r="O11" s="7">
        <f>IF($A$13,'Enea Bastianini'!J13,NA())</f>
        <v>1.05275462962963E-3</v>
      </c>
      <c r="P11" s="7">
        <f>IF($A$14,'Brad Binder'!J13,NA())</f>
        <v>1.053819444444444E-3</v>
      </c>
      <c r="Q11" s="7">
        <f>IF($A$15,'Luca Marini'!J13,NA())</f>
        <v>1.053090277777778E-3</v>
      </c>
      <c r="R11" s="7">
        <f>IF($A$16,'Johann Zarco'!J13,NA())</f>
        <v>1.0547106481481479E-3</v>
      </c>
      <c r="S11" s="7">
        <f>IF($A$17,'Franco Morbidelli'!J13,NA())</f>
        <v>1.0488657407407411E-3</v>
      </c>
      <c r="T11" s="7">
        <f>IF($A$18,'Alex Rins'!J13,NA())</f>
        <v>1.0567013888888889E-3</v>
      </c>
      <c r="U11" s="7">
        <f>IF($A$19,'Diogo Moreira'!J13,NA())</f>
        <v>1.054444444444444E-3</v>
      </c>
      <c r="V11" s="7">
        <f>IF($A$20,'Maverick Viñales'!J13,NA())</f>
        <v>1.063715277777778E-3</v>
      </c>
      <c r="W11" s="7">
        <f>IF($A$21,'Toprak Razgatlioglu'!J13,NA())</f>
        <v>1.0967708333333331E-3</v>
      </c>
      <c r="X11" s="7" t="e">
        <f>NA()</f>
        <v>#N/A</v>
      </c>
      <c r="Y11" s="7" t="e">
        <f>NA()</f>
        <v>#N/A</v>
      </c>
      <c r="Z11" s="7" t="e">
        <f>NA()</f>
        <v>#N/A</v>
      </c>
    </row>
    <row r="12" spans="1:26" x14ac:dyDescent="0.3">
      <c r="A12" s="9" t="b">
        <v>1</v>
      </c>
      <c r="B12" t="s">
        <v>506</v>
      </c>
      <c r="C12" t="s">
        <v>530</v>
      </c>
      <c r="E12" s="4">
        <v>9</v>
      </c>
      <c r="F12" s="7">
        <f>IF($A$4,'Marco Bezzecchi'!J14,NA())</f>
        <v>1.0438888888888889E-3</v>
      </c>
      <c r="G12" s="7">
        <f>IF($A$5,'Raul Fernandez'!J14,NA())</f>
        <v>1.0448379629629629E-3</v>
      </c>
      <c r="H12" s="7">
        <f>IF($A$6,'Jorge Martin'!J14,NA())</f>
        <v>1.045405092592593E-3</v>
      </c>
      <c r="I12" s="7">
        <f>IF($A$7,'Ai Ogura'!J14,NA())</f>
        <v>1.050196759259259E-3</v>
      </c>
      <c r="J12" s="7">
        <f>IF($A$8,'Pedro Acosta'!J14,NA())</f>
        <v>1.045868055555556E-3</v>
      </c>
      <c r="K12" s="7">
        <f>IF($A$9,'Marc Marquez'!J14,NA())</f>
        <v>1.0459490740740739E-3</v>
      </c>
      <c r="L12" s="7">
        <f>IF($A$10,'Alex Marquez'!J14,NA())</f>
        <v>1.048449074074074E-3</v>
      </c>
      <c r="M12" s="7">
        <f>IF($A$11,'Fabio Di Giannantonio'!J14,NA())</f>
        <v>1.048090277777778E-3</v>
      </c>
      <c r="N12" s="7">
        <f>IF($A$12,'Fabio Quartararo'!J14,NA())</f>
        <v>1.0526620370370371E-3</v>
      </c>
      <c r="O12" s="7">
        <f>IF($A$13,'Enea Bastianini'!J14,NA())</f>
        <v>1.0555324074074069E-3</v>
      </c>
      <c r="P12" s="7">
        <f>IF($A$14,'Brad Binder'!J14,NA())</f>
        <v>1.052268518518519E-3</v>
      </c>
      <c r="Q12" s="7">
        <f>IF($A$15,'Luca Marini'!J14,NA())</f>
        <v>1.0553009259259259E-3</v>
      </c>
      <c r="R12" s="7">
        <f>IF($A$16,'Johann Zarco'!J14,NA())</f>
        <v>1.0531018518518519E-3</v>
      </c>
      <c r="S12" s="7">
        <f>IF($A$17,'Franco Morbidelli'!J14,NA())</f>
        <v>1.051064814814815E-3</v>
      </c>
      <c r="T12" s="7">
        <f>IF($A$18,'Alex Rins'!J14,NA())</f>
        <v>1.0528124999999999E-3</v>
      </c>
      <c r="U12" s="7">
        <f>IF($A$19,'Diogo Moreira'!J14,NA())</f>
        <v>1.054861111111111E-3</v>
      </c>
      <c r="V12" s="7">
        <f>IF($A$20,'Maverick Viñales'!J14,NA())</f>
        <v>1.065810185185185E-3</v>
      </c>
      <c r="W12" s="7" t="e">
        <f>NA()</f>
        <v>#N/A</v>
      </c>
      <c r="X12" s="7" t="e">
        <f>NA()</f>
        <v>#N/A</v>
      </c>
      <c r="Y12" s="7" t="e">
        <f>NA()</f>
        <v>#N/A</v>
      </c>
      <c r="Z12" s="7" t="e">
        <f>NA()</f>
        <v>#N/A</v>
      </c>
    </row>
    <row r="13" spans="1:26" x14ac:dyDescent="0.3">
      <c r="A13" s="9" t="b">
        <v>1</v>
      </c>
      <c r="B13" t="s">
        <v>507</v>
      </c>
      <c r="C13" t="s">
        <v>531</v>
      </c>
      <c r="E13" s="4">
        <v>10</v>
      </c>
      <c r="F13" s="7">
        <f>IF($A$4,'Marco Bezzecchi'!J15,NA())</f>
        <v>1.0452546296296299E-3</v>
      </c>
      <c r="G13" s="7">
        <f>IF($A$5,'Raul Fernandez'!J15,NA())</f>
        <v>1.0444675925925929E-3</v>
      </c>
      <c r="H13" s="7">
        <f>IF($A$6,'Jorge Martin'!J15,NA())</f>
        <v>1.04412037037037E-3</v>
      </c>
      <c r="I13" s="7">
        <f>IF($A$7,'Ai Ogura'!J15,NA())</f>
        <v>1.046956018518518E-3</v>
      </c>
      <c r="J13" s="7">
        <f>IF($A$8,'Pedro Acosta'!J15,NA())</f>
        <v>1.0449652777777779E-3</v>
      </c>
      <c r="K13" s="7">
        <f>IF($A$9,'Marc Marquez'!J15,NA())</f>
        <v>1.0461805555555561E-3</v>
      </c>
      <c r="L13" s="7">
        <f>IF($A$10,'Alex Marquez'!J15,NA())</f>
        <v>1.0449652777777779E-3</v>
      </c>
      <c r="M13" s="7">
        <f>IF($A$11,'Fabio Di Giannantonio'!J15,NA())</f>
        <v>1.0470023148148151E-3</v>
      </c>
      <c r="N13" s="7">
        <f>IF($A$12,'Fabio Quartararo'!J15,NA())</f>
        <v>1.0509490740740739E-3</v>
      </c>
      <c r="O13" s="7">
        <f>IF($A$13,'Enea Bastianini'!J15,NA())</f>
        <v>1.0550115740740741E-3</v>
      </c>
      <c r="P13" s="7">
        <f>IF($A$14,'Brad Binder'!J15,NA())</f>
        <v>1.0513425925925931E-3</v>
      </c>
      <c r="Q13" s="7">
        <f>IF($A$15,'Luca Marini'!J15,NA())</f>
        <v>1.054861111111111E-3</v>
      </c>
      <c r="R13" s="7">
        <f>IF($A$16,'Johann Zarco'!J15,NA())</f>
        <v>1.0541435185185181E-3</v>
      </c>
      <c r="S13" s="7">
        <f>IF($A$17,'Franco Morbidelli'!J15,NA())</f>
        <v>1.052638888888889E-3</v>
      </c>
      <c r="T13" s="7">
        <f>IF($A$18,'Alex Rins'!J15,NA())</f>
        <v>1.0558796296296291E-3</v>
      </c>
      <c r="U13" s="7">
        <f>IF($A$19,'Diogo Moreira'!J15,NA())</f>
        <v>1.054930555555555E-3</v>
      </c>
      <c r="V13" s="7">
        <f>IF($A$20,'Maverick Viñales'!J15,NA())</f>
        <v>1.0608796296296291E-3</v>
      </c>
      <c r="W13" s="7" t="e">
        <f>NA()</f>
        <v>#N/A</v>
      </c>
      <c r="X13" s="7" t="e">
        <f>NA()</f>
        <v>#N/A</v>
      </c>
      <c r="Y13" s="7" t="e">
        <f>NA()</f>
        <v>#N/A</v>
      </c>
      <c r="Z13" s="7" t="e">
        <f>NA()</f>
        <v>#N/A</v>
      </c>
    </row>
    <row r="14" spans="1:26" x14ac:dyDescent="0.3">
      <c r="A14" s="9" t="b">
        <v>1</v>
      </c>
      <c r="B14" t="s">
        <v>508</v>
      </c>
      <c r="C14" t="s">
        <v>532</v>
      </c>
      <c r="E14" s="4">
        <v>11</v>
      </c>
      <c r="F14" s="7">
        <f>IF($A$4,'Marco Bezzecchi'!J16,NA())</f>
        <v>1.0415625E-3</v>
      </c>
      <c r="G14" s="7">
        <f>IF($A$5,'Raul Fernandez'!J16,NA())</f>
        <v>1.042534722222222E-3</v>
      </c>
      <c r="H14" s="7">
        <f>IF($A$6,'Jorge Martin'!J16,NA())</f>
        <v>1.0452314814814821E-3</v>
      </c>
      <c r="I14" s="7">
        <f>IF($A$7,'Ai Ogura'!J16,NA())</f>
        <v>1.0471874999999999E-3</v>
      </c>
      <c r="J14" s="7">
        <f>IF($A$8,'Pedro Acosta'!J16,NA())</f>
        <v>1.0454976851851849E-3</v>
      </c>
      <c r="K14" s="7">
        <f>IF($A$9,'Marc Marquez'!J16,NA())</f>
        <v>1.0459606481481481E-3</v>
      </c>
      <c r="L14" s="7">
        <f>IF($A$10,'Alex Marquez'!J16,NA())</f>
        <v>1.0504166666666669E-3</v>
      </c>
      <c r="M14" s="7">
        <f>IF($A$11,'Fabio Di Giannantonio'!J16,NA())</f>
        <v>1.0446296296296299E-3</v>
      </c>
      <c r="N14" s="7">
        <f>IF($A$12,'Fabio Quartararo'!J16,NA())</f>
        <v>1.0511805555555561E-3</v>
      </c>
      <c r="O14" s="7">
        <f>IF($A$13,'Enea Bastianini'!J16,NA())</f>
        <v>1.065775462962963E-3</v>
      </c>
      <c r="P14" s="7">
        <f>IF($A$14,'Brad Binder'!J16,NA())</f>
        <v>1.0505555555555561E-3</v>
      </c>
      <c r="Q14" s="7">
        <f>IF($A$15,'Luca Marini'!J16,NA())</f>
        <v>1.0540509259259259E-3</v>
      </c>
      <c r="R14" s="7">
        <f>IF($A$16,'Johann Zarco'!J16,NA())</f>
        <v>1.0529398148148149E-3</v>
      </c>
      <c r="S14" s="7">
        <f>IF($A$17,'Franco Morbidelli'!J16,NA())</f>
        <v>1.0592939814814809E-3</v>
      </c>
      <c r="T14" s="7">
        <f>IF($A$18,'Alex Rins'!J16,NA())</f>
        <v>1.052708333333333E-3</v>
      </c>
      <c r="U14" s="7">
        <f>IF($A$19,'Diogo Moreira'!J16,NA())</f>
        <v>1.0586921296296299E-3</v>
      </c>
      <c r="V14" s="7">
        <f>IF($A$20,'Maverick Viñales'!J16,NA())</f>
        <v>1.0619675925925931E-3</v>
      </c>
      <c r="W14" s="7" t="e">
        <f>NA()</f>
        <v>#N/A</v>
      </c>
      <c r="X14" s="7" t="e">
        <f>NA()</f>
        <v>#N/A</v>
      </c>
      <c r="Y14" s="7" t="e">
        <f>NA()</f>
        <v>#N/A</v>
      </c>
      <c r="Z14" s="7" t="e">
        <f>NA()</f>
        <v>#N/A</v>
      </c>
    </row>
    <row r="15" spans="1:26" x14ac:dyDescent="0.3">
      <c r="A15" s="9" t="b">
        <v>1</v>
      </c>
      <c r="B15" t="s">
        <v>509</v>
      </c>
      <c r="C15" t="s">
        <v>533</v>
      </c>
      <c r="E15" s="4">
        <v>12</v>
      </c>
      <c r="F15" s="7">
        <f>IF($A$4,'Marco Bezzecchi'!J17,NA())</f>
        <v>1.0429398148148149E-3</v>
      </c>
      <c r="G15" s="7">
        <f>IF($A$5,'Raul Fernandez'!J17,NA())</f>
        <v>1.0426851851851849E-3</v>
      </c>
      <c r="H15" s="7">
        <f>IF($A$6,'Jorge Martin'!J17,NA())</f>
        <v>1.04568287037037E-3</v>
      </c>
      <c r="I15" s="7">
        <f>IF($A$7,'Ai Ogura'!J17,NA())</f>
        <v>1.045636574074074E-3</v>
      </c>
      <c r="J15" s="7">
        <f>IF($A$8,'Pedro Acosta'!J17,NA())</f>
        <v>1.043657407407407E-3</v>
      </c>
      <c r="K15" s="7">
        <f>IF($A$9,'Marc Marquez'!J17,NA())</f>
        <v>1.046273148148148E-3</v>
      </c>
      <c r="L15" s="7">
        <f>IF($A$10,'Alex Marquez'!J17,NA())</f>
        <v>1.0468981481481479E-3</v>
      </c>
      <c r="M15" s="7">
        <f>IF($A$11,'Fabio Di Giannantonio'!J17,NA())</f>
        <v>1.044490740740741E-3</v>
      </c>
      <c r="N15" s="7">
        <f>IF($A$12,'Fabio Quartararo'!J17,NA())</f>
        <v>1.0532291666666669E-3</v>
      </c>
      <c r="O15" s="7">
        <f>IF($A$13,'Enea Bastianini'!J17,NA())</f>
        <v>1.0556712962962961E-3</v>
      </c>
      <c r="P15" s="7">
        <f>IF($A$14,'Brad Binder'!J17,NA())</f>
        <v>1.053912037037037E-3</v>
      </c>
      <c r="Q15" s="7">
        <f>IF($A$15,'Luca Marini'!J17,NA())</f>
        <v>1.055439814814815E-3</v>
      </c>
      <c r="R15" s="7">
        <f>IF($A$16,'Johann Zarco'!J17,NA())</f>
        <v>1.0574074074074071E-3</v>
      </c>
      <c r="S15" s="7">
        <f>IF($A$17,'Franco Morbidelli'!J17,NA())</f>
        <v>1.056261574074074E-3</v>
      </c>
      <c r="T15" s="7">
        <f>IF($A$18,'Alex Rins'!J17,NA())</f>
        <v>1.0553009259259259E-3</v>
      </c>
      <c r="U15" s="7">
        <f>IF($A$19,'Diogo Moreira'!J17,NA())</f>
        <v>1.054606481481481E-3</v>
      </c>
      <c r="V15" s="7">
        <f>IF($A$20,'Maverick Viñales'!J17,NA())</f>
        <v>1.061226851851852E-3</v>
      </c>
      <c r="W15" s="7" t="e">
        <f>NA()</f>
        <v>#N/A</v>
      </c>
      <c r="X15" s="7" t="e">
        <f>NA()</f>
        <v>#N/A</v>
      </c>
      <c r="Y15" s="7" t="e">
        <f>NA()</f>
        <v>#N/A</v>
      </c>
      <c r="Z15" s="7" t="e">
        <f>NA()</f>
        <v>#N/A</v>
      </c>
    </row>
    <row r="16" spans="1:26" x14ac:dyDescent="0.3">
      <c r="A16" s="9" t="b">
        <v>1</v>
      </c>
      <c r="B16" t="s">
        <v>510</v>
      </c>
      <c r="C16" t="s">
        <v>534</v>
      </c>
      <c r="E16" s="4">
        <v>13</v>
      </c>
      <c r="F16" s="7">
        <f>IF($A$4,'Marco Bezzecchi'!J18,NA())</f>
        <v>1.04337962962963E-3</v>
      </c>
      <c r="G16" s="7">
        <f>IF($A$5,'Raul Fernandez'!J18,NA())</f>
        <v>1.04494212962963E-3</v>
      </c>
      <c r="H16" s="7">
        <f>IF($A$6,'Jorge Martin'!J18,NA())</f>
        <v>1.0450462962962961E-3</v>
      </c>
      <c r="I16" s="7">
        <f>IF($A$7,'Ai Ogura'!J18,NA())</f>
        <v>1.0524884259259259E-3</v>
      </c>
      <c r="J16" s="7">
        <f>IF($A$8,'Pedro Acosta'!J18,NA())</f>
        <v>1.0614583333333331E-3</v>
      </c>
      <c r="K16" s="7">
        <f>IF($A$9,'Marc Marquez'!J18,NA())</f>
        <v>1.051516203703704E-3</v>
      </c>
      <c r="L16" s="7">
        <f>IF($A$10,'Alex Marquez'!J18,NA())</f>
        <v>1.0562847222222219E-3</v>
      </c>
      <c r="M16" s="7">
        <f>IF($A$11,'Fabio Di Giannantonio'!J18,NA())</f>
        <v>1.0617939814814811E-3</v>
      </c>
      <c r="N16" s="7">
        <f>IF($A$12,'Fabio Quartararo'!J18,NA())</f>
        <v>1.0550925925925921E-3</v>
      </c>
      <c r="O16" s="7">
        <f>IF($A$13,'Enea Bastianini'!J18,NA())</f>
        <v>1.052175925925926E-3</v>
      </c>
      <c r="P16" s="7">
        <f>IF($A$14,'Brad Binder'!J18,NA())</f>
        <v>1.054699074074074E-3</v>
      </c>
      <c r="Q16" s="7">
        <f>IF($A$15,'Luca Marini'!J18,NA())</f>
        <v>1.0537268518518519E-3</v>
      </c>
      <c r="R16" s="7">
        <f>IF($A$16,'Johann Zarco'!J18,NA())</f>
        <v>1.055150462962963E-3</v>
      </c>
      <c r="S16" s="7">
        <f>IF($A$17,'Franco Morbidelli'!J18,NA())</f>
        <v>1.0567129629629631E-3</v>
      </c>
      <c r="T16" s="7">
        <f>IF($A$18,'Alex Rins'!J18,NA())</f>
        <v>1.0573726851851851E-3</v>
      </c>
      <c r="U16" s="7">
        <f>IF($A$19,'Diogo Moreira'!J18,NA())</f>
        <v>1.0587615740740739E-3</v>
      </c>
      <c r="V16" s="7">
        <f>IF($A$20,'Maverick Viñales'!J18,NA())</f>
        <v>1.070127314814815E-3</v>
      </c>
      <c r="W16" s="7" t="e">
        <f>NA()</f>
        <v>#N/A</v>
      </c>
      <c r="X16" s="7" t="e">
        <f>NA()</f>
        <v>#N/A</v>
      </c>
      <c r="Y16" s="7" t="e">
        <f>NA()</f>
        <v>#N/A</v>
      </c>
      <c r="Z16" s="7" t="e">
        <f>NA()</f>
        <v>#N/A</v>
      </c>
    </row>
    <row r="17" spans="1:26" x14ac:dyDescent="0.3">
      <c r="A17" s="9" t="b">
        <v>1</v>
      </c>
      <c r="B17" t="s">
        <v>511</v>
      </c>
      <c r="C17" t="s">
        <v>535</v>
      </c>
      <c r="E17" s="4">
        <v>14</v>
      </c>
      <c r="F17" s="7">
        <f>IF($A$4,'Marco Bezzecchi'!J19,NA())</f>
        <v>1.043819444444444E-3</v>
      </c>
      <c r="G17" s="7">
        <f>IF($A$5,'Raul Fernandez'!J19,NA())</f>
        <v>1.0419444444444449E-3</v>
      </c>
      <c r="H17" s="7">
        <f>IF($A$6,'Jorge Martin'!J19,NA())</f>
        <v>1.0447106481481479E-3</v>
      </c>
      <c r="I17" s="7">
        <f>IF($A$7,'Ai Ogura'!J19,NA())</f>
        <v>1.047511574074074E-3</v>
      </c>
      <c r="J17" s="7">
        <f>IF($A$8,'Pedro Acosta'!J19,NA())</f>
        <v>1.050034722222222E-3</v>
      </c>
      <c r="K17" s="7">
        <f>IF($A$9,'Marc Marquez'!J19,NA())</f>
        <v>1.051273148148148E-3</v>
      </c>
      <c r="L17" s="7">
        <f>IF($A$10,'Alex Marquez'!J19,NA())</f>
        <v>1.0534374999999999E-3</v>
      </c>
      <c r="M17" s="7">
        <f>IF($A$11,'Fabio Di Giannantonio'!J19,NA())</f>
        <v>1.048217592592593E-3</v>
      </c>
      <c r="N17" s="7">
        <f>IF($A$12,'Fabio Quartararo'!J19,NA())</f>
        <v>1.052094907407407E-3</v>
      </c>
      <c r="O17" s="7">
        <f>IF($A$13,'Enea Bastianini'!J19,NA())</f>
        <v>1.0578124999999999E-3</v>
      </c>
      <c r="P17" s="7">
        <f>IF($A$14,'Brad Binder'!J19,NA())</f>
        <v>1.0548726851851849E-3</v>
      </c>
      <c r="Q17" s="7">
        <f>IF($A$15,'Luca Marini'!J19,NA())</f>
        <v>1.053298611111111E-3</v>
      </c>
      <c r="R17" s="7">
        <f>IF($A$16,'Johann Zarco'!J19,NA())</f>
        <v>1.063136574074074E-3</v>
      </c>
      <c r="S17" s="7">
        <f>IF($A$17,'Franco Morbidelli'!J19,NA())</f>
        <v>1.0592708333333331E-3</v>
      </c>
      <c r="T17" s="7">
        <f>IF($A$18,'Alex Rins'!J19,NA())</f>
        <v>1.0696412037037039E-3</v>
      </c>
      <c r="U17" s="7">
        <f>IF($A$19,'Diogo Moreira'!J19,NA())</f>
        <v>1.0593171296296301E-3</v>
      </c>
      <c r="V17" s="7">
        <f>IF($A$20,'Maverick Viñales'!J19,NA())</f>
        <v>1.071030092592593E-3</v>
      </c>
      <c r="W17" s="7" t="e">
        <f>NA()</f>
        <v>#N/A</v>
      </c>
      <c r="X17" s="7" t="e">
        <f>NA()</f>
        <v>#N/A</v>
      </c>
      <c r="Y17" s="7" t="e">
        <f>NA()</f>
        <v>#N/A</v>
      </c>
      <c r="Z17" s="7" t="e">
        <f>NA()</f>
        <v>#N/A</v>
      </c>
    </row>
    <row r="18" spans="1:26" x14ac:dyDescent="0.3">
      <c r="A18" s="9" t="b">
        <v>1</v>
      </c>
      <c r="B18" t="s">
        <v>512</v>
      </c>
      <c r="C18" t="s">
        <v>536</v>
      </c>
      <c r="E18" s="4">
        <v>15</v>
      </c>
      <c r="F18" s="7">
        <f>IF($A$4,'Marco Bezzecchi'!J20,NA())</f>
        <v>1.042384259259259E-3</v>
      </c>
      <c r="G18" s="7">
        <f>IF($A$5,'Raul Fernandez'!J20,NA())</f>
        <v>1.045844907407407E-3</v>
      </c>
      <c r="H18" s="7">
        <f>IF($A$6,'Jorge Martin'!J20,NA())</f>
        <v>1.044537037037037E-3</v>
      </c>
      <c r="I18" s="7">
        <f>IF($A$7,'Ai Ogura'!J20,NA())</f>
        <v>1.0472337962962961E-3</v>
      </c>
      <c r="J18" s="7">
        <f>IF($A$8,'Pedro Acosta'!J20,NA())</f>
        <v>1.052222222222222E-3</v>
      </c>
      <c r="K18" s="7">
        <f>IF($A$9,'Marc Marquez'!J20,NA())</f>
        <v>1.0580208333333329E-3</v>
      </c>
      <c r="L18" s="7">
        <f>IF($A$10,'Alex Marquez'!J20,NA())</f>
        <v>1.052997685185185E-3</v>
      </c>
      <c r="M18" s="7">
        <f>IF($A$11,'Fabio Di Giannantonio'!J20,NA())</f>
        <v>1.049664351851852E-3</v>
      </c>
      <c r="N18" s="7">
        <f>IF($A$12,'Fabio Quartararo'!J20,NA())</f>
        <v>1.0508912037037041E-3</v>
      </c>
      <c r="O18" s="7">
        <f>IF($A$13,'Enea Bastianini'!J20,NA())</f>
        <v>1.0548032407407409E-3</v>
      </c>
      <c r="P18" s="7">
        <f>IF($A$14,'Brad Binder'!J20,NA())</f>
        <v>1.0510879629629631E-3</v>
      </c>
      <c r="Q18" s="7">
        <f>IF($A$15,'Luca Marini'!J20,NA())</f>
        <v>1.0530671296296299E-3</v>
      </c>
      <c r="R18" s="7">
        <f>IF($A$16,'Johann Zarco'!J20,NA())</f>
        <v>1.0536342592592589E-3</v>
      </c>
      <c r="S18" s="7">
        <f>IF($A$17,'Franco Morbidelli'!J20,NA())</f>
        <v>1.059282407407407E-3</v>
      </c>
      <c r="T18" s="7">
        <f>IF($A$18,'Alex Rins'!J20,NA())</f>
        <v>1.055081018518519E-3</v>
      </c>
      <c r="U18" s="7">
        <f>IF($A$19,'Diogo Moreira'!J20,NA())</f>
        <v>1.065821759259259E-3</v>
      </c>
      <c r="V18" s="7">
        <f>IF($A$20,'Maverick Viñales'!J20,NA())</f>
        <v>1.0645254629629631E-3</v>
      </c>
      <c r="W18" s="7" t="e">
        <f>NA()</f>
        <v>#N/A</v>
      </c>
      <c r="X18" s="7" t="e">
        <f>NA()</f>
        <v>#N/A</v>
      </c>
      <c r="Y18" s="7" t="e">
        <f>NA()</f>
        <v>#N/A</v>
      </c>
      <c r="Z18" s="7" t="e">
        <f>NA()</f>
        <v>#N/A</v>
      </c>
    </row>
    <row r="19" spans="1:26" x14ac:dyDescent="0.3">
      <c r="A19" s="9" t="b">
        <v>1</v>
      </c>
      <c r="B19" t="s">
        <v>513</v>
      </c>
      <c r="C19" t="s">
        <v>537</v>
      </c>
      <c r="E19" s="4">
        <v>16</v>
      </c>
      <c r="F19" s="7">
        <f>IF($A$4,'Marco Bezzecchi'!J21,NA())</f>
        <v>1.0483449074074069E-3</v>
      </c>
      <c r="G19" s="7">
        <f>IF($A$5,'Raul Fernandez'!J21,NA())</f>
        <v>1.0458564814814809E-3</v>
      </c>
      <c r="H19" s="7">
        <f>IF($A$6,'Jorge Martin'!J21,NA())</f>
        <v>1.045069444444444E-3</v>
      </c>
      <c r="I19" s="7">
        <f>IF($A$7,'Ai Ogura'!J21,NA())</f>
        <v>1.0501388888888891E-3</v>
      </c>
      <c r="J19" s="7">
        <f>IF($A$8,'Pedro Acosta'!J21,NA())</f>
        <v>1.0479745370370369E-3</v>
      </c>
      <c r="K19" s="7">
        <f>IF($A$9,'Marc Marquez'!J21,NA())</f>
        <v>1.0507986111111111E-3</v>
      </c>
      <c r="L19" s="7">
        <f>IF($A$10,'Alex Marquez'!J21,NA())</f>
        <v>1.0540625000000001E-3</v>
      </c>
      <c r="M19" s="7">
        <f>IF($A$11,'Fabio Di Giannantonio'!J21,NA())</f>
        <v>1.050185185185185E-3</v>
      </c>
      <c r="N19" s="7">
        <f>IF($A$12,'Fabio Quartararo'!J21,NA())</f>
        <v>1.0536458333333331E-3</v>
      </c>
      <c r="O19" s="7">
        <f>IF($A$13,'Enea Bastianini'!J21,NA())</f>
        <v>1.0530208333333329E-3</v>
      </c>
      <c r="P19" s="7">
        <f>IF($A$14,'Brad Binder'!J21,NA())</f>
        <v>1.053090277777778E-3</v>
      </c>
      <c r="Q19" s="7">
        <f>IF($A$15,'Luca Marini'!J21,NA())</f>
        <v>1.05505787037037E-3</v>
      </c>
      <c r="R19" s="7">
        <f>IF($A$16,'Johann Zarco'!J21,NA())</f>
        <v>1.0539004629629631E-3</v>
      </c>
      <c r="S19" s="7">
        <f>IF($A$17,'Franco Morbidelli'!J21,NA())</f>
        <v>1.0593171296296301E-3</v>
      </c>
      <c r="T19" s="7">
        <f>IF($A$18,'Alex Rins'!J21,NA())</f>
        <v>1.055949074074074E-3</v>
      </c>
      <c r="U19" s="7">
        <f>IF($A$19,'Diogo Moreira'!J21,NA())</f>
        <v>1.0613425925925929E-3</v>
      </c>
      <c r="V19" s="7">
        <f>IF($A$20,'Maverick Viñales'!J21,NA())</f>
        <v>1.059895833333333E-3</v>
      </c>
      <c r="W19" s="7" t="e">
        <f>NA()</f>
        <v>#N/A</v>
      </c>
      <c r="X19" s="7" t="e">
        <f>NA()</f>
        <v>#N/A</v>
      </c>
      <c r="Y19" s="7" t="e">
        <f>NA()</f>
        <v>#N/A</v>
      </c>
      <c r="Z19" s="7" t="e">
        <f>NA()</f>
        <v>#N/A</v>
      </c>
    </row>
    <row r="20" spans="1:26" x14ac:dyDescent="0.3">
      <c r="A20" s="9" t="b">
        <v>1</v>
      </c>
      <c r="B20" t="s">
        <v>514</v>
      </c>
      <c r="C20" t="s">
        <v>538</v>
      </c>
      <c r="E20" s="4">
        <v>17</v>
      </c>
      <c r="F20" s="7">
        <f>IF($A$4,'Marco Bezzecchi'!J22,NA())</f>
        <v>1.04400462962963E-3</v>
      </c>
      <c r="G20" s="7">
        <f>IF($A$5,'Raul Fernandez'!J22,NA())</f>
        <v>1.046759259259259E-3</v>
      </c>
      <c r="H20" s="7">
        <f>IF($A$6,'Jorge Martin'!J22,NA())</f>
        <v>1.046423611111111E-3</v>
      </c>
      <c r="I20" s="7">
        <f>IF($A$7,'Ai Ogura'!J22,NA())</f>
        <v>1.053946759259259E-3</v>
      </c>
      <c r="J20" s="7">
        <f>IF($A$8,'Pedro Acosta'!J22,NA())</f>
        <v>1.065092592592593E-3</v>
      </c>
      <c r="K20" s="7">
        <f>IF($A$9,'Marc Marquez'!J22,NA())</f>
        <v>1.056111111111111E-3</v>
      </c>
      <c r="L20" s="7">
        <f>IF($A$10,'Alex Marquez'!J22,NA())</f>
        <v>1.0534722222222219E-3</v>
      </c>
      <c r="M20" s="7">
        <f>IF($A$11,'Fabio Di Giannantonio'!J22,NA())</f>
        <v>1.057719907407407E-3</v>
      </c>
      <c r="N20" s="7">
        <f>IF($A$12,'Fabio Quartararo'!J22,NA())</f>
        <v>1.0552083333333329E-3</v>
      </c>
      <c r="O20" s="7">
        <f>IF($A$13,'Enea Bastianini'!J22,NA())</f>
        <v>1.0509143518518519E-3</v>
      </c>
      <c r="P20" s="7">
        <f>IF($A$14,'Brad Binder'!J22,NA())</f>
        <v>1.05556712962963E-3</v>
      </c>
      <c r="Q20" s="7">
        <f>IF($A$15,'Luca Marini'!J22,NA())</f>
        <v>1.056111111111111E-3</v>
      </c>
      <c r="R20" s="7">
        <f>IF($A$16,'Johann Zarco'!J22,NA())</f>
        <v>1.0509143518518519E-3</v>
      </c>
      <c r="S20" s="7">
        <f>IF($A$17,'Franco Morbidelli'!J22,NA())</f>
        <v>1.0555324074074069E-3</v>
      </c>
      <c r="T20" s="7">
        <f>IF($A$18,'Alex Rins'!J22,NA())</f>
        <v>1.05849537037037E-3</v>
      </c>
      <c r="U20" s="7">
        <f>IF($A$19,'Diogo Moreira'!J22,NA())</f>
        <v>1.0606018518518521E-3</v>
      </c>
      <c r="V20" s="7">
        <f>IF($A$20,'Maverick Viñales'!J22,NA())</f>
        <v>1.058298611111111E-3</v>
      </c>
      <c r="W20" s="7" t="e">
        <f>NA()</f>
        <v>#N/A</v>
      </c>
      <c r="X20" s="7" t="e">
        <f>NA()</f>
        <v>#N/A</v>
      </c>
      <c r="Y20" s="7" t="e">
        <f>NA()</f>
        <v>#N/A</v>
      </c>
      <c r="Z20" s="7" t="e">
        <f>NA()</f>
        <v>#N/A</v>
      </c>
    </row>
    <row r="21" spans="1:26" x14ac:dyDescent="0.3">
      <c r="A21" s="9" t="b">
        <v>1</v>
      </c>
      <c r="B21" t="s">
        <v>515</v>
      </c>
      <c r="C21" t="s">
        <v>539</v>
      </c>
      <c r="E21" s="4">
        <v>18</v>
      </c>
      <c r="F21" s="7">
        <f>IF($A$4,'Marco Bezzecchi'!J23,NA())</f>
        <v>1.047627314814815E-3</v>
      </c>
      <c r="G21" s="7">
        <f>IF($A$5,'Raul Fernandez'!J23,NA())</f>
        <v>1.048368055555555E-3</v>
      </c>
      <c r="H21" s="7">
        <f>IF($A$6,'Jorge Martin'!J23,NA())</f>
        <v>1.0494675925925929E-3</v>
      </c>
      <c r="I21" s="7">
        <f>IF($A$7,'Ai Ogura'!J23,NA())</f>
        <v>1.051597222222222E-3</v>
      </c>
      <c r="J21" s="7">
        <f>IF($A$8,'Pedro Acosta'!J23,NA())</f>
        <v>1.052962962962963E-3</v>
      </c>
      <c r="K21" s="7">
        <f>IF($A$9,'Marc Marquez'!J23,NA())</f>
        <v>1.0529398148148149E-3</v>
      </c>
      <c r="L21" s="7">
        <f>IF($A$10,'Alex Marquez'!J23,NA())</f>
        <v>1.0508912037037041E-3</v>
      </c>
      <c r="M21" s="7">
        <f>IF($A$11,'Fabio Di Giannantonio'!J23,NA())</f>
        <v>1.058518518518519E-3</v>
      </c>
      <c r="N21" s="7">
        <f>IF($A$12,'Fabio Quartararo'!J23,NA())</f>
        <v>1.053368055555555E-3</v>
      </c>
      <c r="O21" s="7">
        <f>IF($A$13,'Enea Bastianini'!J23,NA())</f>
        <v>1.0485300925925931E-3</v>
      </c>
      <c r="P21" s="7">
        <f>IF($A$14,'Brad Binder'!J23,NA())</f>
        <v>1.055983796296296E-3</v>
      </c>
      <c r="Q21" s="7">
        <f>IF($A$15,'Luca Marini'!J23,NA())</f>
        <v>1.0526967592592591E-3</v>
      </c>
      <c r="R21" s="7">
        <f>IF($A$16,'Johann Zarco'!J23,NA())</f>
        <v>1.0505902777777779E-3</v>
      </c>
      <c r="S21" s="7">
        <f>IF($A$17,'Franco Morbidelli'!J23,NA())</f>
        <v>1.0562037037037039E-3</v>
      </c>
      <c r="T21" s="7">
        <f>IF($A$18,'Alex Rins'!J23,NA())</f>
        <v>1.058819444444444E-3</v>
      </c>
      <c r="U21" s="7">
        <f>IF($A$19,'Diogo Moreira'!J23,NA())</f>
        <v>1.061145833333333E-3</v>
      </c>
      <c r="V21" s="7">
        <f>IF($A$20,'Maverick Viñales'!J23,NA())</f>
        <v>1.0599768518518521E-3</v>
      </c>
      <c r="W21" s="7" t="e">
        <f>NA()</f>
        <v>#N/A</v>
      </c>
      <c r="X21" s="7" t="e">
        <f>NA()</f>
        <v>#N/A</v>
      </c>
      <c r="Y21" s="7" t="e">
        <f>NA()</f>
        <v>#N/A</v>
      </c>
      <c r="Z21" s="7" t="e">
        <f>NA()</f>
        <v>#N/A</v>
      </c>
    </row>
    <row r="22" spans="1:26" x14ac:dyDescent="0.3">
      <c r="A22" s="9" t="b">
        <v>1</v>
      </c>
      <c r="B22" t="s">
        <v>516</v>
      </c>
      <c r="C22" t="s">
        <v>540</v>
      </c>
      <c r="E22" s="4">
        <v>19</v>
      </c>
      <c r="F22" s="7">
        <f>IF($A$4,'Marco Bezzecchi'!J24,NA())</f>
        <v>1.0412037037037039E-3</v>
      </c>
      <c r="G22" s="7">
        <f>IF($A$5,'Raul Fernandez'!J24,NA())</f>
        <v>1.058969907407408E-3</v>
      </c>
      <c r="H22" s="7">
        <f>IF($A$6,'Jorge Martin'!J24,NA())</f>
        <v>1.0513773148148151E-3</v>
      </c>
      <c r="I22" s="7">
        <f>IF($A$7,'Ai Ogura'!J24,NA())</f>
        <v>1.0560532407407411E-3</v>
      </c>
      <c r="J22" s="7">
        <f>IF($A$8,'Pedro Acosta'!J24,NA())</f>
        <v>1.0514120370370369E-3</v>
      </c>
      <c r="K22" s="7">
        <f>IF($A$9,'Marc Marquez'!J24,NA())</f>
        <v>1.0512962962962961E-3</v>
      </c>
      <c r="L22" s="7">
        <f>IF($A$10,'Alex Marquez'!J24,NA())</f>
        <v>1.0522337962962959E-3</v>
      </c>
      <c r="M22" s="7">
        <f>IF($A$11,'Fabio Di Giannantonio'!J24,NA())</f>
        <v>1.0568287037037039E-3</v>
      </c>
      <c r="N22" s="7">
        <f>IF($A$12,'Fabio Quartararo'!J24,NA())</f>
        <v>1.0559143518518519E-3</v>
      </c>
      <c r="O22" s="7">
        <f>IF($A$13,'Enea Bastianini'!J24,NA())</f>
        <v>1.0504629629629629E-3</v>
      </c>
      <c r="P22" s="7">
        <f>IF($A$14,'Brad Binder'!J24,NA())</f>
        <v>1.061608796296296E-3</v>
      </c>
      <c r="Q22" s="7">
        <f>IF($A$15,'Luca Marini'!J24,NA())</f>
        <v>1.0606018518518521E-3</v>
      </c>
      <c r="R22" s="7">
        <f>IF($A$16,'Johann Zarco'!J24,NA())</f>
        <v>1.051550925925926E-3</v>
      </c>
      <c r="S22" s="7">
        <f>IF($A$17,'Franco Morbidelli'!J24,NA())</f>
        <v>1.0562037037037039E-3</v>
      </c>
      <c r="T22" s="7">
        <f>IF($A$18,'Alex Rins'!J24,NA())</f>
        <v>1.0612499999999999E-3</v>
      </c>
      <c r="U22" s="7">
        <f>IF($A$19,'Diogo Moreira'!J24,NA())</f>
        <v>1.059768518518518E-3</v>
      </c>
      <c r="V22" s="7">
        <f>IF($A$20,'Maverick Viñales'!J24,NA())</f>
        <v>1.06119212962963E-3</v>
      </c>
      <c r="W22" s="7" t="e">
        <f>NA()</f>
        <v>#N/A</v>
      </c>
      <c r="X22" s="7" t="e">
        <f>NA()</f>
        <v>#N/A</v>
      </c>
      <c r="Y22" s="7" t="e">
        <f>NA()</f>
        <v>#N/A</v>
      </c>
      <c r="Z22" s="7" t="e">
        <f>NA()</f>
        <v>#N/A</v>
      </c>
    </row>
    <row r="23" spans="1:26" x14ac:dyDescent="0.3">
      <c r="A23" s="9" t="b">
        <v>1</v>
      </c>
      <c r="B23" t="s">
        <v>517</v>
      </c>
      <c r="C23" t="s">
        <v>541</v>
      </c>
      <c r="E23" s="4">
        <v>20</v>
      </c>
      <c r="F23" s="7">
        <f>IF($A$4,'Marco Bezzecchi'!J25,NA())</f>
        <v>1.048414351851852E-3</v>
      </c>
      <c r="G23" s="7">
        <f>IF($A$5,'Raul Fernandez'!J25,NA())</f>
        <v>1.052800925925926E-3</v>
      </c>
      <c r="H23" s="7">
        <f>IF($A$6,'Jorge Martin'!J25,NA())</f>
        <v>1.0487615740740739E-3</v>
      </c>
      <c r="I23" s="7">
        <f>IF($A$7,'Ai Ogura'!J25,NA())</f>
        <v>1.048715277777778E-3</v>
      </c>
      <c r="J23" s="7">
        <f>IF($A$8,'Pedro Acosta'!J25,NA())</f>
        <v>1.051550925925926E-3</v>
      </c>
      <c r="K23" s="7">
        <f>IF($A$9,'Marc Marquez'!J25,NA())</f>
        <v>1.0552199074074071E-3</v>
      </c>
      <c r="L23" s="7">
        <f>IF($A$10,'Alex Marquez'!J25,NA())</f>
        <v>1.055023148148148E-3</v>
      </c>
      <c r="M23" s="7">
        <f>IF($A$11,'Fabio Di Giannantonio'!J25,NA())</f>
        <v>1.0565046296296299E-3</v>
      </c>
      <c r="N23" s="7">
        <f>IF($A$12,'Fabio Quartararo'!J25,NA())</f>
        <v>1.0529166666666671E-3</v>
      </c>
      <c r="O23" s="7">
        <f>IF($A$13,'Enea Bastianini'!J25,NA())</f>
        <v>1.0513310185185181E-3</v>
      </c>
      <c r="P23" s="7">
        <f>IF($A$14,'Brad Binder'!J25,NA())</f>
        <v>1.0545833333333329E-3</v>
      </c>
      <c r="Q23" s="7">
        <f>IF($A$15,'Luca Marini'!J25,NA())</f>
        <v>1.057638888888889E-3</v>
      </c>
      <c r="R23" s="7">
        <f>IF($A$16,'Johann Zarco'!J25,NA())</f>
        <v>1.051597222222222E-3</v>
      </c>
      <c r="S23" s="7">
        <f>IF($A$17,'Franco Morbidelli'!J25,NA())</f>
        <v>1.0614120370370369E-3</v>
      </c>
      <c r="T23" s="7">
        <f>IF($A$18,'Alex Rins'!J25,NA())</f>
        <v>1.0649305555555559E-3</v>
      </c>
      <c r="U23" s="7">
        <f>IF($A$19,'Diogo Moreira'!J25,NA())</f>
        <v>1.061331018518519E-3</v>
      </c>
      <c r="V23" s="7">
        <f>IF($A$20,'Maverick Viñales'!J25,NA())</f>
        <v>1.0693518518518519E-3</v>
      </c>
      <c r="W23" s="7" t="e">
        <f>NA()</f>
        <v>#N/A</v>
      </c>
      <c r="X23" s="7" t="e">
        <f>NA()</f>
        <v>#N/A</v>
      </c>
      <c r="Y23" s="7" t="e">
        <f>NA()</f>
        <v>#N/A</v>
      </c>
      <c r="Z23" s="7" t="e">
        <f>NA()</f>
        <v>#N/A</v>
      </c>
    </row>
    <row r="24" spans="1:26" x14ac:dyDescent="0.3">
      <c r="A24" s="9" t="b">
        <v>1</v>
      </c>
      <c r="B24" t="s">
        <v>518</v>
      </c>
      <c r="C24" t="s">
        <v>542</v>
      </c>
      <c r="E24" s="4">
        <v>21</v>
      </c>
      <c r="F24" s="7">
        <f>IF($A$4,'Marco Bezzecchi'!J26,NA())</f>
        <v>1.0462500000000001E-3</v>
      </c>
      <c r="G24" s="7">
        <f>IF($A$5,'Raul Fernandez'!J26,NA())</f>
        <v>1.053252314814815E-3</v>
      </c>
      <c r="H24" s="7">
        <f>IF($A$6,'Jorge Martin'!J26,NA())</f>
        <v>1.0514120370370369E-3</v>
      </c>
      <c r="I24" s="7">
        <f>IF($A$7,'Ai Ogura'!J26,NA())</f>
        <v>1.049293981481482E-3</v>
      </c>
      <c r="J24" s="7">
        <f>IF($A$8,'Pedro Acosta'!J26,NA())</f>
        <v>1.0481481481481481E-3</v>
      </c>
      <c r="K24" s="7">
        <f>IF($A$9,'Marc Marquez'!J26,NA())</f>
        <v>1.053055555555556E-3</v>
      </c>
      <c r="L24" s="7">
        <f>IF($A$10,'Alex Marquez'!J26,NA())</f>
        <v>1.0582870370370371E-3</v>
      </c>
      <c r="M24" s="7">
        <f>IF($A$11,'Fabio Di Giannantonio'!J26,NA())</f>
        <v>1.0589814814814811E-3</v>
      </c>
      <c r="N24" s="7">
        <f>IF($A$12,'Fabio Quartararo'!J26,NA())</f>
        <v>1.0535995370370369E-3</v>
      </c>
      <c r="O24" s="7">
        <f>IF($A$13,'Enea Bastianini'!J26,NA())</f>
        <v>1.050185185185185E-3</v>
      </c>
      <c r="P24" s="7">
        <f>IF($A$14,'Brad Binder'!J26,NA())</f>
        <v>1.053136574074074E-3</v>
      </c>
      <c r="Q24" s="7">
        <f>IF($A$15,'Luca Marini'!J26,NA())</f>
        <v>1.0547222222222221E-3</v>
      </c>
      <c r="R24" s="7">
        <f>IF($A$16,'Johann Zarco'!J26,NA())</f>
        <v>1.0521296296296301E-3</v>
      </c>
      <c r="S24" s="7">
        <f>IF($A$17,'Franco Morbidelli'!J26,NA())</f>
        <v>1.061608796296296E-3</v>
      </c>
      <c r="T24" s="7">
        <f>IF($A$18,'Alex Rins'!J26,NA())</f>
        <v>1.0700231481481481E-3</v>
      </c>
      <c r="U24" s="7">
        <f>IF($A$19,'Diogo Moreira'!J26,NA())</f>
        <v>1.062025462962963E-3</v>
      </c>
      <c r="V24" s="7">
        <f>IF($A$20,'Maverick Viñales'!J26,NA())</f>
        <v>1.0606018518518521E-3</v>
      </c>
      <c r="W24" s="7" t="e">
        <f>NA()</f>
        <v>#N/A</v>
      </c>
      <c r="X24" s="7" t="e">
        <f>NA()</f>
        <v>#N/A</v>
      </c>
      <c r="Y24" s="7" t="e">
        <f>NA()</f>
        <v>#N/A</v>
      </c>
      <c r="Z24" s="7" t="e">
        <f>NA()</f>
        <v>#N/A</v>
      </c>
    </row>
    <row r="25" spans="1:26" x14ac:dyDescent="0.3">
      <c r="E25" s="4">
        <v>22</v>
      </c>
      <c r="F25" s="7">
        <f>IF($A$4,'Marco Bezzecchi'!J27,NA())</f>
        <v>1.0528472222222219E-3</v>
      </c>
      <c r="G25" s="7">
        <f>IF($A$5,'Raul Fernandez'!J27,NA())</f>
        <v>1.053263888888889E-3</v>
      </c>
      <c r="H25" s="7">
        <f>IF($A$6,'Jorge Martin'!J27,NA())</f>
        <v>1.0538888888888889E-3</v>
      </c>
      <c r="I25" s="7">
        <f>IF($A$7,'Ai Ogura'!J27,NA())</f>
        <v>1.049826388888889E-3</v>
      </c>
      <c r="J25" s="7">
        <f>IF($A$8,'Pedro Acosta'!J27,NA())</f>
        <v>1.052060185185185E-3</v>
      </c>
      <c r="K25" s="7">
        <f>IF($A$9,'Marc Marquez'!J27,NA())</f>
        <v>1.052731481481482E-3</v>
      </c>
      <c r="L25" s="7">
        <f>IF($A$10,'Alex Marquez'!J27,NA())</f>
        <v>1.0629050925925929E-3</v>
      </c>
      <c r="M25" s="7">
        <f>IF($A$11,'Fabio Di Giannantonio'!J27,NA())</f>
        <v>1.0695254629629631E-3</v>
      </c>
      <c r="N25" s="7">
        <f>IF($A$12,'Fabio Quartararo'!J27,NA())</f>
        <v>1.054733796296296E-3</v>
      </c>
      <c r="O25" s="7">
        <f>IF($A$13,'Enea Bastianini'!J27,NA())</f>
        <v>1.0526851851851849E-3</v>
      </c>
      <c r="P25" s="7">
        <f>IF($A$14,'Brad Binder'!J27,NA())</f>
        <v>1.053287037037037E-3</v>
      </c>
      <c r="Q25" s="7">
        <f>IF($A$15,'Luca Marini'!J27,NA())</f>
        <v>1.0536921296296299E-3</v>
      </c>
      <c r="R25" s="7">
        <f>IF($A$16,'Johann Zarco'!J27,NA())</f>
        <v>1.050983796296296E-3</v>
      </c>
      <c r="S25" s="7">
        <f>IF($A$17,'Franco Morbidelli'!J27,NA())</f>
        <v>1.0566666666666669E-3</v>
      </c>
      <c r="T25" s="7">
        <f>IF($A$18,'Alex Rins'!J27,NA())</f>
        <v>1.0619560185185189E-3</v>
      </c>
      <c r="U25" s="7">
        <f>IF($A$19,'Diogo Moreira'!J27,NA())</f>
        <v>1.059733796296296E-3</v>
      </c>
      <c r="V25" s="7">
        <f>IF($A$20,'Maverick Viñales'!J27,NA())</f>
        <v>1.0582407407407411E-3</v>
      </c>
      <c r="W25" s="7" t="e">
        <f>NA()</f>
        <v>#N/A</v>
      </c>
      <c r="X25" s="7" t="e">
        <f>NA()</f>
        <v>#N/A</v>
      </c>
      <c r="Y25" s="7" t="e">
        <f>NA()</f>
        <v>#N/A</v>
      </c>
      <c r="Z25" s="7" t="e">
        <f>NA()</f>
        <v>#N/A</v>
      </c>
    </row>
    <row r="26" spans="1:26" x14ac:dyDescent="0.3">
      <c r="E26" s="4">
        <v>23</v>
      </c>
      <c r="F26" s="7">
        <f>IF($A$4,'Marco Bezzecchi'!J28,NA())</f>
        <v>1.0523958333333329E-3</v>
      </c>
      <c r="G26" s="7">
        <f>IF($A$5,'Raul Fernandez'!J28,NA())</f>
        <v>1.051655092592593E-3</v>
      </c>
      <c r="H26" s="7">
        <f>IF($A$6,'Jorge Martin'!J28,NA())</f>
        <v>1.052673611111111E-3</v>
      </c>
      <c r="I26" s="7">
        <f>IF($A$7,'Ai Ogura'!J28,NA())</f>
        <v>1.049907407407407E-3</v>
      </c>
      <c r="J26" s="7">
        <f>IF($A$8,'Pedro Acosta'!J28,NA())</f>
        <v>1.049988425925926E-3</v>
      </c>
      <c r="K26" s="7">
        <f>IF($A$9,'Marc Marquez'!J28,NA())</f>
        <v>1.0508796296296299E-3</v>
      </c>
      <c r="L26" s="7">
        <f>IF($A$10,'Alex Marquez'!J28,NA())</f>
        <v>1.0568287037037039E-3</v>
      </c>
      <c r="M26" s="7">
        <f>IF($A$11,'Fabio Di Giannantonio'!J28,NA())</f>
        <v>1.0749537037037041E-3</v>
      </c>
      <c r="N26" s="7">
        <f>IF($A$12,'Fabio Quartararo'!J28,NA())</f>
        <v>1.0539004629629631E-3</v>
      </c>
      <c r="O26" s="7">
        <f>IF($A$13,'Enea Bastianini'!J28,NA())</f>
        <v>1.052511574074074E-3</v>
      </c>
      <c r="P26" s="7">
        <f>IF($A$14,'Brad Binder'!J28,NA())</f>
        <v>1.05787037037037E-3</v>
      </c>
      <c r="Q26" s="7">
        <f>IF($A$15,'Luca Marini'!J28,NA())</f>
        <v>1.0568287037037039E-3</v>
      </c>
      <c r="R26" s="7">
        <f>IF($A$16,'Johann Zarco'!J28,NA())</f>
        <v>1.054571759259259E-3</v>
      </c>
      <c r="S26" s="7">
        <f>IF($A$17,'Franco Morbidelli'!J28,NA())</f>
        <v>1.056469907407407E-3</v>
      </c>
      <c r="T26" s="7">
        <f>IF($A$18,'Alex Rins'!J28,NA())</f>
        <v>1.060775462962963E-3</v>
      </c>
      <c r="U26" s="7">
        <f>IF($A$19,'Diogo Moreira'!J28,NA())</f>
        <v>1.059826388888889E-3</v>
      </c>
      <c r="V26" s="7">
        <f>IF($A$20,'Maverick Viñales'!J28,NA())</f>
        <v>1.0588310185185191E-3</v>
      </c>
      <c r="W26" s="7" t="e">
        <f>NA()</f>
        <v>#N/A</v>
      </c>
      <c r="X26" s="7" t="e">
        <f>NA()</f>
        <v>#N/A</v>
      </c>
      <c r="Y26" s="7" t="e">
        <f>NA()</f>
        <v>#N/A</v>
      </c>
      <c r="Z26" s="7" t="e">
        <f>NA()</f>
        <v>#N/A</v>
      </c>
    </row>
    <row r="27" spans="1:26" x14ac:dyDescent="0.3">
      <c r="E27" s="4">
        <v>24</v>
      </c>
      <c r="F27" s="7">
        <f>IF($A$4,'Marco Bezzecchi'!J29,NA())</f>
        <v>1.0516203703703701E-3</v>
      </c>
      <c r="G27" s="7">
        <f>IF($A$5,'Raul Fernandez'!J29,NA())</f>
        <v>1.05375E-3</v>
      </c>
      <c r="H27" s="7">
        <f>IF($A$6,'Jorge Martin'!J29,NA())</f>
        <v>1.054895833333333E-3</v>
      </c>
      <c r="I27" s="7">
        <f>IF($A$7,'Ai Ogura'!J29,NA())</f>
        <v>1.049733796296296E-3</v>
      </c>
      <c r="J27" s="7">
        <f>IF($A$8,'Pedro Acosta'!J29,NA())</f>
        <v>1.0501041666666671E-3</v>
      </c>
      <c r="K27" s="7">
        <f>IF($A$9,'Marc Marquez'!J29,NA())</f>
        <v>1.0520370370370371E-3</v>
      </c>
      <c r="L27" s="7">
        <f>IF($A$10,'Alex Marquez'!J29,NA())</f>
        <v>1.0571643518518521E-3</v>
      </c>
      <c r="M27" s="7">
        <f>IF($A$11,'Fabio Di Giannantonio'!J29,NA())</f>
        <v>1.0682060185185189E-3</v>
      </c>
      <c r="N27" s="7">
        <f>IF($A$12,'Fabio Quartararo'!J29,NA())</f>
        <v>1.0524537037037041E-3</v>
      </c>
      <c r="O27" s="7">
        <f>IF($A$13,'Enea Bastianini'!J29,NA())</f>
        <v>1.0495601851851851E-3</v>
      </c>
      <c r="P27" s="7">
        <f>IF($A$14,'Brad Binder'!J29,NA())</f>
        <v>1.0532754629629631E-3</v>
      </c>
      <c r="Q27" s="7">
        <f>IF($A$15,'Luca Marini'!J29,NA())</f>
        <v>1.053217592592593E-3</v>
      </c>
      <c r="R27" s="7">
        <f>IF($A$16,'Johann Zarco'!J29,NA())</f>
        <v>1.055451388888889E-3</v>
      </c>
      <c r="S27" s="7">
        <f>IF($A$17,'Franco Morbidelli'!J29,NA())</f>
        <v>1.0553125E-3</v>
      </c>
      <c r="T27" s="7">
        <f>IF($A$18,'Alex Rins'!J29,NA())</f>
        <v>1.0645486111111109E-3</v>
      </c>
      <c r="U27" s="7">
        <f>IF($A$19,'Diogo Moreira'!J29,NA())</f>
        <v>1.064699074074074E-3</v>
      </c>
      <c r="V27" s="7">
        <f>IF($A$20,'Maverick Viñales'!J29,NA())</f>
        <v>1.0603009259259259E-3</v>
      </c>
      <c r="W27" s="7" t="e">
        <f>NA()</f>
        <v>#N/A</v>
      </c>
      <c r="X27" s="7" t="e">
        <f>NA()</f>
        <v>#N/A</v>
      </c>
      <c r="Y27" s="7" t="e">
        <f>NA()</f>
        <v>#N/A</v>
      </c>
      <c r="Z27" s="7" t="e">
        <f>NA()</f>
        <v>#N/A</v>
      </c>
    </row>
    <row r="28" spans="1:26" x14ac:dyDescent="0.3">
      <c r="E28" s="4">
        <v>25</v>
      </c>
      <c r="F28" s="7">
        <f>IF($A$4,'Marco Bezzecchi'!J30,NA())</f>
        <v>1.0543865740740739E-3</v>
      </c>
      <c r="G28" s="7">
        <f>IF($A$5,'Raul Fernandez'!J30,NA())</f>
        <v>1.056481481481482E-3</v>
      </c>
      <c r="H28" s="7">
        <f>IF($A$6,'Jorge Martin'!J30,NA())</f>
        <v>1.056018518518518E-3</v>
      </c>
      <c r="I28" s="7">
        <f>IF($A$7,'Ai Ogura'!J30,NA())</f>
        <v>1.056793981481481E-3</v>
      </c>
      <c r="J28" s="7">
        <f>IF($A$8,'Pedro Acosta'!J30,NA())</f>
        <v>1.0607523148148149E-3</v>
      </c>
      <c r="K28" s="7">
        <f>IF($A$9,'Marc Marquez'!J30,NA())</f>
        <v>1.057060185185185E-3</v>
      </c>
      <c r="L28" s="7">
        <f>IF($A$10,'Alex Marquez'!J30,NA())</f>
        <v>1.0576504629629629E-3</v>
      </c>
      <c r="M28" s="7">
        <f>IF($A$11,'Fabio Di Giannantonio'!J30,NA())</f>
        <v>1.061643518518518E-3</v>
      </c>
      <c r="N28" s="7">
        <f>IF($A$12,'Fabio Quartararo'!J30,NA())</f>
        <v>1.0563310185185189E-3</v>
      </c>
      <c r="O28" s="7">
        <f>IF($A$13,'Enea Bastianini'!J30,NA())</f>
        <v>1.061724537037037E-3</v>
      </c>
      <c r="P28" s="7">
        <f>IF($A$14,'Brad Binder'!J30,NA())</f>
        <v>1.0577893518518521E-3</v>
      </c>
      <c r="Q28" s="7">
        <f>IF($A$15,'Luca Marini'!J30,NA())</f>
        <v>1.061805555555555E-3</v>
      </c>
      <c r="R28" s="7">
        <f>IF($A$16,'Johann Zarco'!J30,NA())</f>
        <v>1.0711342592592591E-3</v>
      </c>
      <c r="S28" s="7">
        <f>IF($A$17,'Franco Morbidelli'!J30,NA())</f>
        <v>1.0583101851851849E-3</v>
      </c>
      <c r="T28" s="7">
        <f>IF($A$18,'Alex Rins'!J30,NA())</f>
        <v>1.0626967592592591E-3</v>
      </c>
      <c r="U28" s="7">
        <f>IF($A$19,'Diogo Moreira'!J30,NA())</f>
        <v>1.064907407407407E-3</v>
      </c>
      <c r="V28" s="7">
        <f>IF($A$20,'Maverick Viñales'!J30,NA())</f>
        <v>1.066076388888889E-3</v>
      </c>
      <c r="W28" s="7" t="e">
        <f>NA()</f>
        <v>#N/A</v>
      </c>
      <c r="X28" s="7" t="e">
        <f>NA()</f>
        <v>#N/A</v>
      </c>
      <c r="Y28" s="7" t="e">
        <f>NA()</f>
        <v>#N/A</v>
      </c>
      <c r="Z28" s="7" t="e">
        <f>NA()</f>
        <v>#N/A</v>
      </c>
    </row>
    <row r="29" spans="1:26" x14ac:dyDescent="0.3">
      <c r="E29" s="4">
        <v>26</v>
      </c>
      <c r="F29" s="7">
        <f>IF($A$4,'Marco Bezzecchi'!J31,NA())</f>
        <v>1.0546527777777781E-3</v>
      </c>
      <c r="G29" s="7">
        <f>IF($A$5,'Raul Fernandez'!J31,NA())</f>
        <v>1.0612962962962961E-3</v>
      </c>
      <c r="H29" s="7">
        <f>IF($A$6,'Jorge Martin'!J31,NA())</f>
        <v>1.0608333333333329E-3</v>
      </c>
      <c r="I29" s="7">
        <f>IF($A$7,'Ai Ogura'!J31,NA())</f>
        <v>1.052430555555556E-3</v>
      </c>
      <c r="J29" s="7">
        <f>IF($A$8,'Pedro Acosta'!J31,NA())</f>
        <v>1.0550462962962959E-3</v>
      </c>
      <c r="K29" s="7">
        <f>IF($A$9,'Marc Marquez'!J31,NA())</f>
        <v>1.052546296296296E-3</v>
      </c>
      <c r="L29" s="7">
        <f>IF($A$10,'Alex Marquez'!J31,NA())</f>
        <v>1.0656249999999999E-3</v>
      </c>
      <c r="M29" s="7">
        <f>IF($A$11,'Fabio Di Giannantonio'!J31,NA())</f>
        <v>1.0674305555555561E-3</v>
      </c>
      <c r="N29" s="7">
        <f>IF($A$12,'Fabio Quartararo'!J31,NA())</f>
        <v>1.058229166666667E-3</v>
      </c>
      <c r="O29" s="7">
        <f>IF($A$13,'Enea Bastianini'!J31,NA())</f>
        <v>1.0566087962962959E-3</v>
      </c>
      <c r="P29" s="7">
        <f>IF($A$14,'Brad Binder'!J31,NA())</f>
        <v>1.0586458333333331E-3</v>
      </c>
      <c r="Q29" s="7">
        <f>IF($A$15,'Luca Marini'!J31,NA())</f>
        <v>1.070543981481482E-3</v>
      </c>
      <c r="R29" s="7">
        <f>IF($A$16,'Johann Zarco'!J31,NA())</f>
        <v>1.074907407407407E-3</v>
      </c>
      <c r="S29" s="7">
        <f>IF($A$17,'Franco Morbidelli'!J31,NA())</f>
        <v>1.0609143518518519E-3</v>
      </c>
      <c r="T29" s="7">
        <f>IF($A$18,'Alex Rins'!J31,NA())</f>
        <v>1.0648148148148151E-3</v>
      </c>
      <c r="U29" s="7">
        <f>IF($A$19,'Diogo Moreira'!J31,NA())</f>
        <v>1.068726851851852E-3</v>
      </c>
      <c r="V29" s="7">
        <f>IF($A$20,'Maverick Viñales'!J31,NA())</f>
        <v>1.097407407407407E-3</v>
      </c>
      <c r="W29" s="7" t="e">
        <f>NA()</f>
        <v>#N/A</v>
      </c>
      <c r="X29" s="7" t="e">
        <f>NA()</f>
        <v>#N/A</v>
      </c>
      <c r="Y29" s="7" t="e">
        <f>NA()</f>
        <v>#N/A</v>
      </c>
      <c r="Z29" s="7" t="e">
        <f>NA()</f>
        <v>#N/A</v>
      </c>
    </row>
    <row r="30" spans="1:26" x14ac:dyDescent="0.3">
      <c r="E30" s="4">
        <v>27</v>
      </c>
      <c r="F30" s="7">
        <f>IF($A$4,'Marco Bezzecchi'!J32,NA())</f>
        <v>1.058958333333333E-3</v>
      </c>
      <c r="G30" s="7">
        <f>IF($A$5,'Raul Fernandez'!J32,NA())</f>
        <v>1.0697222222222219E-3</v>
      </c>
      <c r="H30" s="7">
        <f>IF($A$6,'Jorge Martin'!J32,NA())</f>
        <v>1.0759606481481479E-3</v>
      </c>
      <c r="I30" s="7">
        <f>IF($A$7,'Ai Ogura'!J32,NA())</f>
        <v>1.051111111111111E-3</v>
      </c>
      <c r="J30" s="7">
        <f>IF($A$8,'Pedro Acosta'!J32,NA())</f>
        <v>1.048877314814815E-3</v>
      </c>
      <c r="K30" s="7">
        <f>IF($A$9,'Marc Marquez'!J32,NA())</f>
        <v>1.059409722222222E-3</v>
      </c>
      <c r="L30" s="7">
        <f>IF($A$10,'Alex Marquez'!J32,NA())</f>
        <v>1.0681828703703699E-3</v>
      </c>
      <c r="M30" s="7">
        <f>IF($A$11,'Fabio Di Giannantonio'!J32,NA())</f>
        <v>1.064664351851852E-3</v>
      </c>
      <c r="N30" s="7">
        <f>IF($A$12,'Fabio Quartararo'!J32,NA())</f>
        <v>1.0580787037037041E-3</v>
      </c>
      <c r="O30" s="7">
        <f>IF($A$13,'Enea Bastianini'!J32,NA())</f>
        <v>1.054988425925926E-3</v>
      </c>
      <c r="P30" s="7">
        <f>IF($A$14,'Brad Binder'!J32,NA())</f>
        <v>1.0581134259259261E-3</v>
      </c>
      <c r="Q30" s="7">
        <f>IF($A$15,'Luca Marini'!J32,NA())</f>
        <v>1.060023148148148E-3</v>
      </c>
      <c r="R30" s="7">
        <f>IF($A$16,'Johann Zarco'!J32,NA())</f>
        <v>1.072476851851852E-3</v>
      </c>
      <c r="S30" s="7">
        <f>IF($A$17,'Franco Morbidelli'!J32,NA())</f>
        <v>1.054039351851852E-3</v>
      </c>
      <c r="T30" s="7">
        <f>IF($A$18,'Alex Rins'!J32,NA())</f>
        <v>1.0621296296296301E-3</v>
      </c>
      <c r="U30" s="7">
        <f>IF($A$19,'Diogo Moreira'!J32,NA())</f>
        <v>1.0751736111111109E-3</v>
      </c>
      <c r="V30" s="7">
        <f>IF($A$20,'Maverick Viñales'!J32,NA())</f>
        <v>1.1300115740740741E-3</v>
      </c>
      <c r="W30" s="7" t="e">
        <f>NA()</f>
        <v>#N/A</v>
      </c>
      <c r="X30" s="7" t="e">
        <f>NA()</f>
        <v>#N/A</v>
      </c>
      <c r="Y30" s="7" t="e">
        <f>NA()</f>
        <v>#N/A</v>
      </c>
      <c r="Z30" s="7" t="e">
        <f>NA()</f>
        <v>#N/A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Marco Bezzecchi</vt:lpstr>
      <vt:lpstr>Raul Fernandez</vt:lpstr>
      <vt:lpstr>Jorge Martin</vt:lpstr>
      <vt:lpstr>Ai Ogura</vt:lpstr>
      <vt:lpstr>Pedro Acosta</vt:lpstr>
      <vt:lpstr>Marc Marquez</vt:lpstr>
      <vt:lpstr>Alex Marquez</vt:lpstr>
      <vt:lpstr>Fabio Di Giannantonio</vt:lpstr>
      <vt:lpstr>Fabio Quartararo</vt:lpstr>
      <vt:lpstr>Enea Bastianini</vt:lpstr>
      <vt:lpstr>Brad Binder</vt:lpstr>
      <vt:lpstr>Luca Marini</vt:lpstr>
      <vt:lpstr>Johann Zarco</vt:lpstr>
      <vt:lpstr>Franco Morbidelli</vt:lpstr>
      <vt:lpstr>Alex Rins</vt:lpstr>
      <vt:lpstr>Diogo Moreira</vt:lpstr>
      <vt:lpstr>Maverick Viñales</vt:lpstr>
      <vt:lpstr>Toprak Razgatlioglu</vt:lpstr>
      <vt:lpstr>Francesco Bagnaia</vt:lpstr>
      <vt:lpstr>Jack Miller</vt:lpstr>
      <vt:lpstr>Fermin Aldeguer</vt:lpstr>
      <vt:lpstr>Race Data</vt:lpstr>
      <vt:lpstr>Race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MotoGP Lap Analysis</dc:title>
  <dc:creator/>
  <dc:description>Generated from Analysis.pdf</dc:description>
  <cp:lastModifiedBy>Miguel Mayorga</cp:lastModifiedBy>
  <dcterms:created xsi:type="dcterms:W3CDTF">2026-10-11T22:55:25Z</dcterms:created>
  <dcterms:modified xsi:type="dcterms:W3CDTF">2026-10-11T23:06:21Z</dcterms:modified>
</cp:coreProperties>
</file>