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1021446\Documents\MotoGP\Season_JSON\"/>
    </mc:Choice>
  </mc:AlternateContent>
  <xr:revisionPtr revIDLastSave="0" documentId="13_ncr:1_{7B215D6D-BCE2-4FCB-8DFF-6B38F7D0DD7F}" xr6:coauthVersionLast="47" xr6:coauthVersionMax="47" xr10:uidLastSave="{00000000-0000-0000-0000-000000000000}"/>
  <bookViews>
    <workbookView xWindow="-28920" yWindow="-120" windowWidth="29040" windowHeight="17520" xr2:uid="{00000000-000D-0000-FFFF-FFFF00000000}"/>
  </bookViews>
  <sheets>
    <sheet name="Model Data" sheetId="1" r:id="rId1"/>
    <sheet name="Probabilistic Charts" sheetId="2" r:id="rId2"/>
    <sheet name="Championship Solve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3" l="1"/>
  <c r="J26" i="3" s="1"/>
  <c r="K26" i="3" s="1"/>
  <c r="I25" i="3"/>
  <c r="J25" i="3" s="1"/>
  <c r="K25" i="3" s="1"/>
  <c r="I24" i="3"/>
  <c r="J24" i="3" s="1"/>
  <c r="K24" i="3" s="1"/>
  <c r="I23" i="3"/>
  <c r="J23" i="3" s="1"/>
  <c r="K23" i="3" s="1"/>
  <c r="I22" i="3"/>
  <c r="J22" i="3" s="1"/>
  <c r="K22" i="3" s="1"/>
  <c r="F22" i="3"/>
  <c r="I21" i="3"/>
  <c r="J21" i="3" s="1"/>
  <c r="K21" i="3" s="1"/>
  <c r="I20" i="3"/>
  <c r="J20" i="3" s="1"/>
  <c r="K20" i="3" s="1"/>
  <c r="I19" i="3"/>
  <c r="J19" i="3" s="1"/>
  <c r="K19" i="3" s="1"/>
  <c r="I18" i="3"/>
  <c r="J18" i="3" s="1"/>
  <c r="K18" i="3" s="1"/>
  <c r="F18" i="3"/>
  <c r="I17" i="3"/>
  <c r="J17" i="3" s="1"/>
  <c r="K17" i="3" s="1"/>
  <c r="F17" i="3"/>
  <c r="F20" i="3" s="1"/>
  <c r="I16" i="3"/>
  <c r="J16" i="3" s="1"/>
  <c r="K16" i="3" s="1"/>
  <c r="F16" i="3"/>
  <c r="I15" i="3"/>
  <c r="J15" i="3" s="1"/>
  <c r="K15" i="3" s="1"/>
  <c r="F15" i="3"/>
  <c r="F19" i="3" s="1"/>
  <c r="I14" i="3"/>
  <c r="J14" i="3" s="1"/>
  <c r="K14" i="3" s="1"/>
  <c r="I13" i="3"/>
  <c r="J13" i="3" s="1"/>
  <c r="K13" i="3" s="1"/>
  <c r="I12" i="3"/>
  <c r="J12" i="3" s="1"/>
  <c r="K12" i="3" s="1"/>
  <c r="J11" i="3"/>
  <c r="K11" i="3" s="1"/>
  <c r="I11" i="3"/>
  <c r="I10" i="3"/>
  <c r="J10" i="3" s="1"/>
  <c r="K10" i="3" s="1"/>
  <c r="I9" i="3"/>
  <c r="J9" i="3" s="1"/>
  <c r="K9" i="3" s="1"/>
  <c r="J8" i="3"/>
  <c r="K8" i="3" s="1"/>
  <c r="I8" i="3"/>
  <c r="I7" i="3"/>
  <c r="J7" i="3" s="1"/>
  <c r="K7" i="3" s="1"/>
  <c r="I6" i="3"/>
  <c r="J6" i="3" s="1"/>
  <c r="K6" i="3" s="1"/>
  <c r="I5" i="3"/>
  <c r="J5" i="3" s="1"/>
  <c r="K5" i="3" s="1"/>
  <c r="J43" i="2"/>
  <c r="I43" i="2"/>
  <c r="G43" i="2"/>
  <c r="F43" i="2"/>
  <c r="E43" i="2"/>
  <c r="H43" i="2" s="1"/>
  <c r="K43" i="2" s="1"/>
  <c r="L43" i="2" s="1"/>
  <c r="J42" i="2"/>
  <c r="I42" i="2"/>
  <c r="G42" i="2"/>
  <c r="F42" i="2"/>
  <c r="E42" i="2"/>
  <c r="J41" i="2"/>
  <c r="I41" i="2"/>
  <c r="G41" i="2"/>
  <c r="F41" i="2"/>
  <c r="E41" i="2"/>
  <c r="J40" i="2"/>
  <c r="I40" i="2"/>
  <c r="G40" i="2"/>
  <c r="F40" i="2"/>
  <c r="E40" i="2"/>
  <c r="J39" i="2"/>
  <c r="I39" i="2"/>
  <c r="G39" i="2"/>
  <c r="H39" i="2" s="1"/>
  <c r="F39" i="2"/>
  <c r="E39" i="2"/>
  <c r="J38" i="2"/>
  <c r="I38" i="2"/>
  <c r="G38" i="2"/>
  <c r="F38" i="2"/>
  <c r="E38" i="2"/>
  <c r="J37" i="2"/>
  <c r="I37" i="2"/>
  <c r="G37" i="2"/>
  <c r="F37" i="2"/>
  <c r="H37" i="2" s="1"/>
  <c r="K37" i="2" s="1"/>
  <c r="L37" i="2" s="1"/>
  <c r="E37" i="2"/>
  <c r="J36" i="2"/>
  <c r="I36" i="2"/>
  <c r="G36" i="2"/>
  <c r="H36" i="2" s="1"/>
  <c r="K36" i="2" s="1"/>
  <c r="L36" i="2" s="1"/>
  <c r="F36" i="2"/>
  <c r="E36" i="2"/>
  <c r="J35" i="2"/>
  <c r="I35" i="2"/>
  <c r="G35" i="2"/>
  <c r="F35" i="2"/>
  <c r="E35" i="2"/>
  <c r="J34" i="2"/>
  <c r="I34" i="2"/>
  <c r="G34" i="2"/>
  <c r="F34" i="2"/>
  <c r="E34" i="2"/>
  <c r="H34" i="2" s="1"/>
  <c r="K34" i="2" s="1"/>
  <c r="L34" i="2" s="1"/>
  <c r="J33" i="2"/>
  <c r="I33" i="2"/>
  <c r="G33" i="2"/>
  <c r="F33" i="2"/>
  <c r="E33" i="2"/>
  <c r="J32" i="2"/>
  <c r="I32" i="2"/>
  <c r="G32" i="2"/>
  <c r="F32" i="2"/>
  <c r="E32" i="2"/>
  <c r="J31" i="2"/>
  <c r="I31" i="2"/>
  <c r="G31" i="2"/>
  <c r="F31" i="2"/>
  <c r="E31" i="2"/>
  <c r="J30" i="2"/>
  <c r="I30" i="2"/>
  <c r="G30" i="2"/>
  <c r="F30" i="2"/>
  <c r="E30" i="2"/>
  <c r="J29" i="2"/>
  <c r="I29" i="2"/>
  <c r="G29" i="2"/>
  <c r="F29" i="2"/>
  <c r="E29" i="2"/>
  <c r="J28" i="2"/>
  <c r="I28" i="2"/>
  <c r="G28" i="2"/>
  <c r="F28" i="2"/>
  <c r="E28" i="2"/>
  <c r="J27" i="2"/>
  <c r="I27" i="2"/>
  <c r="G27" i="2"/>
  <c r="F27" i="2"/>
  <c r="E27" i="2"/>
  <c r="H27" i="2" s="1"/>
  <c r="K27" i="2" s="1"/>
  <c r="L27" i="2" s="1"/>
  <c r="J26" i="2"/>
  <c r="I26" i="2"/>
  <c r="G26" i="2"/>
  <c r="F26" i="2"/>
  <c r="E26" i="2"/>
  <c r="J25" i="2"/>
  <c r="I25" i="2"/>
  <c r="G25" i="2"/>
  <c r="F25" i="2"/>
  <c r="E25" i="2"/>
  <c r="H25" i="2" s="1"/>
  <c r="K25" i="2" s="1"/>
  <c r="L25" i="2" s="1"/>
  <c r="J24" i="2"/>
  <c r="I24" i="2"/>
  <c r="G24" i="2"/>
  <c r="F24" i="2"/>
  <c r="E24" i="2"/>
  <c r="J23" i="2"/>
  <c r="I23" i="2"/>
  <c r="G23" i="2"/>
  <c r="F23" i="2"/>
  <c r="E23" i="2"/>
  <c r="J22" i="2"/>
  <c r="I22" i="2"/>
  <c r="G22" i="2"/>
  <c r="F22" i="2"/>
  <c r="E22" i="2"/>
  <c r="J21" i="2"/>
  <c r="I21" i="2"/>
  <c r="G21" i="2"/>
  <c r="F21" i="2"/>
  <c r="E21" i="2"/>
  <c r="J20" i="2"/>
  <c r="I20" i="2"/>
  <c r="G20" i="2"/>
  <c r="F20" i="2"/>
  <c r="E20" i="2"/>
  <c r="J19" i="2"/>
  <c r="I19" i="2"/>
  <c r="G19" i="2"/>
  <c r="F19" i="2"/>
  <c r="E19" i="2"/>
  <c r="H19" i="2" s="1"/>
  <c r="K19" i="2" s="1"/>
  <c r="L19" i="2" s="1"/>
  <c r="J18" i="2"/>
  <c r="I18" i="2"/>
  <c r="G18" i="2"/>
  <c r="F18" i="2"/>
  <c r="E18" i="2"/>
  <c r="H18" i="2" s="1"/>
  <c r="K18" i="2" s="1"/>
  <c r="L18" i="2" s="1"/>
  <c r="J17" i="2"/>
  <c r="I17" i="2"/>
  <c r="G17" i="2"/>
  <c r="F17" i="2"/>
  <c r="E17" i="2"/>
  <c r="J16" i="2"/>
  <c r="I16" i="2"/>
  <c r="G16" i="2"/>
  <c r="F16" i="2"/>
  <c r="E16" i="2"/>
  <c r="J15" i="2"/>
  <c r="I15" i="2"/>
  <c r="G15" i="2"/>
  <c r="F15" i="2"/>
  <c r="E15" i="2"/>
  <c r="J14" i="2"/>
  <c r="I14" i="2"/>
  <c r="G14" i="2"/>
  <c r="F14" i="2"/>
  <c r="E14" i="2"/>
  <c r="J13" i="2"/>
  <c r="I13" i="2"/>
  <c r="G13" i="2"/>
  <c r="F13" i="2"/>
  <c r="E13" i="2"/>
  <c r="H31" i="2" l="1"/>
  <c r="H28" i="2"/>
  <c r="K28" i="2" s="1"/>
  <c r="L28" i="2" s="1"/>
  <c r="H41" i="2"/>
  <c r="K41" i="2" s="1"/>
  <c r="L41" i="2" s="1"/>
  <c r="H35" i="2"/>
  <c r="K35" i="2" s="1"/>
  <c r="L35" i="2" s="1"/>
  <c r="H32" i="2"/>
  <c r="K32" i="2" s="1"/>
  <c r="L32" i="2" s="1"/>
  <c r="H29" i="2"/>
  <c r="K29" i="2" s="1"/>
  <c r="L29" i="2" s="1"/>
  <c r="K39" i="2"/>
  <c r="L39" i="2" s="1"/>
  <c r="H20" i="2"/>
  <c r="K20" i="2" s="1"/>
  <c r="L20" i="2" s="1"/>
  <c r="H16" i="2"/>
  <c r="K16" i="2" s="1"/>
  <c r="L16" i="2" s="1"/>
  <c r="H23" i="2"/>
  <c r="K23" i="2" s="1"/>
  <c r="L23" i="2" s="1"/>
  <c r="H13" i="2"/>
  <c r="K13" i="2" s="1"/>
  <c r="L13" i="2" s="1"/>
  <c r="H14" i="2"/>
  <c r="K14" i="2" s="1"/>
  <c r="L14" i="2" s="1"/>
  <c r="H21" i="2"/>
  <c r="K21" i="2" s="1"/>
  <c r="L21" i="2" s="1"/>
  <c r="H30" i="2"/>
  <c r="K30" i="2" s="1"/>
  <c r="L30" i="2" s="1"/>
  <c r="F26" i="3"/>
  <c r="F21" i="3"/>
  <c r="F23" i="3"/>
  <c r="F24" i="3" s="1"/>
  <c r="K31" i="2"/>
  <c r="L31" i="2" s="1"/>
  <c r="H42" i="2"/>
  <c r="K42" i="2" s="1"/>
  <c r="L42" i="2" s="1"/>
  <c r="H15" i="2"/>
  <c r="K15" i="2" s="1"/>
  <c r="L15" i="2" s="1"/>
  <c r="H24" i="2"/>
  <c r="K24" i="2" s="1"/>
  <c r="L24" i="2" s="1"/>
  <c r="H40" i="2"/>
  <c r="K40" i="2" s="1"/>
  <c r="L40" i="2" s="1"/>
  <c r="H17" i="2"/>
  <c r="K17" i="2" s="1"/>
  <c r="L17" i="2" s="1"/>
  <c r="H26" i="2"/>
  <c r="K26" i="2" s="1"/>
  <c r="L26" i="2" s="1"/>
  <c r="H22" i="2"/>
  <c r="K22" i="2" s="1"/>
  <c r="L22" i="2" s="1"/>
  <c r="H38" i="2"/>
  <c r="K38" i="2" s="1"/>
  <c r="L38" i="2" s="1"/>
  <c r="H33" i="2"/>
  <c r="K33" i="2" s="1"/>
  <c r="L33" i="2" s="1"/>
  <c r="M33" i="2" l="1"/>
  <c r="M17" i="2"/>
  <c r="M16" i="2"/>
  <c r="M29" i="2"/>
  <c r="M19" i="2"/>
  <c r="M38" i="2"/>
  <c r="M22" i="2"/>
  <c r="M26" i="2"/>
  <c r="M13" i="2"/>
  <c r="M35" i="2"/>
  <c r="M40" i="2"/>
  <c r="M15" i="2"/>
  <c r="M34" i="2"/>
  <c r="M37" i="2"/>
  <c r="M30" i="2"/>
  <c r="F25" i="3"/>
  <c r="M18" i="2"/>
  <c r="M21" i="2"/>
  <c r="M41" i="2"/>
  <c r="M27" i="2"/>
  <c r="M36" i="2"/>
  <c r="M20" i="2"/>
  <c r="M25" i="2"/>
  <c r="M31" i="2"/>
  <c r="M42" i="2"/>
  <c r="M28" i="2"/>
  <c r="M24" i="2"/>
  <c r="M39" i="2"/>
  <c r="M32" i="2"/>
  <c r="M14" i="2"/>
  <c r="M23" i="2"/>
  <c r="M43" i="2"/>
</calcChain>
</file>

<file path=xl/sharedStrings.xml><?xml version="1.0" encoding="utf-8"?>
<sst xmlns="http://schemas.openxmlformats.org/spreadsheetml/2006/main" count="214" uniqueCount="133">
  <si>
    <t>Rider</t>
  </si>
  <si>
    <t>Number</t>
  </si>
  <si>
    <t>Nationality</t>
  </si>
  <si>
    <t>Manufacturer</t>
  </si>
  <si>
    <t>Races</t>
  </si>
  <si>
    <t>Wins</t>
  </si>
  <si>
    <t>Podiums</t>
  </si>
  <si>
    <t>Top 5</t>
  </si>
  <si>
    <t>GP Points from JSON</t>
  </si>
  <si>
    <t>Avg Finish</t>
  </si>
  <si>
    <t>Recent Avg Finish</t>
  </si>
  <si>
    <t>Finish StdDev</t>
  </si>
  <si>
    <t>Smoothed Win %</t>
  </si>
  <si>
    <t>Smoothed Podium %</t>
  </si>
  <si>
    <t>Smoothed Top 5 %</t>
  </si>
  <si>
    <t>Shortened Race %</t>
  </si>
  <si>
    <t>Normalized Pace Delta</t>
  </si>
  <si>
    <t>Jorge MARTIN</t>
  </si>
  <si>
    <t>SPA</t>
  </si>
  <si>
    <t>APRILIA</t>
  </si>
  <si>
    <t>Marco BEZZECCHI</t>
  </si>
  <si>
    <t>ITA</t>
  </si>
  <si>
    <t>Marc MARQUEZ</t>
  </si>
  <si>
    <t>DUCATI</t>
  </si>
  <si>
    <t>Pedro ACOSTA</t>
  </si>
  <si>
    <t>KTM</t>
  </si>
  <si>
    <t>Ai OGURA</t>
  </si>
  <si>
    <t>JPN</t>
  </si>
  <si>
    <t>Fabio DI GIANNANTONIO</t>
  </si>
  <si>
    <t>Raul FERNANDEZ</t>
  </si>
  <si>
    <t>Alex MARQUEZ</t>
  </si>
  <si>
    <t>Enea BASTIANINI</t>
  </si>
  <si>
    <t>Francesco BAGNAIA</t>
  </si>
  <si>
    <t>Luca MARINI</t>
  </si>
  <si>
    <t>HONDA</t>
  </si>
  <si>
    <t>Fermin ALDEGUER</t>
  </si>
  <si>
    <t>Brad BINDER</t>
  </si>
  <si>
    <t>RSA</t>
  </si>
  <si>
    <t>Fabio QUARTARARO</t>
  </si>
  <si>
    <t>FRA</t>
  </si>
  <si>
    <t>YAMAHA</t>
  </si>
  <si>
    <t>Diogo MOREIRA</t>
  </si>
  <si>
    <t>BRA</t>
  </si>
  <si>
    <t>Franco MORBIDELLI</t>
  </si>
  <si>
    <t>Joan MIR</t>
  </si>
  <si>
    <t>Johann ZARCO</t>
  </si>
  <si>
    <t>Jack MILLER</t>
  </si>
  <si>
    <t>AUS</t>
  </si>
  <si>
    <t>Alex RINS</t>
  </si>
  <si>
    <t>Toprak RAZGATLIOGLU</t>
  </si>
  <si>
    <t>TUR</t>
  </si>
  <si>
    <t>Maverick VIÑALES</t>
  </si>
  <si>
    <t>Iker LECUONA</t>
  </si>
  <si>
    <t>Pol ESPARGARO</t>
  </si>
  <si>
    <t>Somkiat CHANTRA</t>
  </si>
  <si>
    <t>THA</t>
  </si>
  <si>
    <t>Takaaki NAKAGAMI</t>
  </si>
  <si>
    <t>Augusto FERNANDEZ</t>
  </si>
  <si>
    <t>Jonas FOLGER</t>
  </si>
  <si>
    <t>GER</t>
  </si>
  <si>
    <t>Cal CRUTCHLOW</t>
  </si>
  <si>
    <t>GBR</t>
  </si>
  <si>
    <t>Michele PIRRO</t>
  </si>
  <si>
    <t>Lorenzo SAVADORI</t>
  </si>
  <si>
    <t>MotoGP Model Estimates</t>
  </si>
  <si>
    <t>Editable model controls</t>
  </si>
  <si>
    <t>Control</t>
  </si>
  <si>
    <t>Value</t>
  </si>
  <si>
    <t>Explanation</t>
  </si>
  <si>
    <t>Season-history weight</t>
  </si>
  <si>
    <t>Weight on full-season empirical rates</t>
  </si>
  <si>
    <t>Recent-form weight</t>
  </si>
  <si>
    <t>Weight on last N race finishing form</t>
  </si>
  <si>
    <t>Pace weight</t>
  </si>
  <si>
    <t>Weight on normalized median-lap pace</t>
  </si>
  <si>
    <t>Recent window</t>
  </si>
  <si>
    <t>Number of latest entries already reflected in Model Data</t>
  </si>
  <si>
    <t>Probability temperature</t>
  </si>
  <si>
    <t>Higher values make title estimates less concentrated</t>
  </si>
  <si>
    <t>Remaining rounds</t>
  </si>
  <si>
    <t>Used in projected final points</t>
  </si>
  <si>
    <t>Max points per weekend</t>
  </si>
  <si>
    <t>25 GP plus 12 Sprint</t>
  </si>
  <si>
    <t>Rider adjustments and calculated estimates</t>
  </si>
  <si>
    <t>Official Current Points</t>
  </si>
  <si>
    <t>Form Adjustment</t>
  </si>
  <si>
    <t>Participating</t>
  </si>
  <si>
    <t>Historical Win %</t>
  </si>
  <si>
    <t>Recent Form Score</t>
  </si>
  <si>
    <t>Pace Score</t>
  </si>
  <si>
    <t>Adjusted Win %</t>
  </si>
  <si>
    <t>Podium %</t>
  </si>
  <si>
    <t>Top 5 %</t>
  </si>
  <si>
    <t>Expected GP Points</t>
  </si>
  <si>
    <t>Projected Final Points</t>
  </si>
  <si>
    <t>Title Probability Estimate</t>
  </si>
  <si>
    <t>Methodology note:</t>
  </si>
  <si>
    <t>These are model estimates from historical GP classifications, recent finishing form, and normalized lap pace. Official Current Points is editable because the JSON files do not contain Sprint classifications. The title probability estimate is a softmax heuristic over projected final points, not betting odds or an official forecast.</t>
  </si>
  <si>
    <t>Editable Championship Scenario Solver</t>
  </si>
  <si>
    <t>Points tables</t>
  </si>
  <si>
    <t>Position</t>
  </si>
  <si>
    <t>GP Points</t>
  </si>
  <si>
    <t>Sprint Points</t>
  </si>
  <si>
    <t>Scenario inputs</t>
  </si>
  <si>
    <t>Input</t>
  </si>
  <si>
    <t>Target rider</t>
  </si>
  <si>
    <t>Target current points</t>
  </si>
  <si>
    <t>Primary rival</t>
  </si>
  <si>
    <t>Rival current points</t>
  </si>
  <si>
    <t>Remaining rounds including scenario</t>
  </si>
  <si>
    <t>Target next GP finish</t>
  </si>
  <si>
    <t>Target next Sprint finish</t>
  </si>
  <si>
    <t>Rival next GP finish</t>
  </si>
  <si>
    <t>Rival next Sprint finish</t>
  </si>
  <si>
    <t>Scenario outputs</t>
  </si>
  <si>
    <t>Target GP points</t>
  </si>
  <si>
    <t>Target Sprint points</t>
  </si>
  <si>
    <t>Rival GP points</t>
  </si>
  <si>
    <t>Rival Sprint points</t>
  </si>
  <si>
    <t>Target points after scenario</t>
  </si>
  <si>
    <t>Rival points after scenario</t>
  </si>
  <si>
    <t>Gap after scenario</t>
  </si>
  <si>
    <t>Rounds remaining afterward</t>
  </si>
  <si>
    <t>Maximum points still available</t>
  </si>
  <si>
    <t>Target mathematically alive?</t>
  </si>
  <si>
    <t>Rival mathematically alive?</t>
  </si>
  <si>
    <t>Required net gain per remaining round</t>
  </si>
  <si>
    <t>Next GP win condition</t>
  </si>
  <si>
    <t>Rival GP Finish</t>
  </si>
  <si>
    <t>Rival GP Points</t>
  </si>
  <si>
    <t>Net GP Gain vs Target Win</t>
  </si>
  <si>
    <t>Closes Current Gap?</t>
  </si>
  <si>
    <t>Use Official Current Points for championship-accurate scenarios. The historical points derived from the JSON files include Sunday GP classifications only; Sprint results must be included manually in the current-points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</si>
</sst>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Calibri"/>
      <family val="2"/>
      <scheme val="minor"/>
    </font>
    <font>
      <b/>
      <sz val="16"/>
      <color rgb="FFFFFFFF"/>
      <name val="Calibri"/>
      <family val="2"/>
      <scheme val="minor"/>
    </font>
    <font>
      <b/>
      <sz val="12"/>
      <color rgb="FFFFFFFF"/>
      <name val="Calibri"/>
      <family val="2"/>
      <scheme val="minor"/>
    </font>
    <font>
      <b/>
      <sz val="11"/>
      <color rgb="FFFFFFFF"/>
      <name val="Calibri"/>
      <family val="2"/>
      <scheme val="minor"/>
    </font>
    <font>
      <i/>
      <sz val="11"/>
      <color rgb="FF666666"/>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4472C4"/>
        <bgColor indexed="64"/>
      </patternFill>
    </fill>
    <fill>
      <patternFill patternType="solid">
        <fgColor rgb="FFFFF2CC"/>
        <bgColor indexed="64"/>
      </patternFill>
    </fill>
    <fill>
      <patternFill patternType="solid">
        <fgColor rgb="FFE2F0D9"/>
        <bgColor indexed="64"/>
      </patternFill>
    </fill>
    <fill>
      <patternFill patternType="solid">
        <fgColor theme="6" tint="0.39997558519241921"/>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9">
    <xf numFmtId="0" fontId="0" fillId="0" borderId="0" xfId="0"/>
    <xf numFmtId="0" fontId="2" fillId="3" borderId="0" xfId="0" applyFont="1" applyFill="1"/>
    <xf numFmtId="0" fontId="3" fillId="4" borderId="1" xfId="0" applyFont="1" applyFill="1" applyBorder="1" applyAlignment="1">
      <alignment horizontal="center"/>
    </xf>
    <xf numFmtId="0" fontId="0" fillId="0" borderId="1" xfId="0" applyBorder="1"/>
    <xf numFmtId="2" fontId="0" fillId="5" borderId="1" xfId="0" applyNumberFormat="1" applyFill="1" applyBorder="1"/>
    <xf numFmtId="1" fontId="0" fillId="5" borderId="1" xfId="0" applyNumberFormat="1" applyFill="1" applyBorder="1" applyAlignment="1">
      <alignment horizontal="center"/>
    </xf>
    <xf numFmtId="0" fontId="0" fillId="0" borderId="0" xfId="0">
      <extLst>
        <ext xmlns:xfpb="http://schemas.microsoft.com/office/spreadsheetml/2022/featurepropertybag" uri="{C7286773-470A-42A8-94C5-96B5CB345126}">
          <xfpb:xfComplement i="0"/>
        </ext>
      </extLst>
    </xf>
    <xf numFmtId="164" fontId="0" fillId="0" borderId="1" xfId="0" applyNumberFormat="1" applyBorder="1"/>
    <xf numFmtId="2" fontId="0" fillId="0" borderId="1" xfId="0" applyNumberFormat="1" applyBorder="1"/>
    <xf numFmtId="2" fontId="0" fillId="6" borderId="1" xfId="0" applyNumberFormat="1" applyFill="1" applyBorder="1"/>
    <xf numFmtId="1" fontId="0" fillId="0" borderId="1" xfId="0" applyNumberFormat="1" applyBorder="1" applyAlignment="1">
      <alignment horizontal="center"/>
    </xf>
    <xf numFmtId="0" fontId="1" fillId="2" borderId="0" xfId="0" applyFont="1" applyFill="1" applyAlignment="1">
      <alignment horizontal="center"/>
    </xf>
    <xf numFmtId="0" fontId="4" fillId="0" borderId="0" xfId="0" applyFont="1" applyAlignment="1">
      <alignment wrapText="1"/>
    </xf>
    <xf numFmtId="2" fontId="0" fillId="5" borderId="1" xfId="0" applyNumberForma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7" borderId="1" xfId="0" applyFill="1" applyBorder="1"/>
    <xf numFmtId="165" fontId="0" fillId="0" borderId="1" xfId="0" applyNumberFormat="1" applyBorder="1"/>
    <xf numFmtId="10" fontId="0" fillId="0" borderId="1" xfId="0" applyNumberFormat="1" applyBorder="1"/>
    <xf numFmtId="0" fontId="0" fillId="0" borderId="6" xfId="0" applyBorder="1"/>
    <xf numFmtId="0" fontId="0" fillId="0" borderId="7" xfId="0" applyBorder="1"/>
    <xf numFmtId="0" fontId="0" fillId="0" borderId="8" xfId="0" applyBorder="1"/>
    <xf numFmtId="0" fontId="0" fillId="7" borderId="8" xfId="0" applyFill="1" applyBorder="1"/>
    <xf numFmtId="165" fontId="0" fillId="0" borderId="8" xfId="0" applyNumberFormat="1" applyBorder="1"/>
    <xf numFmtId="2" fontId="0" fillId="0" borderId="8" xfId="0" applyNumberFormat="1" applyBorder="1"/>
    <xf numFmtId="10" fontId="0" fillId="0" borderId="8" xfId="0" applyNumberFormat="1" applyBorder="1"/>
    <xf numFmtId="0" fontId="0" fillId="0" borderId="9" xfId="0" applyBorder="1"/>
  </cellXfs>
  <cellStyles count="1">
    <cellStyle name="Normal" xfId="0" builtinId="0"/>
  </cellStyles>
  <dxfs count="21">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Next-Race Win Probability</a:t>
            </a:r>
          </a:p>
        </c:rich>
      </c:tx>
      <c:overlay val="0"/>
    </c:title>
    <c:autoTitleDeleted val="0"/>
    <c:plotArea>
      <c:layout/>
      <c:barChart>
        <c:barDir val="bar"/>
        <c:grouping val="clustered"/>
        <c:varyColors val="0"/>
        <c:ser>
          <c:idx val="0"/>
          <c:order val="0"/>
          <c:tx>
            <c:v>Adjusted Next-Race Win %</c:v>
          </c:tx>
          <c:spPr>
            <a:solidFill>
              <a:srgbClr val="4472C4"/>
            </a:solidFill>
          </c:spPr>
          <c:invertIfNegative val="0"/>
          <c:cat>
            <c:strRef>
              <c:f>'Probabilistic Charts'!$A$13:$A$43</c:f>
              <c:strCache>
                <c:ptCount val="31"/>
                <c:pt idx="0">
                  <c:v>Jorge MARTIN</c:v>
                </c:pt>
                <c:pt idx="1">
                  <c:v>Marco BEZZECCHI</c:v>
                </c:pt>
                <c:pt idx="2">
                  <c:v>Marc MARQUEZ</c:v>
                </c:pt>
                <c:pt idx="3">
                  <c:v>Pedro ACOSTA</c:v>
                </c:pt>
                <c:pt idx="4">
                  <c:v>Ai OGURA</c:v>
                </c:pt>
                <c:pt idx="5">
                  <c:v>Fabio DI GIANNANTONIO</c:v>
                </c:pt>
                <c:pt idx="6">
                  <c:v>Raul FERNANDEZ</c:v>
                </c:pt>
                <c:pt idx="7">
                  <c:v>Alex MARQUEZ</c:v>
                </c:pt>
                <c:pt idx="8">
                  <c:v>Enea BASTIANINI</c:v>
                </c:pt>
                <c:pt idx="9">
                  <c:v>Francesco BAGNAIA</c:v>
                </c:pt>
                <c:pt idx="10">
                  <c:v>Luca MARINI</c:v>
                </c:pt>
                <c:pt idx="11">
                  <c:v>Fermin ALDEGUER</c:v>
                </c:pt>
                <c:pt idx="12">
                  <c:v>Brad BINDER</c:v>
                </c:pt>
                <c:pt idx="13">
                  <c:v>Fabio QUARTARARO</c:v>
                </c:pt>
                <c:pt idx="14">
                  <c:v>Diogo MOREIRA</c:v>
                </c:pt>
                <c:pt idx="15">
                  <c:v>Franco MORBIDELLI</c:v>
                </c:pt>
                <c:pt idx="16">
                  <c:v>Joan MIR</c:v>
                </c:pt>
                <c:pt idx="17">
                  <c:v>Johann ZARCO</c:v>
                </c:pt>
                <c:pt idx="18">
                  <c:v>Jack MILLER</c:v>
                </c:pt>
                <c:pt idx="19">
                  <c:v>Alex RINS</c:v>
                </c:pt>
                <c:pt idx="20">
                  <c:v>Toprak RAZGATLIOGLU</c:v>
                </c:pt>
                <c:pt idx="21">
                  <c:v>Maverick VIÑALES</c:v>
                </c:pt>
                <c:pt idx="22">
                  <c:v>Iker LECUONA</c:v>
                </c:pt>
                <c:pt idx="23">
                  <c:v>Pol ESPARGARO</c:v>
                </c:pt>
                <c:pt idx="24">
                  <c:v>Somkiat CHANTRA</c:v>
                </c:pt>
                <c:pt idx="25">
                  <c:v>Takaaki NAKAGAMI</c:v>
                </c:pt>
                <c:pt idx="26">
                  <c:v>Augusto FERNANDEZ</c:v>
                </c:pt>
                <c:pt idx="27">
                  <c:v>Jonas FOLGER</c:v>
                </c:pt>
                <c:pt idx="28">
                  <c:v>Cal CRUTCHLOW</c:v>
                </c:pt>
                <c:pt idx="29">
                  <c:v>Michele PIRRO</c:v>
                </c:pt>
                <c:pt idx="30">
                  <c:v>Lorenzo SAVADORI</c:v>
                </c:pt>
              </c:strCache>
            </c:strRef>
          </c:cat>
          <c:val>
            <c:numRef>
              <c:f>'Probabilistic Charts'!$H$13:$H$43</c:f>
              <c:numCache>
                <c:formatCode>0.0%</c:formatCode>
                <c:ptCount val="31"/>
                <c:pt idx="0">
                  <c:v>0.52672142902391084</c:v>
                </c:pt>
                <c:pt idx="1">
                  <c:v>0.60893306240387401</c:v>
                </c:pt>
                <c:pt idx="2">
                  <c:v>0.62437178301202945</c:v>
                </c:pt>
                <c:pt idx="3">
                  <c:v>0.48077832154139538</c:v>
                </c:pt>
                <c:pt idx="4">
                  <c:v>0.48192720728955246</c:v>
                </c:pt>
                <c:pt idx="5">
                  <c:v>0.32518373378647591</c:v>
                </c:pt>
                <c:pt idx="6">
                  <c:v>0.438607654089124</c:v>
                </c:pt>
                <c:pt idx="7">
                  <c:v>0.22676973704614461</c:v>
                </c:pt>
                <c:pt idx="8">
                  <c:v>0.30690298256164772</c:v>
                </c:pt>
                <c:pt idx="9">
                  <c:v>0.27889111407245382</c:v>
                </c:pt>
                <c:pt idx="10">
                  <c:v>0.37053370010911912</c:v>
                </c:pt>
                <c:pt idx="11">
                  <c:v>0.28905567141610256</c:v>
                </c:pt>
                <c:pt idx="12">
                  <c:v>0.34466219398332193</c:v>
                </c:pt>
                <c:pt idx="13">
                  <c:v>0.2638010064736212</c:v>
                </c:pt>
                <c:pt idx="14">
                  <c:v>0.15619914061829659</c:v>
                </c:pt>
                <c:pt idx="15">
                  <c:v>0.20710923537547032</c:v>
                </c:pt>
                <c:pt idx="16">
                  <c:v>0.25301073309135491</c:v>
                </c:pt>
                <c:pt idx="17">
                  <c:v>0.17213940551744505</c:v>
                </c:pt>
                <c:pt idx="18">
                  <c:v>9.0418633650712274E-2</c:v>
                </c:pt>
                <c:pt idx="19">
                  <c:v>0.18341735607229243</c:v>
                </c:pt>
                <c:pt idx="20">
                  <c:v>0.1460093316779246</c:v>
                </c:pt>
                <c:pt idx="21">
                  <c:v>0.21438951620902613</c:v>
                </c:pt>
                <c:pt idx="22">
                  <c:v>0.33391400036018071</c:v>
                </c:pt>
                <c:pt idx="23">
                  <c:v>0.22756797219530306</c:v>
                </c:pt>
                <c:pt idx="24">
                  <c:v>0.25870855988057945</c:v>
                </c:pt>
                <c:pt idx="25">
                  <c:v>0.37880695420637756</c:v>
                </c:pt>
                <c:pt idx="26">
                  <c:v>0.38025171982959793</c:v>
                </c:pt>
                <c:pt idx="27">
                  <c:v>0.27232065263497113</c:v>
                </c:pt>
                <c:pt idx="28">
                  <c:v>0.18847758109728913</c:v>
                </c:pt>
                <c:pt idx="29">
                  <c:v>0.19641347359563877</c:v>
                </c:pt>
                <c:pt idx="30">
                  <c:v>0.19818202792837783</c:v>
                </c:pt>
              </c:numCache>
            </c:numRef>
          </c:val>
          <c:extLst>
            <c:ext xmlns:c16="http://schemas.microsoft.com/office/drawing/2014/chart" uri="{C3380CC4-5D6E-409C-BE32-E72D297353CC}">
              <c16:uniqueId val="{00000000-63B6-4D32-9BAE-F15DBBA46334}"/>
            </c:ext>
          </c:extLst>
        </c:ser>
        <c:dLbls>
          <c:showLegendKey val="0"/>
          <c:showVal val="0"/>
          <c:showCatName val="0"/>
          <c:showSerName val="0"/>
          <c:showPercent val="0"/>
          <c:showBubbleSize val="0"/>
        </c:dLbls>
        <c:gapWidth val="150"/>
        <c:axId val="50010001"/>
        <c:axId val="50010002"/>
      </c:barChart>
      <c:catAx>
        <c:axId val="50010001"/>
        <c:scaling>
          <c:orientation val="maxMin"/>
        </c:scaling>
        <c:delete val="0"/>
        <c:axPos val="l"/>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t"/>
        <c:majorGridlines/>
        <c:title>
          <c:tx>
            <c:rich>
              <a:bodyPr/>
              <a:lstStyle/>
              <a:p>
                <a:pPr>
                  <a:defRPr/>
                </a:pPr>
                <a:r>
                  <a:rPr lang="en-US"/>
                  <a:t>Probability</a:t>
                </a:r>
              </a:p>
            </c:rich>
          </c:tx>
          <c:overlay val="0"/>
        </c:title>
        <c:numFmt formatCode="0%" sourceLinked="0"/>
        <c:majorTickMark val="out"/>
        <c:minorTickMark val="none"/>
        <c:tickLblPos val="nextTo"/>
        <c:crossAx val="5001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Projected Championship Probability Estimate</a:t>
            </a:r>
          </a:p>
        </c:rich>
      </c:tx>
      <c:overlay val="0"/>
    </c:title>
    <c:autoTitleDeleted val="0"/>
    <c:plotArea>
      <c:layout/>
      <c:barChart>
        <c:barDir val="bar"/>
        <c:grouping val="clustered"/>
        <c:varyColors val="0"/>
        <c:ser>
          <c:idx val="0"/>
          <c:order val="0"/>
          <c:tx>
            <c:v>Title Probability Estimate</c:v>
          </c:tx>
          <c:spPr>
            <a:solidFill>
              <a:srgbClr val="70AD47"/>
            </a:solidFill>
          </c:spPr>
          <c:invertIfNegative val="0"/>
          <c:cat>
            <c:strRef>
              <c:f>'Probabilistic Charts'!$A$13:$A$43</c:f>
              <c:strCache>
                <c:ptCount val="31"/>
                <c:pt idx="0">
                  <c:v>Jorge MARTIN</c:v>
                </c:pt>
                <c:pt idx="1">
                  <c:v>Marco BEZZECCHI</c:v>
                </c:pt>
                <c:pt idx="2">
                  <c:v>Marc MARQUEZ</c:v>
                </c:pt>
                <c:pt idx="3">
                  <c:v>Pedro ACOSTA</c:v>
                </c:pt>
                <c:pt idx="4">
                  <c:v>Ai OGURA</c:v>
                </c:pt>
                <c:pt idx="5">
                  <c:v>Fabio DI GIANNANTONIO</c:v>
                </c:pt>
                <c:pt idx="6">
                  <c:v>Raul FERNANDEZ</c:v>
                </c:pt>
                <c:pt idx="7">
                  <c:v>Alex MARQUEZ</c:v>
                </c:pt>
                <c:pt idx="8">
                  <c:v>Enea BASTIANINI</c:v>
                </c:pt>
                <c:pt idx="9">
                  <c:v>Francesco BAGNAIA</c:v>
                </c:pt>
                <c:pt idx="10">
                  <c:v>Luca MARINI</c:v>
                </c:pt>
                <c:pt idx="11">
                  <c:v>Fermin ALDEGUER</c:v>
                </c:pt>
                <c:pt idx="12">
                  <c:v>Brad BINDER</c:v>
                </c:pt>
                <c:pt idx="13">
                  <c:v>Fabio QUARTARARO</c:v>
                </c:pt>
                <c:pt idx="14">
                  <c:v>Diogo MOREIRA</c:v>
                </c:pt>
                <c:pt idx="15">
                  <c:v>Franco MORBIDELLI</c:v>
                </c:pt>
                <c:pt idx="16">
                  <c:v>Joan MIR</c:v>
                </c:pt>
                <c:pt idx="17">
                  <c:v>Johann ZARCO</c:v>
                </c:pt>
                <c:pt idx="18">
                  <c:v>Jack MILLER</c:v>
                </c:pt>
                <c:pt idx="19">
                  <c:v>Alex RINS</c:v>
                </c:pt>
                <c:pt idx="20">
                  <c:v>Toprak RAZGATLIOGLU</c:v>
                </c:pt>
                <c:pt idx="21">
                  <c:v>Maverick VIÑALES</c:v>
                </c:pt>
                <c:pt idx="22">
                  <c:v>Iker LECUONA</c:v>
                </c:pt>
                <c:pt idx="23">
                  <c:v>Pol ESPARGARO</c:v>
                </c:pt>
                <c:pt idx="24">
                  <c:v>Somkiat CHANTRA</c:v>
                </c:pt>
                <c:pt idx="25">
                  <c:v>Takaaki NAKAGAMI</c:v>
                </c:pt>
                <c:pt idx="26">
                  <c:v>Augusto FERNANDEZ</c:v>
                </c:pt>
                <c:pt idx="27">
                  <c:v>Jonas FOLGER</c:v>
                </c:pt>
                <c:pt idx="28">
                  <c:v>Cal CRUTCHLOW</c:v>
                </c:pt>
                <c:pt idx="29">
                  <c:v>Michele PIRRO</c:v>
                </c:pt>
                <c:pt idx="30">
                  <c:v>Lorenzo SAVADORI</c:v>
                </c:pt>
              </c:strCache>
            </c:strRef>
          </c:cat>
          <c:val>
            <c:numRef>
              <c:f>'Probabilistic Charts'!$M$13:$M$43</c:f>
              <c:numCache>
                <c:formatCode>0.0%</c:formatCode>
                <c:ptCount val="31"/>
                <c:pt idx="0">
                  <c:v>1.5579254426772246E-64</c:v>
                </c:pt>
                <c:pt idx="1">
                  <c:v>0.75286979299671464</c:v>
                </c:pt>
                <c:pt idx="2">
                  <c:v>0.24713020700328545</c:v>
                </c:pt>
                <c:pt idx="3">
                  <c:v>3.8964629149478431E-82</c:v>
                </c:pt>
                <c:pt idx="4">
                  <c:v>2.594559027279397E-85</c:v>
                </c:pt>
                <c:pt idx="5">
                  <c:v>9.4025450005089936E-94</c:v>
                </c:pt>
                <c:pt idx="6">
                  <c:v>1.3046909841524401E-89</c:v>
                </c:pt>
                <c:pt idx="7">
                  <c:v>1.8884493968857482E-106</c:v>
                </c:pt>
                <c:pt idx="8">
                  <c:v>8.5888742863674247E-121</c:v>
                </c:pt>
                <c:pt idx="9">
                  <c:v>1.1086621028449682E-112</c:v>
                </c:pt>
                <c:pt idx="10">
                  <c:v>1.8722216354755133E-122</c:v>
                </c:pt>
                <c:pt idx="11">
                  <c:v>1.1289142821743784E-122</c:v>
                </c:pt>
                <c:pt idx="12">
                  <c:v>8.6207209333430579E-125</c:v>
                </c:pt>
                <c:pt idx="13">
                  <c:v>1.0727171109677373E-131</c:v>
                </c:pt>
                <c:pt idx="14">
                  <c:v>9.5693949840598407E-134</c:v>
                </c:pt>
                <c:pt idx="15">
                  <c:v>1.8544411448152156E-135</c:v>
                </c:pt>
                <c:pt idx="16">
                  <c:v>1.3597924058290392E-134</c:v>
                </c:pt>
                <c:pt idx="17">
                  <c:v>2.5943829561674464E-137</c:v>
                </c:pt>
                <c:pt idx="18">
                  <c:v>3.1757676893835068E-143</c:v>
                </c:pt>
                <c:pt idx="19">
                  <c:v>5.4551576485224276E-142</c:v>
                </c:pt>
                <c:pt idx="20">
                  <c:v>5.9220101237036515E-144</c:v>
                </c:pt>
                <c:pt idx="21">
                  <c:v>4.680471001074035E-141</c:v>
                </c:pt>
                <c:pt idx="22">
                  <c:v>7.8148620762467439E-116</c:v>
                </c:pt>
                <c:pt idx="23">
                  <c:v>1.2342601464732448E-134</c:v>
                </c:pt>
                <c:pt idx="24">
                  <c:v>3.4313996832030537E-133</c:v>
                </c:pt>
                <c:pt idx="25">
                  <c:v>4.3866823731143668E-102</c:v>
                </c:pt>
                <c:pt idx="26">
                  <c:v>1.7812438438661116E-101</c:v>
                </c:pt>
                <c:pt idx="27">
                  <c:v>4.2115106112148628E-117</c:v>
                </c:pt>
                <c:pt idx="28">
                  <c:v>1.9903674353516836E-141</c:v>
                </c:pt>
                <c:pt idx="29">
                  <c:v>3.4953926901936949E-132</c:v>
                </c:pt>
                <c:pt idx="30">
                  <c:v>5.0525574781142854E-132</c:v>
                </c:pt>
              </c:numCache>
            </c:numRef>
          </c:val>
          <c:extLst>
            <c:ext xmlns:c16="http://schemas.microsoft.com/office/drawing/2014/chart" uri="{C3380CC4-5D6E-409C-BE32-E72D297353CC}">
              <c16:uniqueId val="{00000000-CCC1-4FCC-819A-A033B15708BB}"/>
            </c:ext>
          </c:extLst>
        </c:ser>
        <c:dLbls>
          <c:showLegendKey val="0"/>
          <c:showVal val="0"/>
          <c:showCatName val="0"/>
          <c:showSerName val="0"/>
          <c:showPercent val="0"/>
          <c:showBubbleSize val="0"/>
        </c:dLbls>
        <c:gapWidth val="150"/>
        <c:axId val="50020001"/>
        <c:axId val="50020002"/>
      </c:barChart>
      <c:catAx>
        <c:axId val="50020001"/>
        <c:scaling>
          <c:orientation val="maxMin"/>
        </c:scaling>
        <c:delete val="0"/>
        <c:axPos val="l"/>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t"/>
        <c:majorGridlines/>
        <c:title>
          <c:tx>
            <c:rich>
              <a:bodyPr/>
              <a:lstStyle/>
              <a:p>
                <a:pPr>
                  <a:defRPr/>
                </a:pPr>
                <a:r>
                  <a:rPr lang="en-US"/>
                  <a:t>Probability</a:t>
                </a:r>
              </a:p>
            </c:rich>
          </c:tx>
          <c:overlay val="0"/>
        </c:title>
        <c:numFmt formatCode="0%" sourceLinked="0"/>
        <c:majorTickMark val="out"/>
        <c:minorTickMark val="none"/>
        <c:tickLblPos val="nextTo"/>
        <c:crossAx val="5002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Current vs Scenario Championship Points</a:t>
            </a:r>
          </a:p>
        </c:rich>
      </c:tx>
      <c:overlay val="0"/>
    </c:title>
    <c:autoTitleDeleted val="0"/>
    <c:plotArea>
      <c:layout/>
      <c:barChart>
        <c:barDir val="col"/>
        <c:grouping val="clustered"/>
        <c:varyColors val="0"/>
        <c:ser>
          <c:idx val="0"/>
          <c:order val="0"/>
          <c:tx>
            <c:v>Current Points</c:v>
          </c:tx>
          <c:spPr>
            <a:solidFill>
              <a:srgbClr val="A5A5A5"/>
            </a:solidFill>
          </c:spPr>
          <c:invertIfNegative val="0"/>
          <c:val>
            <c:numRef>
              <c:f>'Championship Solver'!$F$5,$F$7</c:f>
              <c:numCache>
                <c:formatCode>General</c:formatCode>
                <c:ptCount val="1"/>
                <c:pt idx="0">
                  <c:v>243</c:v>
                </c:pt>
              </c:numCache>
            </c:numRef>
          </c:val>
          <c:extLst>
            <c:ext xmlns:c15="http://schemas.microsoft.com/office/drawing/2012/chart" uri="{02D57815-91ED-43cb-92C2-25804820EDAC}">
              <c15:filteredCategoryTitle>
                <c15:cat>
                  <c:strRef>
                    <c:extLst>
                      <c:ext uri="{02D57815-91ED-43cb-92C2-25804820EDAC}">
                        <c15:formulaRef>
                          <c15:sqref>'Championship Solver'!$E$4,$E$6</c15:sqref>
                        </c15:formulaRef>
                      </c:ext>
                    </c:extLst>
                    <c:strCache>
                      <c:ptCount val="1"/>
                      <c:pt idx="0">
                        <c:v>Target rider</c:v>
                      </c:pt>
                    </c:strCache>
                  </c:strRef>
                </c15:cat>
              </c15:filteredCategoryTitle>
            </c:ext>
            <c:ext xmlns:c16="http://schemas.microsoft.com/office/drawing/2014/chart" uri="{C3380CC4-5D6E-409C-BE32-E72D297353CC}">
              <c16:uniqueId val="{00000000-CFD6-4ECC-A298-F83D8EF8B16F}"/>
            </c:ext>
          </c:extLst>
        </c:ser>
        <c:ser>
          <c:idx val="1"/>
          <c:order val="1"/>
          <c:tx>
            <c:v>After Scenario</c:v>
          </c:tx>
          <c:spPr>
            <a:solidFill>
              <a:srgbClr val="ED7D31"/>
            </a:solidFill>
          </c:spPr>
          <c:invertIfNegative val="0"/>
          <c:val>
            <c:numRef>
              <c:f>'Championship Solver'!$F$19,$F$20</c:f>
              <c:numCache>
                <c:formatCode>General</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'Championship Solver'!$E$4,$E$6</c15:sqref>
                        </c15:formulaRef>
                      </c:ext>
                    </c:extLst>
                    <c:strCache>
                      <c:ptCount val="1"/>
                      <c:pt idx="0">
                        <c:v>Target rider</c:v>
                      </c:pt>
                    </c:strCache>
                  </c:strRef>
                </c15:cat>
              </c15:filteredCategoryTitle>
            </c:ext>
            <c:ext xmlns:c16="http://schemas.microsoft.com/office/drawing/2014/chart" uri="{C3380CC4-5D6E-409C-BE32-E72D297353CC}">
              <c16:uniqueId val="{00000001-CFD6-4ECC-A298-F83D8EF8B16F}"/>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title>
          <c:tx>
            <c:rich>
              <a:bodyPr/>
              <a:lstStyle/>
              <a:p>
                <a:pPr>
                  <a:defRPr/>
                </a:pPr>
                <a:r>
                  <a:rPr lang="en-US"/>
                  <a:t>Points</a:t>
                </a:r>
              </a:p>
            </c:rich>
          </c:tx>
          <c:overlay val="0"/>
        </c:title>
        <c:numFmt formatCode="General" sourceLinked="1"/>
        <c:majorTickMark val="out"/>
        <c:minorTickMark val="none"/>
        <c:tickLblPos val="nextTo"/>
        <c:crossAx val="50030001"/>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14</xdr:col>
      <xdr:colOff>0</xdr:colOff>
      <xdr:row>2</xdr:row>
      <xdr:rowOff>0</xdr:rowOff>
    </xdr:from>
    <xdr:to>
      <xdr:col>25</xdr:col>
      <xdr:colOff>342900</xdr:colOff>
      <xdr:row>27</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29</xdr:row>
      <xdr:rowOff>0</xdr:rowOff>
    </xdr:from>
    <xdr:to>
      <xdr:col>25</xdr:col>
      <xdr:colOff>342900</xdr:colOff>
      <xdr:row>54</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2</xdr:row>
      <xdr:rowOff>0</xdr:rowOff>
    </xdr:from>
    <xdr:to>
      <xdr:col>21</xdr:col>
      <xdr:colOff>419100</xdr:colOff>
      <xdr:row>20</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 displayName="ModelData" ref="A1:Q32" totalsRowShown="0" headerRowDxfId="0" headerRowBorderDxfId="19" tableBorderDxfId="20" totalsRowBorderDxfId="18">
  <autoFilter ref="A1:Q32" xr:uid="{00000000-0009-0000-0100-000001000000}"/>
  <sortState xmlns:xlrd2="http://schemas.microsoft.com/office/spreadsheetml/2017/richdata2" ref="A2:Q32">
    <sortCondition descending="1" ref="I1:I32"/>
  </sortState>
  <tableColumns count="17">
    <tableColumn id="1" xr3:uid="{00000000-0010-0000-0000-000001000000}" name="Rider" dataDxfId="17"/>
    <tableColumn id="2" xr3:uid="{00000000-0010-0000-0000-000002000000}" name="Number" dataDxfId="16"/>
    <tableColumn id="3" xr3:uid="{00000000-0010-0000-0000-000003000000}" name="Nationality" dataDxfId="15"/>
    <tableColumn id="4" xr3:uid="{00000000-0010-0000-0000-000004000000}" name="Manufacturer" dataDxfId="14"/>
    <tableColumn id="5" xr3:uid="{00000000-0010-0000-0000-000005000000}" name="Races" dataDxfId="13"/>
    <tableColumn id="6" xr3:uid="{00000000-0010-0000-0000-000006000000}" name="Wins" dataDxfId="12"/>
    <tableColumn id="7" xr3:uid="{00000000-0010-0000-0000-000007000000}" name="Podiums" dataDxfId="11"/>
    <tableColumn id="8" xr3:uid="{00000000-0010-0000-0000-000008000000}" name="Top 5" dataDxfId="10"/>
    <tableColumn id="9" xr3:uid="{00000000-0010-0000-0000-000009000000}" name="GP Points from JSON" dataDxfId="9"/>
    <tableColumn id="10" xr3:uid="{00000000-0010-0000-0000-00000A000000}" name="Avg Finish" dataDxfId="8"/>
    <tableColumn id="11" xr3:uid="{00000000-0010-0000-0000-00000B000000}" name="Recent Avg Finish" dataDxfId="7"/>
    <tableColumn id="12" xr3:uid="{00000000-0010-0000-0000-00000C000000}" name="Finish StdDev" dataDxfId="6"/>
    <tableColumn id="13" xr3:uid="{00000000-0010-0000-0000-00000D000000}" name="Smoothed Win %" dataDxfId="5"/>
    <tableColumn id="14" xr3:uid="{00000000-0010-0000-0000-00000E000000}" name="Smoothed Podium %" dataDxfId="4"/>
    <tableColumn id="15" xr3:uid="{00000000-0010-0000-0000-00000F000000}" name="Smoothed Top 5 %" dataDxfId="3"/>
    <tableColumn id="16" xr3:uid="{00000000-0010-0000-0000-000010000000}" name="Shortened Race %" dataDxfId="2"/>
    <tableColumn id="17" xr3:uid="{00000000-0010-0000-0000-000011000000}" name="Normalized Pace Delta" dataDxfId="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2"/>
  <sheetViews>
    <sheetView tabSelected="1" zoomScale="80" zoomScaleNormal="80" workbookViewId="0">
      <pane ySplit="1" topLeftCell="A2" activePane="bottomLeft" state="frozen"/>
      <selection pane="bottomLeft" activeCell="E33" sqref="E33"/>
    </sheetView>
  </sheetViews>
  <sheetFormatPr defaultRowHeight="14.4" x14ac:dyDescent="0.3"/>
  <cols>
    <col min="1" max="1" width="26.6640625" customWidth="1"/>
    <col min="2" max="4" width="14.6640625" customWidth="1"/>
    <col min="5" max="8" width="18.6640625" customWidth="1"/>
    <col min="9" max="9" width="22.21875" bestFit="1" customWidth="1"/>
    <col min="10" max="14" width="18.6640625" customWidth="1"/>
    <col min="15" max="15" width="20.109375" bestFit="1" customWidth="1"/>
    <col min="16" max="16" width="19.5546875" bestFit="1" customWidth="1"/>
    <col min="17" max="17" width="23.88671875" bestFit="1" customWidth="1"/>
  </cols>
  <sheetData>
    <row r="1" spans="1:17" x14ac:dyDescent="0.3">
      <c r="A1" s="14"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6" t="s">
        <v>16</v>
      </c>
    </row>
    <row r="2" spans="1:17" x14ac:dyDescent="0.3">
      <c r="A2" s="17" t="s">
        <v>17</v>
      </c>
      <c r="B2" s="3">
        <v>89</v>
      </c>
      <c r="C2" s="3" t="s">
        <v>18</v>
      </c>
      <c r="D2" s="3" t="s">
        <v>19</v>
      </c>
      <c r="E2" s="3">
        <v>16</v>
      </c>
      <c r="F2" s="3">
        <v>1</v>
      </c>
      <c r="G2" s="3">
        <v>9</v>
      </c>
      <c r="H2" s="3">
        <v>14</v>
      </c>
      <c r="I2" s="18">
        <v>355</v>
      </c>
      <c r="J2" s="19">
        <v>4.3125</v>
      </c>
      <c r="K2" s="8">
        <v>2.333333333333333</v>
      </c>
      <c r="L2" s="8">
        <v>4.0112147474300102</v>
      </c>
      <c r="M2" s="20">
        <v>0.1111111111111111</v>
      </c>
      <c r="N2" s="20">
        <v>0.55555555555555558</v>
      </c>
      <c r="O2" s="20">
        <v>0.83333333333333337</v>
      </c>
      <c r="P2" s="20">
        <v>5.5555555555555552E-2</v>
      </c>
      <c r="Q2" s="21">
        <v>-5.1921629535759406E-3</v>
      </c>
    </row>
    <row r="3" spans="1:17" x14ac:dyDescent="0.3">
      <c r="A3" s="17" t="s">
        <v>22</v>
      </c>
      <c r="B3" s="3">
        <v>93</v>
      </c>
      <c r="C3" s="3" t="s">
        <v>18</v>
      </c>
      <c r="D3" s="3" t="s">
        <v>23</v>
      </c>
      <c r="E3" s="3">
        <v>15</v>
      </c>
      <c r="F3" s="3">
        <v>6</v>
      </c>
      <c r="G3" s="3">
        <v>6</v>
      </c>
      <c r="H3" s="3">
        <v>9</v>
      </c>
      <c r="I3" s="3">
        <v>353</v>
      </c>
      <c r="J3" s="19">
        <v>6.1333333333333337</v>
      </c>
      <c r="K3" s="8">
        <v>4</v>
      </c>
      <c r="L3" s="8">
        <v>6.8494930874887041</v>
      </c>
      <c r="M3" s="20">
        <v>0.41176470588235292</v>
      </c>
      <c r="N3" s="20">
        <v>0.41176470588235292</v>
      </c>
      <c r="O3" s="20">
        <v>0.58823529411764708</v>
      </c>
      <c r="P3" s="20">
        <v>0.1764705882352941</v>
      </c>
      <c r="Q3" s="21">
        <v>-3.6992723974868039E-3</v>
      </c>
    </row>
    <row r="4" spans="1:17" x14ac:dyDescent="0.3">
      <c r="A4" s="17" t="s">
        <v>20</v>
      </c>
      <c r="B4" s="3">
        <v>72</v>
      </c>
      <c r="C4" s="3" t="s">
        <v>21</v>
      </c>
      <c r="D4" s="3" t="s">
        <v>19</v>
      </c>
      <c r="E4" s="3">
        <v>14</v>
      </c>
      <c r="F4" s="3">
        <v>5</v>
      </c>
      <c r="G4" s="3">
        <v>11</v>
      </c>
      <c r="H4" s="3">
        <v>12</v>
      </c>
      <c r="I4" s="18">
        <v>309</v>
      </c>
      <c r="J4" s="19">
        <v>4.8571428571428568</v>
      </c>
      <c r="K4" s="8">
        <v>2.333333333333333</v>
      </c>
      <c r="L4" s="8">
        <v>6.6853479753129088</v>
      </c>
      <c r="M4" s="20">
        <v>0.375</v>
      </c>
      <c r="N4" s="20">
        <v>0.75</v>
      </c>
      <c r="O4" s="20">
        <v>0.8125</v>
      </c>
      <c r="P4" s="20">
        <v>0.1875</v>
      </c>
      <c r="Q4" s="21">
        <v>-1.22122200871052E-3</v>
      </c>
    </row>
    <row r="5" spans="1:17" x14ac:dyDescent="0.3">
      <c r="A5" s="17" t="s">
        <v>26</v>
      </c>
      <c r="B5" s="3">
        <v>79</v>
      </c>
      <c r="C5" s="3" t="s">
        <v>27</v>
      </c>
      <c r="D5" s="3" t="s">
        <v>19</v>
      </c>
      <c r="E5" s="3">
        <v>15</v>
      </c>
      <c r="F5" s="3">
        <v>1</v>
      </c>
      <c r="G5" s="3">
        <v>4</v>
      </c>
      <c r="H5" s="3">
        <v>11</v>
      </c>
      <c r="I5" s="3">
        <v>259</v>
      </c>
      <c r="J5" s="19">
        <v>6.0666666666666664</v>
      </c>
      <c r="K5" s="8">
        <v>4.666666666666667</v>
      </c>
      <c r="L5" s="8">
        <v>5.2340763803708059</v>
      </c>
      <c r="M5" s="20">
        <v>0.1176470588235294</v>
      </c>
      <c r="N5" s="20">
        <v>0.29411764705882348</v>
      </c>
      <c r="O5" s="20">
        <v>0.70588235294117652</v>
      </c>
      <c r="P5" s="20">
        <v>0.1764705882352941</v>
      </c>
      <c r="Q5" s="21">
        <v>-5.4780543497019206E-3</v>
      </c>
    </row>
    <row r="6" spans="1:17" x14ac:dyDescent="0.3">
      <c r="A6" s="17" t="s">
        <v>24</v>
      </c>
      <c r="B6" s="3">
        <v>37</v>
      </c>
      <c r="C6" s="3" t="s">
        <v>18</v>
      </c>
      <c r="D6" s="3" t="s">
        <v>25</v>
      </c>
      <c r="E6" s="3">
        <v>17</v>
      </c>
      <c r="F6" s="3">
        <v>1</v>
      </c>
      <c r="G6" s="3">
        <v>6</v>
      </c>
      <c r="H6" s="3">
        <v>10</v>
      </c>
      <c r="I6" s="18">
        <v>258</v>
      </c>
      <c r="J6" s="19">
        <v>6.9411764705882364</v>
      </c>
      <c r="K6" s="8">
        <v>4.333333333333333</v>
      </c>
      <c r="L6" s="8">
        <v>5.855822524585796</v>
      </c>
      <c r="M6" s="20">
        <v>0.10526315789473679</v>
      </c>
      <c r="N6" s="20">
        <v>0.36842105263157893</v>
      </c>
      <c r="O6" s="20">
        <v>0.57894736842105265</v>
      </c>
      <c r="P6" s="20">
        <v>0.2105263157894737</v>
      </c>
      <c r="Q6" s="21">
        <v>-5.0154455355778411E-3</v>
      </c>
    </row>
    <row r="7" spans="1:17" x14ac:dyDescent="0.3">
      <c r="A7" s="17" t="s">
        <v>28</v>
      </c>
      <c r="B7" s="3">
        <v>49</v>
      </c>
      <c r="C7" s="3" t="s">
        <v>21</v>
      </c>
      <c r="D7" s="3" t="s">
        <v>23</v>
      </c>
      <c r="E7" s="3">
        <v>17</v>
      </c>
      <c r="F7" s="3">
        <v>1</v>
      </c>
      <c r="G7" s="3">
        <v>3</v>
      </c>
      <c r="H7" s="3">
        <v>8</v>
      </c>
      <c r="I7" s="3">
        <v>245</v>
      </c>
      <c r="J7" s="19">
        <v>7.117647058823529</v>
      </c>
      <c r="K7" s="8">
        <v>11.66666666666667</v>
      </c>
      <c r="L7" s="8">
        <v>5.0279495638489653</v>
      </c>
      <c r="M7" s="20">
        <v>0.10526315789473679</v>
      </c>
      <c r="N7" s="20">
        <v>0.2105263157894737</v>
      </c>
      <c r="O7" s="20">
        <v>0.47368421052631582</v>
      </c>
      <c r="P7" s="20">
        <v>0.10526315789473679</v>
      </c>
      <c r="Q7" s="21">
        <v>-3.827395233508698E-3</v>
      </c>
    </row>
    <row r="8" spans="1:17" x14ac:dyDescent="0.3">
      <c r="A8" s="17" t="s">
        <v>29</v>
      </c>
      <c r="B8" s="3">
        <v>25</v>
      </c>
      <c r="C8" s="3" t="s">
        <v>18</v>
      </c>
      <c r="D8" s="3" t="s">
        <v>19</v>
      </c>
      <c r="E8" s="3">
        <v>16</v>
      </c>
      <c r="F8" s="3">
        <v>1</v>
      </c>
      <c r="G8" s="3">
        <v>5</v>
      </c>
      <c r="H8" s="3">
        <v>6</v>
      </c>
      <c r="I8" s="18">
        <v>236</v>
      </c>
      <c r="J8" s="19">
        <v>7.3125</v>
      </c>
      <c r="K8" s="8">
        <v>6.333333333333333</v>
      </c>
      <c r="L8" s="8">
        <v>5.0586405041275668</v>
      </c>
      <c r="M8" s="20">
        <v>0.1111111111111111</v>
      </c>
      <c r="N8" s="20">
        <v>0.33333333333333331</v>
      </c>
      <c r="O8" s="20">
        <v>0.3888888888888889</v>
      </c>
      <c r="P8" s="20">
        <v>0.1111111111111111</v>
      </c>
      <c r="Q8" s="21">
        <v>-3.2264264591082351E-3</v>
      </c>
    </row>
    <row r="9" spans="1:17" x14ac:dyDescent="0.3">
      <c r="A9" s="17" t="s">
        <v>30</v>
      </c>
      <c r="B9" s="3">
        <v>73</v>
      </c>
      <c r="C9" s="3" t="s">
        <v>18</v>
      </c>
      <c r="D9" s="3" t="s">
        <v>23</v>
      </c>
      <c r="E9" s="3">
        <v>13</v>
      </c>
      <c r="F9" s="3">
        <v>1</v>
      </c>
      <c r="G9" s="3">
        <v>2</v>
      </c>
      <c r="H9" s="3">
        <v>5</v>
      </c>
      <c r="I9" s="3">
        <v>172</v>
      </c>
      <c r="J9" s="19">
        <v>10.69230769230769</v>
      </c>
      <c r="K9" s="8">
        <v>16.666666666666671</v>
      </c>
      <c r="L9" s="8">
        <v>8.0420492545754616</v>
      </c>
      <c r="M9" s="20">
        <v>0.1333333333333333</v>
      </c>
      <c r="N9" s="20">
        <v>0.2</v>
      </c>
      <c r="O9" s="20">
        <v>0.4</v>
      </c>
      <c r="P9" s="20">
        <v>0.4</v>
      </c>
      <c r="Q9" s="21">
        <v>-1.631060873118014E-3</v>
      </c>
    </row>
    <row r="10" spans="1:17" x14ac:dyDescent="0.3">
      <c r="A10" s="17" t="s">
        <v>32</v>
      </c>
      <c r="B10" s="3">
        <v>63</v>
      </c>
      <c r="C10" s="3" t="s">
        <v>21</v>
      </c>
      <c r="D10" s="3" t="s">
        <v>23</v>
      </c>
      <c r="E10" s="3">
        <v>17</v>
      </c>
      <c r="F10" s="3">
        <v>0</v>
      </c>
      <c r="G10" s="3">
        <v>3</v>
      </c>
      <c r="H10" s="3">
        <v>4</v>
      </c>
      <c r="I10" s="18">
        <v>166</v>
      </c>
      <c r="J10" s="19">
        <v>12.058823529411759</v>
      </c>
      <c r="K10" s="8">
        <v>11.33333333333333</v>
      </c>
      <c r="L10" s="8">
        <v>6.8896391797888574</v>
      </c>
      <c r="M10" s="20">
        <v>5.2631578947368418E-2</v>
      </c>
      <c r="N10" s="20">
        <v>0.2105263157894737</v>
      </c>
      <c r="O10" s="20">
        <v>0.26315789473684209</v>
      </c>
      <c r="P10" s="20">
        <v>0.47368421052631582</v>
      </c>
      <c r="Q10" s="21">
        <v>-1.69775749288818E-3</v>
      </c>
    </row>
    <row r="11" spans="1:17" x14ac:dyDescent="0.3">
      <c r="A11" s="17" t="s">
        <v>35</v>
      </c>
      <c r="B11" s="3">
        <v>54</v>
      </c>
      <c r="C11" s="3" t="s">
        <v>18</v>
      </c>
      <c r="D11" s="3" t="s">
        <v>23</v>
      </c>
      <c r="E11" s="3">
        <v>12</v>
      </c>
      <c r="F11" s="3">
        <v>0</v>
      </c>
      <c r="G11" s="3">
        <v>1</v>
      </c>
      <c r="H11" s="3">
        <v>2</v>
      </c>
      <c r="I11" s="3">
        <v>125</v>
      </c>
      <c r="J11" s="19">
        <v>8.5833333333333339</v>
      </c>
      <c r="K11" s="8">
        <v>12.66666666666667</v>
      </c>
      <c r="L11" s="8">
        <v>4.3485310418832501</v>
      </c>
      <c r="M11" s="20">
        <v>7.1428571428571425E-2</v>
      </c>
      <c r="N11" s="20">
        <v>0.14285714285714279</v>
      </c>
      <c r="O11" s="20">
        <v>0.2142857142857143</v>
      </c>
      <c r="P11" s="20">
        <v>0.14285714285714279</v>
      </c>
      <c r="Q11" s="21">
        <v>2.0342613922789319E-3</v>
      </c>
    </row>
    <row r="12" spans="1:17" x14ac:dyDescent="0.3">
      <c r="A12" s="17" t="s">
        <v>31</v>
      </c>
      <c r="B12" s="3">
        <v>23</v>
      </c>
      <c r="C12" s="3" t="s">
        <v>21</v>
      </c>
      <c r="D12" s="3" t="s">
        <v>25</v>
      </c>
      <c r="E12" s="3">
        <v>16</v>
      </c>
      <c r="F12" s="3">
        <v>0</v>
      </c>
      <c r="G12" s="3">
        <v>0</v>
      </c>
      <c r="H12" s="3">
        <v>1</v>
      </c>
      <c r="I12" s="18">
        <v>122</v>
      </c>
      <c r="J12" s="19">
        <v>10.25</v>
      </c>
      <c r="K12" s="8">
        <v>8.3333333333333339</v>
      </c>
      <c r="L12" s="8">
        <v>4.6165463281548469</v>
      </c>
      <c r="M12" s="20">
        <v>5.5555555555555552E-2</v>
      </c>
      <c r="N12" s="20">
        <v>5.5555555555555552E-2</v>
      </c>
      <c r="O12" s="20">
        <v>0.1111111111111111</v>
      </c>
      <c r="P12" s="20">
        <v>0.16666666666666671</v>
      </c>
      <c r="Q12" s="21">
        <v>-1.3490486612567419E-3</v>
      </c>
    </row>
    <row r="13" spans="1:17" x14ac:dyDescent="0.3">
      <c r="A13" s="17" t="s">
        <v>33</v>
      </c>
      <c r="B13" s="3">
        <v>10</v>
      </c>
      <c r="C13" s="3" t="s">
        <v>21</v>
      </c>
      <c r="D13" s="3" t="s">
        <v>34</v>
      </c>
      <c r="E13" s="3">
        <v>17</v>
      </c>
      <c r="F13" s="3">
        <v>0</v>
      </c>
      <c r="G13" s="3">
        <v>0</v>
      </c>
      <c r="H13" s="3">
        <v>1</v>
      </c>
      <c r="I13" s="3">
        <v>108</v>
      </c>
      <c r="J13" s="19">
        <v>10.17647058823529</v>
      </c>
      <c r="K13" s="8">
        <v>12</v>
      </c>
      <c r="L13" s="8">
        <v>2.4310562729143319</v>
      </c>
      <c r="M13" s="20">
        <v>5.2631578947368418E-2</v>
      </c>
      <c r="N13" s="20">
        <v>5.2631578947368418E-2</v>
      </c>
      <c r="O13" s="20">
        <v>0.10526315789473679</v>
      </c>
      <c r="P13" s="20">
        <v>5.2631578947368418E-2</v>
      </c>
      <c r="Q13" s="21">
        <v>2.090076145802882E-4</v>
      </c>
    </row>
    <row r="14" spans="1:17" x14ac:dyDescent="0.3">
      <c r="A14" s="17" t="s">
        <v>36</v>
      </c>
      <c r="B14" s="3">
        <v>33</v>
      </c>
      <c r="C14" s="3" t="s">
        <v>37</v>
      </c>
      <c r="D14" s="3" t="s">
        <v>25</v>
      </c>
      <c r="E14" s="3">
        <v>17</v>
      </c>
      <c r="F14" s="3">
        <v>0</v>
      </c>
      <c r="G14" s="3">
        <v>0</v>
      </c>
      <c r="H14" s="3">
        <v>0</v>
      </c>
      <c r="I14" s="18">
        <v>104</v>
      </c>
      <c r="J14" s="19">
        <v>10.882352941176469</v>
      </c>
      <c r="K14" s="8">
        <v>9.3333333333333339</v>
      </c>
      <c r="L14" s="8">
        <v>3.462103286955803</v>
      </c>
      <c r="M14" s="20">
        <v>5.2631578947368418E-2</v>
      </c>
      <c r="N14" s="20">
        <v>5.2631578947368418E-2</v>
      </c>
      <c r="O14" s="20">
        <v>5.2631578947368418E-2</v>
      </c>
      <c r="P14" s="20">
        <v>0.15789473684210531</v>
      </c>
      <c r="Q14" s="21">
        <v>4.7593492580433978E-4</v>
      </c>
    </row>
    <row r="15" spans="1:17" x14ac:dyDescent="0.3">
      <c r="A15" s="17" t="s">
        <v>38</v>
      </c>
      <c r="B15" s="3">
        <v>20</v>
      </c>
      <c r="C15" s="3" t="s">
        <v>39</v>
      </c>
      <c r="D15" s="3" t="s">
        <v>40</v>
      </c>
      <c r="E15" s="3">
        <v>17</v>
      </c>
      <c r="F15" s="3">
        <v>0</v>
      </c>
      <c r="G15" s="3">
        <v>0</v>
      </c>
      <c r="H15" s="3">
        <v>0</v>
      </c>
      <c r="I15" s="3">
        <v>74</v>
      </c>
      <c r="J15" s="19">
        <v>13</v>
      </c>
      <c r="K15" s="8">
        <v>12.66666666666667</v>
      </c>
      <c r="L15" s="8">
        <v>4.4983657163070969</v>
      </c>
      <c r="M15" s="20">
        <v>5.2631578947368418E-2</v>
      </c>
      <c r="N15" s="20">
        <v>5.2631578947368418E-2</v>
      </c>
      <c r="O15" s="20">
        <v>5.2631578947368418E-2</v>
      </c>
      <c r="P15" s="20">
        <v>0.15789473684210531</v>
      </c>
      <c r="Q15" s="21">
        <v>5.8452792145608206E-3</v>
      </c>
    </row>
    <row r="16" spans="1:17" x14ac:dyDescent="0.3">
      <c r="A16" s="17" t="s">
        <v>41</v>
      </c>
      <c r="B16" s="3">
        <v>11</v>
      </c>
      <c r="C16" s="3" t="s">
        <v>42</v>
      </c>
      <c r="D16" s="3" t="s">
        <v>34</v>
      </c>
      <c r="E16" s="3">
        <v>17</v>
      </c>
      <c r="F16" s="3">
        <v>0</v>
      </c>
      <c r="G16" s="3">
        <v>0</v>
      </c>
      <c r="H16" s="3">
        <v>0</v>
      </c>
      <c r="I16" s="18">
        <v>74</v>
      </c>
      <c r="J16" s="19">
        <v>13.47058823529412</v>
      </c>
      <c r="K16" s="8">
        <v>17.666666666666671</v>
      </c>
      <c r="L16" s="8">
        <v>4.1461200439308463</v>
      </c>
      <c r="M16" s="20">
        <v>5.2631578947368418E-2</v>
      </c>
      <c r="N16" s="20">
        <v>5.2631578947368418E-2</v>
      </c>
      <c r="O16" s="20">
        <v>5.2631578947368418E-2</v>
      </c>
      <c r="P16" s="20">
        <v>0.2105263157894737</v>
      </c>
      <c r="Q16" s="21">
        <v>7.0341912779889031E-3</v>
      </c>
    </row>
    <row r="17" spans="1:17" x14ac:dyDescent="0.3">
      <c r="A17" s="17" t="s">
        <v>43</v>
      </c>
      <c r="B17" s="3">
        <v>21</v>
      </c>
      <c r="C17" s="3" t="s">
        <v>21</v>
      </c>
      <c r="D17" s="3" t="s">
        <v>23</v>
      </c>
      <c r="E17" s="3">
        <v>17</v>
      </c>
      <c r="F17" s="3">
        <v>0</v>
      </c>
      <c r="G17" s="3">
        <v>0</v>
      </c>
      <c r="H17" s="3">
        <v>0</v>
      </c>
      <c r="I17" s="3">
        <v>59</v>
      </c>
      <c r="J17" s="19">
        <v>14.058823529411759</v>
      </c>
      <c r="K17" s="8">
        <v>15.66666666666667</v>
      </c>
      <c r="L17" s="8">
        <v>3.226190400188726</v>
      </c>
      <c r="M17" s="20">
        <v>5.2631578947368418E-2</v>
      </c>
      <c r="N17" s="20">
        <v>5.2631578947368418E-2</v>
      </c>
      <c r="O17" s="20">
        <v>5.2631578947368418E-2</v>
      </c>
      <c r="P17" s="20">
        <v>0.15789473684210531</v>
      </c>
      <c r="Q17" s="21">
        <v>2.5880419959111562E-3</v>
      </c>
    </row>
    <row r="18" spans="1:17" x14ac:dyDescent="0.3">
      <c r="A18" s="17" t="s">
        <v>45</v>
      </c>
      <c r="B18" s="3">
        <v>5</v>
      </c>
      <c r="C18" s="3" t="s">
        <v>39</v>
      </c>
      <c r="D18" s="3" t="s">
        <v>34</v>
      </c>
      <c r="E18" s="3">
        <v>10</v>
      </c>
      <c r="F18" s="3">
        <v>0</v>
      </c>
      <c r="G18" s="3">
        <v>0</v>
      </c>
      <c r="H18" s="3">
        <v>0</v>
      </c>
      <c r="I18" s="18">
        <v>51</v>
      </c>
      <c r="J18" s="19">
        <v>13</v>
      </c>
      <c r="K18" s="8">
        <v>14.33333333333333</v>
      </c>
      <c r="L18" s="8">
        <v>4.0249223594996213</v>
      </c>
      <c r="M18" s="20">
        <v>8.3333333333333329E-2</v>
      </c>
      <c r="N18" s="20">
        <v>8.3333333333333329E-2</v>
      </c>
      <c r="O18" s="20">
        <v>8.3333333333333329E-2</v>
      </c>
      <c r="P18" s="20">
        <v>0.33333333333333331</v>
      </c>
      <c r="Q18" s="21">
        <v>-1.8957798044090261E-4</v>
      </c>
    </row>
    <row r="19" spans="1:17" x14ac:dyDescent="0.3">
      <c r="A19" s="17" t="s">
        <v>44</v>
      </c>
      <c r="B19" s="3">
        <v>36</v>
      </c>
      <c r="C19" s="3" t="s">
        <v>18</v>
      </c>
      <c r="D19" s="3" t="s">
        <v>34</v>
      </c>
      <c r="E19" s="3">
        <v>14</v>
      </c>
      <c r="F19" s="3">
        <v>0</v>
      </c>
      <c r="G19" s="3">
        <v>1</v>
      </c>
      <c r="H19" s="3">
        <v>2</v>
      </c>
      <c r="I19" s="3">
        <v>33</v>
      </c>
      <c r="J19" s="19">
        <v>16</v>
      </c>
      <c r="K19" s="8">
        <v>17.666666666666671</v>
      </c>
      <c r="L19" s="8">
        <v>6.0118929750002321</v>
      </c>
      <c r="M19" s="20">
        <v>6.25E-2</v>
      </c>
      <c r="N19" s="20">
        <v>0.125</v>
      </c>
      <c r="O19" s="20">
        <v>0.1875</v>
      </c>
      <c r="P19" s="20">
        <v>0.625</v>
      </c>
      <c r="Q19" s="21">
        <v>9.9183082186010685E-4</v>
      </c>
    </row>
    <row r="20" spans="1:17" x14ac:dyDescent="0.3">
      <c r="A20" s="17" t="s">
        <v>46</v>
      </c>
      <c r="B20" s="3">
        <v>43</v>
      </c>
      <c r="C20" s="3" t="s">
        <v>47</v>
      </c>
      <c r="D20" s="3" t="s">
        <v>40</v>
      </c>
      <c r="E20" s="3">
        <v>17</v>
      </c>
      <c r="F20" s="3">
        <v>0</v>
      </c>
      <c r="G20" s="3">
        <v>0</v>
      </c>
      <c r="H20" s="3">
        <v>0</v>
      </c>
      <c r="I20" s="18">
        <v>28</v>
      </c>
      <c r="J20" s="19">
        <v>15.882352941176469</v>
      </c>
      <c r="K20" s="8">
        <v>20</v>
      </c>
      <c r="L20" s="8">
        <v>3.802202967339368</v>
      </c>
      <c r="M20" s="20">
        <v>5.2631578947368418E-2</v>
      </c>
      <c r="N20" s="20">
        <v>5.2631578947368418E-2</v>
      </c>
      <c r="O20" s="20">
        <v>5.2631578947368418E-2</v>
      </c>
      <c r="P20" s="20">
        <v>0.2105263157894737</v>
      </c>
      <c r="Q20" s="21">
        <v>1.5825066005486079E-2</v>
      </c>
    </row>
    <row r="21" spans="1:17" x14ac:dyDescent="0.3">
      <c r="A21" s="17" t="s">
        <v>48</v>
      </c>
      <c r="B21" s="3">
        <v>42</v>
      </c>
      <c r="C21" s="3" t="s">
        <v>18</v>
      </c>
      <c r="D21" s="3" t="s">
        <v>40</v>
      </c>
      <c r="E21" s="3">
        <v>17</v>
      </c>
      <c r="F21" s="3">
        <v>0</v>
      </c>
      <c r="G21" s="3">
        <v>0</v>
      </c>
      <c r="H21" s="3">
        <v>0</v>
      </c>
      <c r="I21" s="3">
        <v>25</v>
      </c>
      <c r="J21" s="19">
        <v>15.52941176470588</v>
      </c>
      <c r="K21" s="8">
        <v>16.666666666666671</v>
      </c>
      <c r="L21" s="8">
        <v>3.2920161363842881</v>
      </c>
      <c r="M21" s="20">
        <v>5.2631578947368418E-2</v>
      </c>
      <c r="N21" s="20">
        <v>5.2631578947368418E-2</v>
      </c>
      <c r="O21" s="20">
        <v>5.2631578947368418E-2</v>
      </c>
      <c r="P21" s="20">
        <v>0.26315789473684209</v>
      </c>
      <c r="Q21" s="21">
        <v>3.9133280865287848E-3</v>
      </c>
    </row>
    <row r="22" spans="1:17" x14ac:dyDescent="0.3">
      <c r="A22" s="17" t="s">
        <v>49</v>
      </c>
      <c r="B22" s="3">
        <v>7</v>
      </c>
      <c r="C22" s="3" t="s">
        <v>50</v>
      </c>
      <c r="D22" s="3" t="s">
        <v>40</v>
      </c>
      <c r="E22" s="3">
        <v>17</v>
      </c>
      <c r="F22" s="3">
        <v>0</v>
      </c>
      <c r="G22" s="3">
        <v>0</v>
      </c>
      <c r="H22" s="3">
        <v>0</v>
      </c>
      <c r="I22" s="18">
        <v>18</v>
      </c>
      <c r="J22" s="19">
        <v>15.941176470588241</v>
      </c>
      <c r="K22" s="8">
        <v>18.333333333333329</v>
      </c>
      <c r="L22" s="8">
        <v>2.460764783923751</v>
      </c>
      <c r="M22" s="20">
        <v>5.2631578947368418E-2</v>
      </c>
      <c r="N22" s="20">
        <v>5.2631578947368418E-2</v>
      </c>
      <c r="O22" s="20">
        <v>5.2631578947368418E-2</v>
      </c>
      <c r="P22" s="20">
        <v>0.2105263157894737</v>
      </c>
      <c r="Q22" s="21">
        <v>5.0829474964074819E-3</v>
      </c>
    </row>
    <row r="23" spans="1:17" x14ac:dyDescent="0.3">
      <c r="A23" s="17" t="s">
        <v>51</v>
      </c>
      <c r="B23" s="3">
        <v>12</v>
      </c>
      <c r="C23" s="3" t="s">
        <v>18</v>
      </c>
      <c r="D23" s="3" t="s">
        <v>25</v>
      </c>
      <c r="E23" s="3">
        <v>10</v>
      </c>
      <c r="F23" s="3">
        <v>0</v>
      </c>
      <c r="G23" s="3">
        <v>0</v>
      </c>
      <c r="H23" s="3">
        <v>0</v>
      </c>
      <c r="I23" s="3">
        <v>12</v>
      </c>
      <c r="J23" s="19">
        <v>15.4</v>
      </c>
      <c r="K23" s="8">
        <v>15.66666666666667</v>
      </c>
      <c r="L23" s="8">
        <v>1.6248076809271921</v>
      </c>
      <c r="M23" s="20">
        <v>8.3333333333333329E-2</v>
      </c>
      <c r="N23" s="20">
        <v>8.3333333333333329E-2</v>
      </c>
      <c r="O23" s="20">
        <v>8.3333333333333329E-2</v>
      </c>
      <c r="P23" s="20">
        <v>0.16666666666666671</v>
      </c>
      <c r="Q23" s="21">
        <v>5.1035943165628648E-3</v>
      </c>
    </row>
    <row r="24" spans="1:17" x14ac:dyDescent="0.3">
      <c r="A24" s="17" t="s">
        <v>52</v>
      </c>
      <c r="B24" s="3">
        <v>27</v>
      </c>
      <c r="C24" s="3" t="s">
        <v>18</v>
      </c>
      <c r="D24" s="3" t="s">
        <v>23</v>
      </c>
      <c r="E24" s="3">
        <v>2</v>
      </c>
      <c r="F24" s="3">
        <v>0</v>
      </c>
      <c r="G24" s="3">
        <v>0</v>
      </c>
      <c r="H24" s="3">
        <v>0</v>
      </c>
      <c r="I24" s="18">
        <v>9</v>
      </c>
      <c r="J24" s="19">
        <v>13.5</v>
      </c>
      <c r="K24" s="8">
        <v>13.5</v>
      </c>
      <c r="L24" s="8">
        <v>6.5</v>
      </c>
      <c r="M24" s="20">
        <v>0.25</v>
      </c>
      <c r="N24" s="20">
        <v>0.25</v>
      </c>
      <c r="O24" s="20">
        <v>0.25</v>
      </c>
      <c r="P24" s="20">
        <v>0.5</v>
      </c>
      <c r="Q24" s="21">
        <v>1.464471083213958E-3</v>
      </c>
    </row>
    <row r="25" spans="1:17" x14ac:dyDescent="0.3">
      <c r="A25" s="17" t="s">
        <v>57</v>
      </c>
      <c r="B25" s="3">
        <v>47</v>
      </c>
      <c r="C25" s="3" t="s">
        <v>18</v>
      </c>
      <c r="D25" s="3" t="s">
        <v>40</v>
      </c>
      <c r="E25" s="3">
        <v>4</v>
      </c>
      <c r="F25" s="3">
        <v>0</v>
      </c>
      <c r="G25" s="3">
        <v>0</v>
      </c>
      <c r="H25" s="3">
        <v>0</v>
      </c>
      <c r="I25" s="3">
        <v>6</v>
      </c>
      <c r="J25" s="19">
        <v>17</v>
      </c>
      <c r="K25" s="8">
        <v>16</v>
      </c>
      <c r="L25" s="8">
        <v>1.8708286933869711</v>
      </c>
      <c r="M25" s="20">
        <v>0.16666666666666671</v>
      </c>
      <c r="N25" s="20">
        <v>0.16666666666666671</v>
      </c>
      <c r="O25" s="20">
        <v>0.16666666666666671</v>
      </c>
      <c r="P25" s="20">
        <v>0.16666666666666671</v>
      </c>
      <c r="Q25" s="21">
        <v>1.187284271115807E-2</v>
      </c>
    </row>
    <row r="26" spans="1:17" x14ac:dyDescent="0.3">
      <c r="A26" s="17" t="s">
        <v>53</v>
      </c>
      <c r="B26" s="3">
        <v>44</v>
      </c>
      <c r="C26" s="3" t="s">
        <v>18</v>
      </c>
      <c r="D26" s="3" t="s">
        <v>25</v>
      </c>
      <c r="E26" s="3">
        <v>4</v>
      </c>
      <c r="F26" s="3">
        <v>0</v>
      </c>
      <c r="G26" s="3">
        <v>0</v>
      </c>
      <c r="H26" s="3">
        <v>0</v>
      </c>
      <c r="I26" s="18">
        <v>5</v>
      </c>
      <c r="J26" s="19">
        <v>15</v>
      </c>
      <c r="K26" s="8">
        <v>15.33333333333333</v>
      </c>
      <c r="L26" s="8">
        <v>1</v>
      </c>
      <c r="M26" s="20">
        <v>0.16666666666666671</v>
      </c>
      <c r="N26" s="20">
        <v>0.16666666666666671</v>
      </c>
      <c r="O26" s="20">
        <v>0.16666666666666671</v>
      </c>
      <c r="P26" s="20">
        <v>0.16666666666666671</v>
      </c>
      <c r="Q26" s="21">
        <v>3.1058489138193202E-3</v>
      </c>
    </row>
    <row r="27" spans="1:17" x14ac:dyDescent="0.3">
      <c r="A27" s="17" t="s">
        <v>54</v>
      </c>
      <c r="B27" s="3">
        <v>15</v>
      </c>
      <c r="C27" s="3" t="s">
        <v>55</v>
      </c>
      <c r="D27" s="3" t="s">
        <v>34</v>
      </c>
      <c r="E27" s="3">
        <v>1</v>
      </c>
      <c r="F27" s="3">
        <v>0</v>
      </c>
      <c r="G27" s="3">
        <v>0</v>
      </c>
      <c r="H27" s="3">
        <v>0</v>
      </c>
      <c r="I27" s="3">
        <v>3</v>
      </c>
      <c r="J27" s="19">
        <v>13</v>
      </c>
      <c r="K27" s="8">
        <v>13</v>
      </c>
      <c r="L27" s="8">
        <v>0</v>
      </c>
      <c r="M27" s="20">
        <v>0.33333333333333331</v>
      </c>
      <c r="N27" s="20">
        <v>0.33333333333333331</v>
      </c>
      <c r="O27" s="20">
        <v>0.33333333333333331</v>
      </c>
      <c r="P27" s="20">
        <v>0.33333333333333331</v>
      </c>
      <c r="Q27" s="21">
        <v>9.4751349488930714E-4</v>
      </c>
    </row>
    <row r="28" spans="1:17" x14ac:dyDescent="0.3">
      <c r="A28" s="17" t="s">
        <v>56</v>
      </c>
      <c r="B28" s="3">
        <v>30</v>
      </c>
      <c r="C28" s="3" t="s">
        <v>27</v>
      </c>
      <c r="D28" s="3" t="s">
        <v>34</v>
      </c>
      <c r="E28" s="3">
        <v>1</v>
      </c>
      <c r="F28" s="3">
        <v>0</v>
      </c>
      <c r="G28" s="3">
        <v>0</v>
      </c>
      <c r="H28" s="3">
        <v>0</v>
      </c>
      <c r="I28" s="18">
        <v>3</v>
      </c>
      <c r="J28" s="19">
        <v>13</v>
      </c>
      <c r="K28" s="8">
        <v>13</v>
      </c>
      <c r="L28" s="8">
        <v>0</v>
      </c>
      <c r="M28" s="20">
        <v>0.33333333333333331</v>
      </c>
      <c r="N28" s="20">
        <v>0.33333333333333331</v>
      </c>
      <c r="O28" s="20">
        <v>0.33333333333333331</v>
      </c>
      <c r="P28" s="20">
        <v>0.33333333333333331</v>
      </c>
      <c r="Q28" s="21">
        <v>2.2501879730185689E-4</v>
      </c>
    </row>
    <row r="29" spans="1:17" x14ac:dyDescent="0.3">
      <c r="A29" s="17" t="s">
        <v>58</v>
      </c>
      <c r="B29" s="3">
        <v>94</v>
      </c>
      <c r="C29" s="3" t="s">
        <v>59</v>
      </c>
      <c r="D29" s="3" t="s">
        <v>25</v>
      </c>
      <c r="E29" s="3">
        <v>1</v>
      </c>
      <c r="F29" s="3">
        <v>0</v>
      </c>
      <c r="G29" s="3">
        <v>0</v>
      </c>
      <c r="H29" s="3">
        <v>0</v>
      </c>
      <c r="I29" s="3">
        <v>0</v>
      </c>
      <c r="J29" s="19">
        <v>16</v>
      </c>
      <c r="K29" s="8">
        <v>16</v>
      </c>
      <c r="L29" s="8">
        <v>0</v>
      </c>
      <c r="M29" s="20">
        <v>0.33333333333333331</v>
      </c>
      <c r="N29" s="20">
        <v>0.33333333333333331</v>
      </c>
      <c r="O29" s="20">
        <v>0.33333333333333331</v>
      </c>
      <c r="P29" s="20">
        <v>0.33333333333333331</v>
      </c>
      <c r="Q29" s="21">
        <v>2.437513247354595E-2</v>
      </c>
    </row>
    <row r="30" spans="1:17" x14ac:dyDescent="0.3">
      <c r="A30" s="17" t="s">
        <v>60</v>
      </c>
      <c r="B30" s="3">
        <v>35</v>
      </c>
      <c r="C30" s="3" t="s">
        <v>61</v>
      </c>
      <c r="D30" s="3" t="s">
        <v>34</v>
      </c>
      <c r="E30" s="3">
        <v>6</v>
      </c>
      <c r="F30" s="3">
        <v>0</v>
      </c>
      <c r="G30" s="3">
        <v>0</v>
      </c>
      <c r="H30" s="3">
        <v>0</v>
      </c>
      <c r="I30" s="18">
        <v>0</v>
      </c>
      <c r="J30" s="19">
        <v>17.833333333333329</v>
      </c>
      <c r="K30" s="8">
        <v>17.333333333333329</v>
      </c>
      <c r="L30" s="8">
        <v>2.1147629234082528</v>
      </c>
      <c r="M30" s="20">
        <v>0.125</v>
      </c>
      <c r="N30" s="20">
        <v>0.125</v>
      </c>
      <c r="O30" s="20">
        <v>0.125</v>
      </c>
      <c r="P30" s="20">
        <v>0.625</v>
      </c>
      <c r="Q30" s="21">
        <v>8.9249818062674038E-3</v>
      </c>
    </row>
    <row r="31" spans="1:17" x14ac:dyDescent="0.3">
      <c r="A31" s="17" t="s">
        <v>62</v>
      </c>
      <c r="B31" s="3">
        <v>51</v>
      </c>
      <c r="C31" s="3" t="s">
        <v>21</v>
      </c>
      <c r="D31" s="3" t="s">
        <v>23</v>
      </c>
      <c r="E31" s="3">
        <v>2</v>
      </c>
      <c r="F31" s="3">
        <v>0</v>
      </c>
      <c r="G31" s="3">
        <v>0</v>
      </c>
      <c r="H31" s="3">
        <v>0</v>
      </c>
      <c r="I31" s="3">
        <v>0</v>
      </c>
      <c r="J31" s="19">
        <v>19</v>
      </c>
      <c r="K31" s="8">
        <v>19</v>
      </c>
      <c r="L31" s="8">
        <v>0</v>
      </c>
      <c r="M31" s="20">
        <v>0.25</v>
      </c>
      <c r="N31" s="20">
        <v>0.25</v>
      </c>
      <c r="O31" s="20">
        <v>0.25</v>
      </c>
      <c r="P31" s="20">
        <v>0.25</v>
      </c>
      <c r="Q31" s="21">
        <v>1.2578375576168029E-2</v>
      </c>
    </row>
    <row r="32" spans="1:17" x14ac:dyDescent="0.3">
      <c r="A32" s="22" t="s">
        <v>63</v>
      </c>
      <c r="B32" s="23">
        <v>32</v>
      </c>
      <c r="C32" s="23" t="s">
        <v>21</v>
      </c>
      <c r="D32" s="23" t="s">
        <v>19</v>
      </c>
      <c r="E32" s="23">
        <v>2</v>
      </c>
      <c r="F32" s="23">
        <v>0</v>
      </c>
      <c r="G32" s="23">
        <v>0</v>
      </c>
      <c r="H32" s="23">
        <v>0</v>
      </c>
      <c r="I32" s="24">
        <v>0</v>
      </c>
      <c r="J32" s="25">
        <v>19.5</v>
      </c>
      <c r="K32" s="26">
        <v>19.5</v>
      </c>
      <c r="L32" s="26">
        <v>2.5</v>
      </c>
      <c r="M32" s="27">
        <v>0.25</v>
      </c>
      <c r="N32" s="27">
        <v>0.25</v>
      </c>
      <c r="O32" s="27">
        <v>0.25</v>
      </c>
      <c r="P32" s="27">
        <v>0.5</v>
      </c>
      <c r="Q32" s="28">
        <v>6.2037843967372996E-3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9"/>
  <sheetViews>
    <sheetView workbookViewId="0">
      <pane xSplit="1" ySplit="12" topLeftCell="B13" activePane="bottomRight" state="frozen"/>
      <selection pane="topRight" activeCell="B1" sqref="B1"/>
      <selection pane="bottomLeft" activeCell="A13" sqref="A13"/>
      <selection pane="bottomRight" activeCell="L15" sqref="L15"/>
    </sheetView>
  </sheetViews>
  <sheetFormatPr defaultRowHeight="14.4" x14ac:dyDescent="0.3"/>
  <cols>
    <col min="1" max="1" width="43.33203125" bestFit="1" customWidth="1"/>
    <col min="2" max="2" width="18.6640625" customWidth="1"/>
    <col min="3" max="3" width="51" bestFit="1" customWidth="1"/>
    <col min="4" max="13" width="18.6640625" customWidth="1"/>
  </cols>
  <sheetData>
    <row r="1" spans="1:14" ht="21" x14ac:dyDescent="0.4">
      <c r="A1" s="11" t="s">
        <v>64</v>
      </c>
      <c r="B1" s="11"/>
      <c r="C1" s="11"/>
      <c r="D1" s="11"/>
      <c r="E1" s="11"/>
      <c r="F1" s="11"/>
      <c r="G1" s="11"/>
      <c r="H1" s="11"/>
      <c r="I1" s="11"/>
      <c r="J1" s="11"/>
      <c r="K1" s="11"/>
      <c r="L1" s="11"/>
      <c r="M1" s="11"/>
      <c r="N1" s="11"/>
    </row>
    <row r="2" spans="1:14" ht="15.6" x14ac:dyDescent="0.3">
      <c r="A2" s="1" t="s">
        <v>65</v>
      </c>
    </row>
    <row r="3" spans="1:14" x14ac:dyDescent="0.3">
      <c r="A3" s="2" t="s">
        <v>66</v>
      </c>
      <c r="B3" s="2" t="s">
        <v>67</v>
      </c>
      <c r="C3" s="2" t="s">
        <v>68</v>
      </c>
    </row>
    <row r="4" spans="1:14" x14ac:dyDescent="0.3">
      <c r="A4" s="3" t="s">
        <v>69</v>
      </c>
      <c r="B4" s="13">
        <v>0.4</v>
      </c>
      <c r="C4" s="3" t="s">
        <v>70</v>
      </c>
    </row>
    <row r="5" spans="1:14" x14ac:dyDescent="0.3">
      <c r="A5" s="3" t="s">
        <v>71</v>
      </c>
      <c r="B5" s="13">
        <v>0.4</v>
      </c>
      <c r="C5" s="3" t="s">
        <v>72</v>
      </c>
    </row>
    <row r="6" spans="1:14" x14ac:dyDescent="0.3">
      <c r="A6" s="3" t="s">
        <v>73</v>
      </c>
      <c r="B6" s="13">
        <v>0.2</v>
      </c>
      <c r="C6" s="3" t="s">
        <v>74</v>
      </c>
    </row>
    <row r="7" spans="1:14" x14ac:dyDescent="0.3">
      <c r="A7" s="3" t="s">
        <v>75</v>
      </c>
      <c r="B7" s="5">
        <v>3</v>
      </c>
      <c r="C7" s="3" t="s">
        <v>76</v>
      </c>
    </row>
    <row r="8" spans="1:14" x14ac:dyDescent="0.3">
      <c r="A8" s="3" t="s">
        <v>77</v>
      </c>
      <c r="B8" s="13">
        <v>8</v>
      </c>
      <c r="C8" s="3" t="s">
        <v>78</v>
      </c>
    </row>
    <row r="9" spans="1:14" x14ac:dyDescent="0.3">
      <c r="A9" s="3" t="s">
        <v>79</v>
      </c>
      <c r="B9" s="5">
        <v>4</v>
      </c>
      <c r="C9" s="3" t="s">
        <v>80</v>
      </c>
    </row>
    <row r="10" spans="1:14" x14ac:dyDescent="0.3">
      <c r="A10" s="3" t="s">
        <v>81</v>
      </c>
      <c r="B10" s="5">
        <v>37</v>
      </c>
      <c r="C10" s="3" t="s">
        <v>82</v>
      </c>
    </row>
    <row r="11" spans="1:14" ht="15.6" x14ac:dyDescent="0.3">
      <c r="A11" s="1" t="s">
        <v>83</v>
      </c>
    </row>
    <row r="12" spans="1:14" x14ac:dyDescent="0.3">
      <c r="A12" s="2" t="s">
        <v>0</v>
      </c>
      <c r="B12" s="2" t="s">
        <v>84</v>
      </c>
      <c r="C12" s="2" t="s">
        <v>85</v>
      </c>
      <c r="D12" s="2" t="s">
        <v>86</v>
      </c>
      <c r="E12" s="2" t="s">
        <v>87</v>
      </c>
      <c r="F12" s="2" t="s">
        <v>88</v>
      </c>
      <c r="G12" s="2" t="s">
        <v>89</v>
      </c>
      <c r="H12" s="2" t="s">
        <v>90</v>
      </c>
      <c r="I12" s="2" t="s">
        <v>91</v>
      </c>
      <c r="J12" s="2" t="s">
        <v>92</v>
      </c>
      <c r="K12" s="2" t="s">
        <v>93</v>
      </c>
      <c r="L12" s="2" t="s">
        <v>94</v>
      </c>
      <c r="M12" s="2" t="s">
        <v>95</v>
      </c>
    </row>
    <row r="13" spans="1:14" x14ac:dyDescent="0.3">
      <c r="A13" s="3" t="s">
        <v>17</v>
      </c>
      <c r="B13" s="5">
        <v>355</v>
      </c>
      <c r="C13" s="13">
        <v>1</v>
      </c>
      <c r="D13" s="6" t="b">
        <v>1</v>
      </c>
      <c r="E13" s="7">
        <f>'Model Data'!M2</f>
        <v>0.1111111111111111</v>
      </c>
      <c r="F13" s="7">
        <f>MAX(0,1-('Model Data'!K2-1)/MAX(1,MAX('Model Data'!$K$2:$K$32)-1))</f>
        <v>0.92982456140350878</v>
      </c>
      <c r="G13" s="7">
        <f>IFERROR(1/(1+EXP(40*'Model Data'!Q2)),0.5)</f>
        <v>0.55173580009031398</v>
      </c>
      <c r="H13" s="7">
        <f t="shared" ref="H13:H43" si="0">IF(D13,MIN(0.95,MAX(0.001,C13*($B$4*E13+$B$5*F13+$B$6*G13))),0)</f>
        <v>0.52672142902391084</v>
      </c>
      <c r="I13" s="7">
        <f>'Model Data'!N2</f>
        <v>0.55555555555555558</v>
      </c>
      <c r="J13" s="7">
        <f>'Model Data'!O2</f>
        <v>0.83333333333333337</v>
      </c>
      <c r="K13" s="8">
        <f>IF(D13,AVERAGE('Model Data'!I2/'Model Data'!E2,SUMPRODUCT(E13,25,H13,25)),0)</f>
        <v>29.382688507774681</v>
      </c>
      <c r="L13" s="9">
        <f t="shared" ref="L13:L43" si="1">B13+$B$8*K13</f>
        <v>590.06150806219739</v>
      </c>
      <c r="M13" s="7">
        <f t="shared" ref="M13:M43" si="2">EXP(L13/$B$7)/SUMPRODUCT(EXP($L$13:$L$43/$B$7))</f>
        <v>1.5579254426772246E-64</v>
      </c>
    </row>
    <row r="14" spans="1:14" x14ac:dyDescent="0.3">
      <c r="A14" s="3" t="s">
        <v>20</v>
      </c>
      <c r="B14" s="5">
        <v>309</v>
      </c>
      <c r="C14" s="13">
        <v>1</v>
      </c>
      <c r="D14" s="6" t="b">
        <v>1</v>
      </c>
      <c r="E14" s="7">
        <f>'Model Data'!M3</f>
        <v>0.41176470588235292</v>
      </c>
      <c r="F14" s="7">
        <f>MAX(0,1-('Model Data'!K3-1)/MAX(1,MAX('Model Data'!$K$2:$K$32)-1))</f>
        <v>0.84210526315789469</v>
      </c>
      <c r="G14" s="7">
        <f>IFERROR(1/(1+EXP(40*'Model Data'!Q3)),0.5)</f>
        <v>0.53692537393887452</v>
      </c>
      <c r="H14" s="7">
        <f t="shared" si="0"/>
        <v>0.60893306240387401</v>
      </c>
      <c r="I14" s="7">
        <f>'Model Data'!N3</f>
        <v>0.41176470588235292</v>
      </c>
      <c r="J14" s="7">
        <f>'Model Data'!O3</f>
        <v>0.58823529411764708</v>
      </c>
      <c r="K14" s="8">
        <f>IF(D14,AVERAGE('Model Data'!I3/'Model Data'!E3,SUMPRODUCT(E14,25,H14,25)),0)</f>
        <v>90.122023961282807</v>
      </c>
      <c r="L14" s="9">
        <f t="shared" si="1"/>
        <v>1029.9761916902626</v>
      </c>
      <c r="M14" s="7">
        <f t="shared" si="2"/>
        <v>0.75286979299671464</v>
      </c>
    </row>
    <row r="15" spans="1:14" x14ac:dyDescent="0.3">
      <c r="A15" s="3" t="s">
        <v>22</v>
      </c>
      <c r="B15" s="5">
        <v>353</v>
      </c>
      <c r="C15" s="13">
        <v>1</v>
      </c>
      <c r="D15" s="6" t="b">
        <v>1</v>
      </c>
      <c r="E15" s="7">
        <f>'Model Data'!M4</f>
        <v>0.375</v>
      </c>
      <c r="F15" s="7">
        <f>MAX(0,1-('Model Data'!K4-1)/MAX(1,MAX('Model Data'!$K$2:$K$32)-1))</f>
        <v>0.92982456140350878</v>
      </c>
      <c r="G15" s="7">
        <f>IFERROR(1/(1+EXP(40*'Model Data'!Q4)),0.5)</f>
        <v>0.51220979225312901</v>
      </c>
      <c r="H15" s="7">
        <f t="shared" si="0"/>
        <v>0.62437178301202945</v>
      </c>
      <c r="I15" s="7">
        <f>'Model Data'!N4</f>
        <v>0.75</v>
      </c>
      <c r="J15" s="7">
        <f>'Model Data'!O4</f>
        <v>0.8125</v>
      </c>
      <c r="K15" s="8">
        <f>IF(D15,AVERAGE('Model Data'!I4/'Model Data'!E4,SUMPRODUCT(E15,25,H15,25)),0)</f>
        <v>84.204282607436497</v>
      </c>
      <c r="L15" s="9">
        <f t="shared" si="1"/>
        <v>1026.6342608594919</v>
      </c>
      <c r="M15" s="7">
        <f t="shared" si="2"/>
        <v>0.24713020700328545</v>
      </c>
    </row>
    <row r="16" spans="1:14" x14ac:dyDescent="0.3">
      <c r="A16" s="3" t="s">
        <v>24</v>
      </c>
      <c r="B16" s="5">
        <v>258</v>
      </c>
      <c r="C16" s="13">
        <v>1</v>
      </c>
      <c r="D16" s="6" t="b">
        <v>1</v>
      </c>
      <c r="E16" s="7">
        <f>'Model Data'!M5</f>
        <v>0.1176470588235294</v>
      </c>
      <c r="F16" s="7">
        <f>MAX(0,1-('Model Data'!K5-1)/MAX(1,MAX('Model Data'!$K$2:$K$32)-1))</f>
        <v>0.80701754385964908</v>
      </c>
      <c r="G16" s="7">
        <f>IFERROR(1/(1+EXP(40*'Model Data'!Q5)),0.5)</f>
        <v>0.55456240234061982</v>
      </c>
      <c r="H16" s="7">
        <f t="shared" si="0"/>
        <v>0.48077832154139538</v>
      </c>
      <c r="I16" s="7">
        <f>'Model Data'!N5</f>
        <v>0.29411764705882348</v>
      </c>
      <c r="J16" s="7">
        <f>'Model Data'!O5</f>
        <v>0.70588235294117652</v>
      </c>
      <c r="K16" s="8">
        <f>IF(D16,AVERAGE('Model Data'!I5/'Model Data'!E5,SUMPRODUCT(E16,25,H16,25)),0)</f>
        <v>26.309006919414045</v>
      </c>
      <c r="L16" s="9">
        <f t="shared" si="1"/>
        <v>468.47205535531236</v>
      </c>
      <c r="M16" s="7">
        <f t="shared" si="2"/>
        <v>3.8964629149478431E-82</v>
      </c>
    </row>
    <row r="17" spans="1:13" x14ac:dyDescent="0.3">
      <c r="A17" s="3" t="s">
        <v>26</v>
      </c>
      <c r="B17" s="5">
        <v>259</v>
      </c>
      <c r="C17" s="13">
        <v>1</v>
      </c>
      <c r="D17" s="6" t="b">
        <v>1</v>
      </c>
      <c r="E17" s="7">
        <f>'Model Data'!M6</f>
        <v>0.10526315789473679</v>
      </c>
      <c r="F17" s="7">
        <f>MAX(0,1-('Model Data'!K6-1)/MAX(1,MAX('Model Data'!$K$2:$K$32)-1))</f>
        <v>0.82456140350877194</v>
      </c>
      <c r="G17" s="7">
        <f>IFERROR(1/(1+EXP(40*'Model Data'!Q6)),0.5)</f>
        <v>0.54998691364074481</v>
      </c>
      <c r="H17" s="7">
        <f t="shared" si="0"/>
        <v>0.48192720728955246</v>
      </c>
      <c r="I17" s="7">
        <f>'Model Data'!N6</f>
        <v>0.36842105263157893</v>
      </c>
      <c r="J17" s="7">
        <f>'Model Data'!O6</f>
        <v>0.57894736842105265</v>
      </c>
      <c r="K17" s="8">
        <f>IF(D17,AVERAGE('Model Data'!I6/'Model Data'!E6,SUMPRODUCT(E17,25,H17,25)),0)</f>
        <v>23.44110395495818</v>
      </c>
      <c r="L17" s="9">
        <f t="shared" si="1"/>
        <v>446.52883163966544</v>
      </c>
      <c r="M17" s="7">
        <f t="shared" si="2"/>
        <v>2.594559027279397E-85</v>
      </c>
    </row>
    <row r="18" spans="1:13" x14ac:dyDescent="0.3">
      <c r="A18" s="3" t="s">
        <v>28</v>
      </c>
      <c r="B18" s="5">
        <v>245</v>
      </c>
      <c r="C18" s="13">
        <v>1</v>
      </c>
      <c r="D18" s="6" t="b">
        <v>1</v>
      </c>
      <c r="E18" s="7">
        <f>'Model Data'!M7</f>
        <v>0.10526315789473679</v>
      </c>
      <c r="F18" s="7">
        <f>MAX(0,1-('Model Data'!K7-1)/MAX(1,MAX('Model Data'!$K$2:$K$32)-1))</f>
        <v>0.43859649122806998</v>
      </c>
      <c r="G18" s="7">
        <f>IFERROR(1/(1+EXP(40*'Model Data'!Q7)),0.5)</f>
        <v>0.53819937068676593</v>
      </c>
      <c r="H18" s="7">
        <f t="shared" si="0"/>
        <v>0.32518373378647591</v>
      </c>
      <c r="I18" s="7">
        <f>'Model Data'!N7</f>
        <v>0.2105263157894737</v>
      </c>
      <c r="J18" s="7">
        <f>'Model Data'!O7</f>
        <v>0.47368421052631582</v>
      </c>
      <c r="K18" s="8">
        <f>IF(D18,AVERAGE('Model Data'!I7/'Model Data'!E7,SUMPRODUCT(E18,25,H18,25)),0)</f>
        <v>17.902715701180512</v>
      </c>
      <c r="L18" s="9">
        <f t="shared" si="1"/>
        <v>388.22172560944409</v>
      </c>
      <c r="M18" s="7">
        <f t="shared" si="2"/>
        <v>9.4025450005089936E-94</v>
      </c>
    </row>
    <row r="19" spans="1:13" x14ac:dyDescent="0.3">
      <c r="A19" s="3" t="s">
        <v>29</v>
      </c>
      <c r="B19" s="5">
        <v>236</v>
      </c>
      <c r="C19" s="13">
        <v>1</v>
      </c>
      <c r="D19" s="6" t="b">
        <v>1</v>
      </c>
      <c r="E19" s="7">
        <f>'Model Data'!M8</f>
        <v>0.1111111111111111</v>
      </c>
      <c r="F19" s="7">
        <f>MAX(0,1-('Model Data'!K8-1)/MAX(1,MAX('Model Data'!$K$2:$K$32)-1))</f>
        <v>0.7192982456140351</v>
      </c>
      <c r="G19" s="7">
        <f>IFERROR(1/(1+EXP(40*'Model Data'!Q8)),0.5)</f>
        <v>0.53221955699532753</v>
      </c>
      <c r="H19" s="7">
        <f t="shared" si="0"/>
        <v>0.438607654089124</v>
      </c>
      <c r="I19" s="7">
        <f>'Model Data'!N8</f>
        <v>0.33333333333333331</v>
      </c>
      <c r="J19" s="7">
        <f>'Model Data'!O8</f>
        <v>0.3888888888888889</v>
      </c>
      <c r="K19" s="8">
        <f>IF(D19,AVERAGE('Model Data'!I8/'Model Data'!E8,SUMPRODUCT(E19,25,H19,25)),0)</f>
        <v>22.604432433650139</v>
      </c>
      <c r="L19" s="9">
        <f t="shared" si="1"/>
        <v>416.83545946920111</v>
      </c>
      <c r="M19" s="7">
        <f t="shared" si="2"/>
        <v>1.3046909841524401E-89</v>
      </c>
    </row>
    <row r="20" spans="1:13" x14ac:dyDescent="0.3">
      <c r="A20" s="3" t="s">
        <v>30</v>
      </c>
      <c r="B20" s="5">
        <v>172</v>
      </c>
      <c r="C20" s="13">
        <v>1</v>
      </c>
      <c r="D20" s="6" t="b">
        <v>1</v>
      </c>
      <c r="E20" s="7">
        <f>'Model Data'!M9</f>
        <v>0.1333333333333333</v>
      </c>
      <c r="F20" s="7">
        <f>MAX(0,1-('Model Data'!K9-1)/MAX(1,MAX('Model Data'!$K$2:$K$32)-1))</f>
        <v>0.17543859649122784</v>
      </c>
      <c r="G20" s="7">
        <f>IFERROR(1/(1+EXP(40*'Model Data'!Q9)),0.5)</f>
        <v>0.51630482558160085</v>
      </c>
      <c r="H20" s="7">
        <f t="shared" si="0"/>
        <v>0.22676973704614461</v>
      </c>
      <c r="I20" s="7">
        <f>'Model Data'!N9</f>
        <v>0.2</v>
      </c>
      <c r="J20" s="7">
        <f>'Model Data'!O9</f>
        <v>0.4</v>
      </c>
      <c r="K20" s="8">
        <f>IF(D20,AVERAGE('Model Data'!I9/'Model Data'!E9,SUMPRODUCT(E20,25,H20,25)),0)</f>
        <v>16.064123658973969</v>
      </c>
      <c r="L20" s="9">
        <f t="shared" si="1"/>
        <v>300.51298927179175</v>
      </c>
      <c r="M20" s="7">
        <f t="shared" si="2"/>
        <v>1.8884493968857482E-106</v>
      </c>
    </row>
    <row r="21" spans="1:13" x14ac:dyDescent="0.3">
      <c r="A21" s="3" t="s">
        <v>31</v>
      </c>
      <c r="B21" s="5">
        <v>122</v>
      </c>
      <c r="C21" s="13">
        <v>1</v>
      </c>
      <c r="D21" s="6" t="b">
        <v>1</v>
      </c>
      <c r="E21" s="7">
        <f>'Model Data'!M10</f>
        <v>5.2631578947368418E-2</v>
      </c>
      <c r="F21" s="7">
        <f>MAX(0,1-('Model Data'!K10-1)/MAX(1,MAX('Model Data'!$K$2:$K$32)-1))</f>
        <v>0.45614035087719318</v>
      </c>
      <c r="G21" s="7">
        <f>IFERROR(1/(1+EXP(40*'Model Data'!Q10)),0.5)</f>
        <v>0.51697105315911529</v>
      </c>
      <c r="H21" s="7">
        <f t="shared" si="0"/>
        <v>0.30690298256164772</v>
      </c>
      <c r="I21" s="7">
        <f>'Model Data'!N10</f>
        <v>0.2105263157894737</v>
      </c>
      <c r="J21" s="7">
        <f>'Model Data'!O10</f>
        <v>0.26315789473684209</v>
      </c>
      <c r="K21" s="8">
        <f>IF(D21,AVERAGE('Model Data'!I10/'Model Data'!E10,SUMPRODUCT(E21,25,H21,25)),0)</f>
        <v>9.9300993648877807</v>
      </c>
      <c r="L21" s="9">
        <f t="shared" si="1"/>
        <v>201.44079491910225</v>
      </c>
      <c r="M21" s="7">
        <f t="shared" si="2"/>
        <v>8.5888742863674247E-121</v>
      </c>
    </row>
    <row r="22" spans="1:13" x14ac:dyDescent="0.3">
      <c r="A22" s="3" t="s">
        <v>32</v>
      </c>
      <c r="B22" s="5">
        <v>166</v>
      </c>
      <c r="C22" s="13">
        <v>1</v>
      </c>
      <c r="D22" s="6" t="b">
        <v>1</v>
      </c>
      <c r="E22" s="7">
        <f>'Model Data'!M11</f>
        <v>7.1428571428571425E-2</v>
      </c>
      <c r="F22" s="7">
        <f>MAX(0,1-('Model Data'!K11-1)/MAX(1,MAX('Model Data'!$K$2:$K$32)-1))</f>
        <v>0.38596491228070162</v>
      </c>
      <c r="G22" s="7">
        <f>IFERROR(1/(1+EXP(40*'Model Data'!Q11)),0.5)</f>
        <v>0.47966860294372293</v>
      </c>
      <c r="H22" s="7">
        <f t="shared" si="0"/>
        <v>0.27889111407245382</v>
      </c>
      <c r="I22" s="7">
        <f>'Model Data'!N11</f>
        <v>0.14285714285714279</v>
      </c>
      <c r="J22" s="7">
        <f>'Model Data'!O11</f>
        <v>0.2142857142857143</v>
      </c>
      <c r="K22" s="8">
        <f>IF(D22,AVERAGE('Model Data'!I11/'Model Data'!E11,SUMPRODUCT(E22,25,H22,25)),0)</f>
        <v>11.433581415307749</v>
      </c>
      <c r="L22" s="9">
        <f t="shared" si="1"/>
        <v>257.46865132246199</v>
      </c>
      <c r="M22" s="7">
        <f t="shared" si="2"/>
        <v>1.1086621028449682E-112</v>
      </c>
    </row>
    <row r="23" spans="1:13" x14ac:dyDescent="0.3">
      <c r="A23" s="3" t="s">
        <v>33</v>
      </c>
      <c r="B23" s="5">
        <v>108</v>
      </c>
      <c r="C23" s="13">
        <v>1</v>
      </c>
      <c r="D23" s="6" t="b">
        <v>1</v>
      </c>
      <c r="E23" s="7">
        <f>'Model Data'!M12</f>
        <v>5.5555555555555552E-2</v>
      </c>
      <c r="F23" s="7">
        <f>MAX(0,1-('Model Data'!K12-1)/MAX(1,MAX('Model Data'!$K$2:$K$32)-1))</f>
        <v>0.61403508771929816</v>
      </c>
      <c r="G23" s="7">
        <f>IFERROR(1/(1+EXP(40*'Model Data'!Q12)),0.5)</f>
        <v>0.51348721399588804</v>
      </c>
      <c r="H23" s="7">
        <f t="shared" si="0"/>
        <v>0.37053370010911912</v>
      </c>
      <c r="I23" s="7">
        <f>'Model Data'!N12</f>
        <v>5.5555555555555552E-2</v>
      </c>
      <c r="J23" s="7">
        <f>'Model Data'!O12</f>
        <v>0.1111111111111111</v>
      </c>
      <c r="K23" s="8">
        <f>IF(D23,AVERAGE('Model Data'!I12/'Model Data'!E12,SUMPRODUCT(E23,25,H23,25)),0)</f>
        <v>10.24537673800554</v>
      </c>
      <c r="L23" s="9">
        <f t="shared" si="1"/>
        <v>189.96301390404432</v>
      </c>
      <c r="M23" s="7">
        <f t="shared" si="2"/>
        <v>1.8722216354755133E-122</v>
      </c>
    </row>
    <row r="24" spans="1:13" x14ac:dyDescent="0.3">
      <c r="A24" s="3" t="s">
        <v>35</v>
      </c>
      <c r="B24" s="5">
        <v>125</v>
      </c>
      <c r="C24" s="13">
        <v>1</v>
      </c>
      <c r="D24" s="6" t="b">
        <v>1</v>
      </c>
      <c r="E24" s="7">
        <f>'Model Data'!M13</f>
        <v>5.2631578947368418E-2</v>
      </c>
      <c r="F24" s="7">
        <f>MAX(0,1-('Model Data'!K13-1)/MAX(1,MAX('Model Data'!$K$2:$K$32)-1))</f>
        <v>0.42105263157894735</v>
      </c>
      <c r="G24" s="7">
        <f>IFERROR(1/(1+EXP(40*'Model Data'!Q13)),0.5)</f>
        <v>0.49790993602788114</v>
      </c>
      <c r="H24" s="7">
        <f t="shared" si="0"/>
        <v>0.28905567141610256</v>
      </c>
      <c r="I24" s="7">
        <f>'Model Data'!N13</f>
        <v>5.2631578947368418E-2</v>
      </c>
      <c r="J24" s="7">
        <f>'Model Data'!O13</f>
        <v>0.10526315789473679</v>
      </c>
      <c r="K24" s="8">
        <f>IF(D24,AVERAGE('Model Data'!I13/'Model Data'!E13,SUMPRODUCT(E24,25,H24,25)),0)</f>
        <v>7.9306757102106644</v>
      </c>
      <c r="L24" s="9">
        <f t="shared" si="1"/>
        <v>188.44540568168532</v>
      </c>
      <c r="M24" s="7">
        <f t="shared" si="2"/>
        <v>1.1289142821743784E-122</v>
      </c>
    </row>
    <row r="25" spans="1:13" x14ac:dyDescent="0.3">
      <c r="A25" s="3" t="s">
        <v>36</v>
      </c>
      <c r="B25" s="5">
        <v>104</v>
      </c>
      <c r="C25" s="13">
        <v>1</v>
      </c>
      <c r="D25" s="6" t="b">
        <v>1</v>
      </c>
      <c r="E25" s="7">
        <f>'Model Data'!M14</f>
        <v>5.2631578947368418E-2</v>
      </c>
      <c r="F25" s="7">
        <f>MAX(0,1-('Model Data'!K14-1)/MAX(1,MAX('Model Data'!$K$2:$K$32)-1))</f>
        <v>0.56140350877192979</v>
      </c>
      <c r="G25" s="7">
        <f>IFERROR(1/(1+EXP(40*'Model Data'!Q14)),0.5)</f>
        <v>0.495240794478013</v>
      </c>
      <c r="H25" s="7">
        <f t="shared" si="0"/>
        <v>0.34466219398332193</v>
      </c>
      <c r="I25" s="7">
        <f>'Model Data'!N14</f>
        <v>5.2631578947368418E-2</v>
      </c>
      <c r="J25" s="7">
        <f>'Model Data'!O14</f>
        <v>5.2631578947368418E-2</v>
      </c>
      <c r="K25" s="8">
        <f>IF(D25,AVERAGE('Model Data'!I14/'Model Data'!E14,SUMPRODUCT(E25,25,H25,25)),0)</f>
        <v>8.7276096146637698</v>
      </c>
      <c r="L25" s="9">
        <f t="shared" si="1"/>
        <v>173.82087691731016</v>
      </c>
      <c r="M25" s="7">
        <f t="shared" si="2"/>
        <v>8.6207209333430579E-125</v>
      </c>
    </row>
    <row r="26" spans="1:13" x14ac:dyDescent="0.3">
      <c r="A26" s="3" t="s">
        <v>38</v>
      </c>
      <c r="B26" s="5">
        <v>74</v>
      </c>
      <c r="C26" s="13">
        <v>1</v>
      </c>
      <c r="D26" s="6" t="b">
        <v>1</v>
      </c>
      <c r="E26" s="7">
        <f>'Model Data'!M15</f>
        <v>5.2631578947368418E-2</v>
      </c>
      <c r="F26" s="7">
        <f>MAX(0,1-('Model Data'!K15-1)/MAX(1,MAX('Model Data'!$K$2:$K$32)-1))</f>
        <v>0.38596491228070162</v>
      </c>
      <c r="G26" s="7">
        <f>IFERROR(1/(1+EXP(40*'Model Data'!Q15)),0.5)</f>
        <v>0.44181204991196588</v>
      </c>
      <c r="H26" s="7">
        <f t="shared" si="0"/>
        <v>0.2638010064736212</v>
      </c>
      <c r="I26" s="7">
        <f>'Model Data'!N15</f>
        <v>5.2631578947368418E-2</v>
      </c>
      <c r="J26" s="7">
        <f>'Model Data'!O15</f>
        <v>5.2631578947368418E-2</v>
      </c>
      <c r="K26" s="8">
        <f>IF(D26,AVERAGE('Model Data'!I15/'Model Data'!E15,SUMPRODUCT(E26,25,H26,25)),0)</f>
        <v>6.5153029315514317</v>
      </c>
      <c r="L26" s="9">
        <f t="shared" si="1"/>
        <v>126.12242345241145</v>
      </c>
      <c r="M26" s="7">
        <f t="shared" si="2"/>
        <v>1.0727171109677373E-131</v>
      </c>
    </row>
    <row r="27" spans="1:13" x14ac:dyDescent="0.3">
      <c r="A27" s="3" t="s">
        <v>41</v>
      </c>
      <c r="B27" s="5">
        <v>74</v>
      </c>
      <c r="C27" s="13">
        <v>1</v>
      </c>
      <c r="D27" s="6" t="b">
        <v>1</v>
      </c>
      <c r="E27" s="7">
        <f>'Model Data'!M16</f>
        <v>5.2631578947368418E-2</v>
      </c>
      <c r="F27" s="7">
        <f>MAX(0,1-('Model Data'!K16-1)/MAX(1,MAX('Model Data'!$K$2:$K$32)-1))</f>
        <v>0.12280701754385936</v>
      </c>
      <c r="G27" s="7">
        <f>IFERROR(1/(1+EXP(40*'Model Data'!Q16)),0.5)</f>
        <v>0.4301185101090273</v>
      </c>
      <c r="H27" s="7">
        <f t="shared" si="0"/>
        <v>0.15619914061829659</v>
      </c>
      <c r="I27" s="7">
        <f>'Model Data'!N16</f>
        <v>5.2631578947368418E-2</v>
      </c>
      <c r="J27" s="7">
        <f>'Model Data'!O16</f>
        <v>5.2631578947368418E-2</v>
      </c>
      <c r="K27" s="8">
        <f>IF(D27,AVERAGE('Model Data'!I16/'Model Data'!E16,SUMPRODUCT(E27,25,H27,25)),0)</f>
        <v>4.745535401036225</v>
      </c>
      <c r="L27" s="9">
        <f t="shared" si="1"/>
        <v>111.9642832082898</v>
      </c>
      <c r="M27" s="7">
        <f t="shared" si="2"/>
        <v>9.5693949840598407E-134</v>
      </c>
    </row>
    <row r="28" spans="1:13" x14ac:dyDescent="0.3">
      <c r="A28" s="3" t="s">
        <v>43</v>
      </c>
      <c r="B28" s="5">
        <v>59</v>
      </c>
      <c r="C28" s="13">
        <v>1</v>
      </c>
      <c r="D28" s="6" t="b">
        <v>1</v>
      </c>
      <c r="E28" s="7">
        <f>'Model Data'!M17</f>
        <v>5.2631578947368418E-2</v>
      </c>
      <c r="F28" s="7">
        <f>MAX(0,1-('Model Data'!K17-1)/MAX(1,MAX('Model Data'!$K$2:$K$32)-1))</f>
        <v>0.22807017543859631</v>
      </c>
      <c r="G28" s="7">
        <f>IFERROR(1/(1+EXP(40*'Model Data'!Q17)),0.5)</f>
        <v>0.47414266810542216</v>
      </c>
      <c r="H28" s="7">
        <f t="shared" si="0"/>
        <v>0.20710923537547032</v>
      </c>
      <c r="I28" s="7">
        <f>'Model Data'!N17</f>
        <v>5.2631578947368418E-2</v>
      </c>
      <c r="J28" s="7">
        <f>'Model Data'!O17</f>
        <v>5.2631578947368418E-2</v>
      </c>
      <c r="K28" s="8">
        <f>IF(D28,AVERAGE('Model Data'!I17/'Model Data'!E17,SUMPRODUCT(E28,25,H28,25)),0)</f>
        <v>5.1416960152699254</v>
      </c>
      <c r="L28" s="9">
        <f t="shared" si="1"/>
        <v>100.1335681221594</v>
      </c>
      <c r="M28" s="7">
        <f t="shared" si="2"/>
        <v>1.8544411448152156E-135</v>
      </c>
    </row>
    <row r="29" spans="1:13" x14ac:dyDescent="0.3">
      <c r="A29" s="3" t="s">
        <v>44</v>
      </c>
      <c r="B29" s="5">
        <v>33</v>
      </c>
      <c r="C29" s="13">
        <v>1</v>
      </c>
      <c r="D29" s="6" t="b">
        <v>1</v>
      </c>
      <c r="E29" s="7">
        <f>'Model Data'!M18</f>
        <v>8.3333333333333329E-2</v>
      </c>
      <c r="F29" s="7">
        <f>MAX(0,1-('Model Data'!K18-1)/MAX(1,MAX('Model Data'!$K$2:$K$32)-1))</f>
        <v>0.29824561403508787</v>
      </c>
      <c r="G29" s="7">
        <f>IFERROR(1/(1+EXP(40*'Model Data'!Q18)),0.5)</f>
        <v>0.5018957707199323</v>
      </c>
      <c r="H29" s="7">
        <f t="shared" si="0"/>
        <v>0.25301073309135491</v>
      </c>
      <c r="I29" s="7">
        <f>'Model Data'!N18</f>
        <v>8.3333333333333329E-2</v>
      </c>
      <c r="J29" s="7">
        <f>'Model Data'!O18</f>
        <v>8.3333333333333329E-2</v>
      </c>
      <c r="K29" s="8">
        <f>IF(D29,AVERAGE('Model Data'!I18/'Model Data'!E18,SUMPRODUCT(E29,25,H29,25)),0)</f>
        <v>9.1388211742540335</v>
      </c>
      <c r="L29" s="9">
        <f t="shared" si="1"/>
        <v>106.11056939403227</v>
      </c>
      <c r="M29" s="7">
        <f t="shared" si="2"/>
        <v>1.3597924058290392E-134</v>
      </c>
    </row>
    <row r="30" spans="1:13" x14ac:dyDescent="0.3">
      <c r="A30" s="3" t="s">
        <v>45</v>
      </c>
      <c r="B30" s="5">
        <v>51</v>
      </c>
      <c r="C30" s="13">
        <v>1</v>
      </c>
      <c r="D30" s="6" t="b">
        <v>1</v>
      </c>
      <c r="E30" s="7">
        <f>'Model Data'!M19</f>
        <v>6.25E-2</v>
      </c>
      <c r="F30" s="7">
        <f>MAX(0,1-('Model Data'!K19-1)/MAX(1,MAX('Model Data'!$K$2:$K$32)-1))</f>
        <v>0.12280701754385936</v>
      </c>
      <c r="G30" s="7">
        <f>IFERROR(1/(1+EXP(40*'Model Data'!Q19)),0.5)</f>
        <v>0.49008299249950649</v>
      </c>
      <c r="H30" s="7">
        <f t="shared" si="0"/>
        <v>0.17213940551744505</v>
      </c>
      <c r="I30" s="7">
        <f>'Model Data'!N19</f>
        <v>0.125</v>
      </c>
      <c r="J30" s="7">
        <f>'Model Data'!O19</f>
        <v>0.1875</v>
      </c>
      <c r="K30" s="8">
        <f>IF(D30,AVERAGE('Model Data'!I19/'Model Data'!E19,SUMPRODUCT(E30,25,H30,25)),0)</f>
        <v>4.5406691925840272</v>
      </c>
      <c r="L30" s="9">
        <f t="shared" si="1"/>
        <v>87.325353540672211</v>
      </c>
      <c r="M30" s="7">
        <f t="shared" si="2"/>
        <v>2.5943829561674464E-137</v>
      </c>
    </row>
    <row r="31" spans="1:13" x14ac:dyDescent="0.3">
      <c r="A31" s="3" t="s">
        <v>46</v>
      </c>
      <c r="B31" s="5">
        <v>28</v>
      </c>
      <c r="C31" s="13">
        <v>1</v>
      </c>
      <c r="D31" s="6" t="b">
        <v>1</v>
      </c>
      <c r="E31" s="7">
        <f>'Model Data'!M20</f>
        <v>5.2631578947368418E-2</v>
      </c>
      <c r="F31" s="7">
        <f>MAX(0,1-('Model Data'!K20-1)/MAX(1,MAX('Model Data'!$K$2:$K$32)-1))</f>
        <v>0</v>
      </c>
      <c r="G31" s="7">
        <f>IFERROR(1/(1+EXP(40*'Model Data'!Q20)),0.5)</f>
        <v>0.34683001035882455</v>
      </c>
      <c r="H31" s="7">
        <f t="shared" si="0"/>
        <v>9.0418633650712274E-2</v>
      </c>
      <c r="I31" s="7">
        <f>'Model Data'!N20</f>
        <v>5.2631578947368418E-2</v>
      </c>
      <c r="J31" s="7">
        <f>'Model Data'!O20</f>
        <v>5.2631578947368418E-2</v>
      </c>
      <c r="K31" s="8">
        <f>IF(D31,AVERAGE('Model Data'!I20/'Model Data'!E20,SUMPRODUCT(E31,25,H31,25)),0)</f>
        <v>2.3106779915461577</v>
      </c>
      <c r="L31" s="9">
        <f t="shared" si="1"/>
        <v>46.485423932369258</v>
      </c>
      <c r="M31" s="7">
        <f t="shared" si="2"/>
        <v>3.1757676893835068E-143</v>
      </c>
    </row>
    <row r="32" spans="1:13" x14ac:dyDescent="0.3">
      <c r="A32" s="3" t="s">
        <v>48</v>
      </c>
      <c r="B32" s="5">
        <v>25</v>
      </c>
      <c r="C32" s="13">
        <v>1</v>
      </c>
      <c r="D32" s="6" t="b">
        <v>1</v>
      </c>
      <c r="E32" s="7">
        <f>'Model Data'!M21</f>
        <v>5.2631578947368418E-2</v>
      </c>
      <c r="F32" s="7">
        <f>MAX(0,1-('Model Data'!K21-1)/MAX(1,MAX('Model Data'!$K$2:$K$32)-1))</f>
        <v>0.17543859649122784</v>
      </c>
      <c r="G32" s="7">
        <f>IFERROR(1/(1+EXP(40*'Model Data'!Q21)),0.5)</f>
        <v>0.46094642948426962</v>
      </c>
      <c r="H32" s="7">
        <f t="shared" si="0"/>
        <v>0.18341735607229243</v>
      </c>
      <c r="I32" s="7">
        <f>'Model Data'!N21</f>
        <v>5.2631578947368418E-2</v>
      </c>
      <c r="J32" s="7">
        <f>'Model Data'!O21</f>
        <v>5.2631578947368418E-2</v>
      </c>
      <c r="K32" s="8">
        <f>IF(D32,AVERAGE('Model Data'!I21/'Model Data'!E21,SUMPRODUCT(E32,25,H32,25)),0)</f>
        <v>3.7520269477834471</v>
      </c>
      <c r="L32" s="9">
        <f t="shared" si="1"/>
        <v>55.016215582267577</v>
      </c>
      <c r="M32" s="7">
        <f t="shared" si="2"/>
        <v>5.4551576485224276E-142</v>
      </c>
    </row>
    <row r="33" spans="1:13" x14ac:dyDescent="0.3">
      <c r="A33" s="3" t="s">
        <v>49</v>
      </c>
      <c r="B33" s="5">
        <v>18</v>
      </c>
      <c r="C33" s="13">
        <v>1</v>
      </c>
      <c r="D33" s="6" t="b">
        <v>1</v>
      </c>
      <c r="E33" s="7">
        <f>'Model Data'!M22</f>
        <v>5.2631578947368418E-2</v>
      </c>
      <c r="F33" s="7">
        <f>MAX(0,1-('Model Data'!K22-1)/MAX(1,MAX('Model Data'!$K$2:$K$32)-1))</f>
        <v>8.7719298245614308E-2</v>
      </c>
      <c r="G33" s="7">
        <f>IFERROR(1/(1+EXP(40*'Model Data'!Q22)),0.5)</f>
        <v>0.44934490400365751</v>
      </c>
      <c r="H33" s="7">
        <f t="shared" si="0"/>
        <v>0.1460093316779246</v>
      </c>
      <c r="I33" s="7">
        <f>'Model Data'!N22</f>
        <v>5.2631578947368418E-2</v>
      </c>
      <c r="J33" s="7">
        <f>'Model Data'!O22</f>
        <v>5.2631578947368418E-2</v>
      </c>
      <c r="K33" s="8">
        <f>IF(D33,AVERAGE('Model Data'!I22/'Model Data'!E22,SUMPRODUCT(E33,25,H33,25)),0)</f>
        <v>2.9308810357243784</v>
      </c>
      <c r="L33" s="9">
        <f t="shared" si="1"/>
        <v>41.447048285795027</v>
      </c>
      <c r="M33" s="7">
        <f t="shared" si="2"/>
        <v>5.9220101237036515E-144</v>
      </c>
    </row>
    <row r="34" spans="1:13" x14ac:dyDescent="0.3">
      <c r="A34" s="3" t="s">
        <v>51</v>
      </c>
      <c r="B34" s="5">
        <v>12</v>
      </c>
      <c r="C34" s="13">
        <v>1</v>
      </c>
      <c r="D34" s="6" t="b">
        <v>1</v>
      </c>
      <c r="E34" s="7">
        <f>'Model Data'!M23</f>
        <v>8.3333333333333329E-2</v>
      </c>
      <c r="F34" s="7">
        <f>MAX(0,1-('Model Data'!K23-1)/MAX(1,MAX('Model Data'!$K$2:$K$32)-1))</f>
        <v>0.22807017543859631</v>
      </c>
      <c r="G34" s="7">
        <f>IFERROR(1/(1+EXP(40*'Model Data'!Q23)),0.5)</f>
        <v>0.44914056350127129</v>
      </c>
      <c r="H34" s="7">
        <f t="shared" si="0"/>
        <v>0.21438951620902613</v>
      </c>
      <c r="I34" s="7">
        <f>'Model Data'!N23</f>
        <v>8.3333333333333329E-2</v>
      </c>
      <c r="J34" s="7">
        <f>'Model Data'!O23</f>
        <v>8.3333333333333329E-2</v>
      </c>
      <c r="K34" s="8">
        <f>IF(D34,AVERAGE('Model Data'!I23/'Model Data'!E23,SUMPRODUCT(E34,25,H34,25)),0)</f>
        <v>6.1830603179433883</v>
      </c>
      <c r="L34" s="9">
        <f t="shared" si="1"/>
        <v>61.464482543547106</v>
      </c>
      <c r="M34" s="7">
        <f t="shared" si="2"/>
        <v>4.680471001074035E-141</v>
      </c>
    </row>
    <row r="35" spans="1:13" x14ac:dyDescent="0.3">
      <c r="A35" s="3" t="s">
        <v>52</v>
      </c>
      <c r="B35" s="5">
        <v>9</v>
      </c>
      <c r="C35" s="13">
        <v>1</v>
      </c>
      <c r="D35" s="6" t="b">
        <v>1</v>
      </c>
      <c r="E35" s="7">
        <f>'Model Data'!M24</f>
        <v>0.25</v>
      </c>
      <c r="F35" s="7">
        <f>MAX(0,1-('Model Data'!K24-1)/MAX(1,MAX('Model Data'!$K$2:$K$32)-1))</f>
        <v>0.34210526315789469</v>
      </c>
      <c r="G35" s="7">
        <f>IFERROR(1/(1+EXP(40*'Model Data'!Q24)),0.5)</f>
        <v>0.48535947548511421</v>
      </c>
      <c r="H35" s="7">
        <f t="shared" si="0"/>
        <v>0.33391400036018071</v>
      </c>
      <c r="I35" s="7">
        <f>'Model Data'!N24</f>
        <v>0.25</v>
      </c>
      <c r="J35" s="7">
        <f>'Model Data'!O24</f>
        <v>0.25</v>
      </c>
      <c r="K35" s="8">
        <f>IF(D35,AVERAGE('Model Data'!I24/'Model Data'!E24,SUMPRODUCT(E35,25,H35,25)),0)</f>
        <v>28.337031278139115</v>
      </c>
      <c r="L35" s="9">
        <f t="shared" si="1"/>
        <v>235.69625022511292</v>
      </c>
      <c r="M35" s="7">
        <f t="shared" si="2"/>
        <v>7.8148620762467439E-116</v>
      </c>
    </row>
    <row r="36" spans="1:13" x14ac:dyDescent="0.3">
      <c r="A36" s="3" t="s">
        <v>53</v>
      </c>
      <c r="B36" s="5">
        <v>5</v>
      </c>
      <c r="C36" s="13">
        <v>1</v>
      </c>
      <c r="D36" s="6" t="b">
        <v>1</v>
      </c>
      <c r="E36" s="7">
        <f>'Model Data'!M25</f>
        <v>0.16666666666666671</v>
      </c>
      <c r="F36" s="7">
        <f>MAX(0,1-('Model Data'!K25-1)/MAX(1,MAX('Model Data'!$K$2:$K$32)-1))</f>
        <v>0.21052631578947367</v>
      </c>
      <c r="G36" s="7">
        <f>IFERROR(1/(1+EXP(40*'Model Data'!Q25)),0.5)</f>
        <v>0.38345389606423441</v>
      </c>
      <c r="H36" s="7">
        <f t="shared" si="0"/>
        <v>0.22756797219530306</v>
      </c>
      <c r="I36" s="7">
        <f>'Model Data'!N25</f>
        <v>0.16666666666666671</v>
      </c>
      <c r="J36" s="7">
        <f>'Model Data'!O25</f>
        <v>0.16666666666666671</v>
      </c>
      <c r="K36" s="8">
        <f>IF(D36,AVERAGE('Model Data'!I25/'Model Data'!E25,SUMPRODUCT(E36,25,H36,25)),0)</f>
        <v>12.602498551838703</v>
      </c>
      <c r="L36" s="9">
        <f t="shared" si="1"/>
        <v>105.81998841470963</v>
      </c>
      <c r="M36" s="7">
        <f t="shared" si="2"/>
        <v>1.2342601464732448E-134</v>
      </c>
    </row>
    <row r="37" spans="1:13" x14ac:dyDescent="0.3">
      <c r="A37" s="3" t="s">
        <v>54</v>
      </c>
      <c r="B37" s="5">
        <v>3</v>
      </c>
      <c r="C37" s="13">
        <v>1</v>
      </c>
      <c r="D37" s="6" t="b">
        <v>1</v>
      </c>
      <c r="E37" s="7">
        <f>'Model Data'!M26</f>
        <v>0.16666666666666671</v>
      </c>
      <c r="F37" s="7">
        <f>MAX(0,1-('Model Data'!K26-1)/MAX(1,MAX('Model Data'!$K$2:$K$32)-1))</f>
        <v>0.24561403508771951</v>
      </c>
      <c r="G37" s="7">
        <f>IFERROR(1/(1+EXP(40*'Model Data'!Q26)),0.5)</f>
        <v>0.46898139589412458</v>
      </c>
      <c r="H37" s="7">
        <f t="shared" si="0"/>
        <v>0.25870855988057945</v>
      </c>
      <c r="I37" s="7">
        <f>'Model Data'!N26</f>
        <v>0.16666666666666671</v>
      </c>
      <c r="J37" s="7">
        <f>'Model Data'!O26</f>
        <v>0.16666666666666671</v>
      </c>
      <c r="K37" s="8">
        <f>IF(D37,AVERAGE('Model Data'!I26/'Model Data'!E26,SUMPRODUCT(E37,25,H37,25)),0)</f>
        <v>14.099404160446852</v>
      </c>
      <c r="L37" s="9">
        <f t="shared" si="1"/>
        <v>115.79523328357482</v>
      </c>
      <c r="M37" s="7">
        <f t="shared" si="2"/>
        <v>3.4313996832030537E-133</v>
      </c>
    </row>
    <row r="38" spans="1:13" x14ac:dyDescent="0.3">
      <c r="A38" s="3" t="s">
        <v>56</v>
      </c>
      <c r="B38" s="5">
        <v>3</v>
      </c>
      <c r="C38" s="13">
        <v>1</v>
      </c>
      <c r="D38" s="6" t="b">
        <v>1</v>
      </c>
      <c r="E38" s="7">
        <f>'Model Data'!M27</f>
        <v>0.33333333333333331</v>
      </c>
      <c r="F38" s="7">
        <f>MAX(0,1-('Model Data'!K27-1)/MAX(1,MAX('Model Data'!$K$2:$K$32)-1))</f>
        <v>0.36842105263157898</v>
      </c>
      <c r="G38" s="7">
        <f>IFERROR(1/(1+EXP(40*'Model Data'!Q27)),0.5)</f>
        <v>0.49052599910206335</v>
      </c>
      <c r="H38" s="7">
        <f t="shared" si="0"/>
        <v>0.37880695420637756</v>
      </c>
      <c r="I38" s="7">
        <f>'Model Data'!N27</f>
        <v>0.33333333333333331</v>
      </c>
      <c r="J38" s="7">
        <f>'Model Data'!O27</f>
        <v>0.33333333333333331</v>
      </c>
      <c r="K38" s="8">
        <f>IF(D38,AVERAGE('Model Data'!I27/'Model Data'!E27,SUMPRODUCT(E38,25,H38,25)),0)</f>
        <v>40.959057729830988</v>
      </c>
      <c r="L38" s="9">
        <f t="shared" si="1"/>
        <v>330.67246183864791</v>
      </c>
      <c r="M38" s="7">
        <f t="shared" si="2"/>
        <v>4.3866823731143668E-102</v>
      </c>
    </row>
    <row r="39" spans="1:13" x14ac:dyDescent="0.3">
      <c r="A39" s="3" t="s">
        <v>57</v>
      </c>
      <c r="B39" s="5">
        <v>6</v>
      </c>
      <c r="C39" s="13">
        <v>1</v>
      </c>
      <c r="D39" s="6" t="b">
        <v>1</v>
      </c>
      <c r="E39" s="7">
        <f>'Model Data'!M28</f>
        <v>0.33333333333333331</v>
      </c>
      <c r="F39" s="7">
        <f>MAX(0,1-('Model Data'!K28-1)/MAX(1,MAX('Model Data'!$K$2:$K$32)-1))</f>
        <v>0.36842105263157898</v>
      </c>
      <c r="G39" s="7">
        <f>IFERROR(1/(1+EXP(40*'Model Data'!Q28)),0.5)</f>
        <v>0.49774982721816519</v>
      </c>
      <c r="H39" s="7">
        <f t="shared" si="0"/>
        <v>0.38025171982959793</v>
      </c>
      <c r="I39" s="7">
        <f>'Model Data'!N28</f>
        <v>0.33333333333333331</v>
      </c>
      <c r="J39" s="7">
        <f>'Model Data'!O28</f>
        <v>0.33333333333333331</v>
      </c>
      <c r="K39" s="8">
        <f>IF(D39,AVERAGE('Model Data'!I28/'Model Data'!E28,SUMPRODUCT(E39,25,H39,25)),0)</f>
        <v>41.109554148916445</v>
      </c>
      <c r="L39" s="9">
        <f t="shared" si="1"/>
        <v>334.87643319133156</v>
      </c>
      <c r="M39" s="7">
        <f t="shared" si="2"/>
        <v>1.7812438438661116E-101</v>
      </c>
    </row>
    <row r="40" spans="1:13" x14ac:dyDescent="0.3">
      <c r="A40" s="3" t="s">
        <v>58</v>
      </c>
      <c r="B40" s="5">
        <v>0</v>
      </c>
      <c r="C40" s="13">
        <v>1</v>
      </c>
      <c r="D40" s="6" t="b">
        <v>1</v>
      </c>
      <c r="E40" s="7">
        <f>'Model Data'!M29</f>
        <v>0.33333333333333331</v>
      </c>
      <c r="F40" s="7">
        <f>MAX(0,1-('Model Data'!K29-1)/MAX(1,MAX('Model Data'!$K$2:$K$32)-1))</f>
        <v>0.21052631578947367</v>
      </c>
      <c r="G40" s="7">
        <f>IFERROR(1/(1+EXP(40*'Model Data'!Q29)),0.5)</f>
        <v>0.2738839649292415</v>
      </c>
      <c r="H40" s="7">
        <f t="shared" si="0"/>
        <v>0.27232065263497113</v>
      </c>
      <c r="I40" s="7">
        <f>'Model Data'!N29</f>
        <v>0.33333333333333331</v>
      </c>
      <c r="J40" s="7">
        <f>'Model Data'!O29</f>
        <v>0.33333333333333331</v>
      </c>
      <c r="K40" s="8">
        <f>IF(D40,AVERAGE('Model Data'!I29/'Model Data'!E29,SUMPRODUCT(E40,25,H40,25)),0)</f>
        <v>28.366734649476154</v>
      </c>
      <c r="L40" s="9">
        <f t="shared" si="1"/>
        <v>226.93387719580923</v>
      </c>
      <c r="M40" s="7">
        <f t="shared" si="2"/>
        <v>4.2115106112148628E-117</v>
      </c>
    </row>
    <row r="41" spans="1:13" x14ac:dyDescent="0.3">
      <c r="A41" s="3" t="s">
        <v>60</v>
      </c>
      <c r="B41" s="5">
        <v>0</v>
      </c>
      <c r="C41" s="13">
        <v>1</v>
      </c>
      <c r="D41" s="6" t="b">
        <v>1</v>
      </c>
      <c r="E41" s="7">
        <f>'Model Data'!M30</f>
        <v>0.125</v>
      </c>
      <c r="F41" s="7">
        <f>MAX(0,1-('Model Data'!K30-1)/MAX(1,MAX('Model Data'!$K$2:$K$32)-1))</f>
        <v>0.14035087719298267</v>
      </c>
      <c r="G41" s="7">
        <f>IFERROR(1/(1+EXP(40*'Model Data'!Q30)),0.5)</f>
        <v>0.41168615110048029</v>
      </c>
      <c r="H41" s="7">
        <f t="shared" si="0"/>
        <v>0.18847758109728913</v>
      </c>
      <c r="I41" s="7">
        <f>'Model Data'!N30</f>
        <v>0.125</v>
      </c>
      <c r="J41" s="7">
        <f>'Model Data'!O30</f>
        <v>0.125</v>
      </c>
      <c r="K41" s="8">
        <f>IF(D41,AVERAGE('Model Data'!I30/'Model Data'!E30,SUMPRODUCT(E41,25,H41,25)),0)</f>
        <v>7.3624055116128559</v>
      </c>
      <c r="L41" s="9">
        <f t="shared" si="1"/>
        <v>58.899244092902848</v>
      </c>
      <c r="M41" s="7">
        <f t="shared" si="2"/>
        <v>1.9903674353516836E-141</v>
      </c>
    </row>
    <row r="42" spans="1:13" x14ac:dyDescent="0.3">
      <c r="A42" s="3" t="s">
        <v>62</v>
      </c>
      <c r="B42" s="5">
        <v>0</v>
      </c>
      <c r="C42" s="13">
        <v>1</v>
      </c>
      <c r="D42" s="6" t="b">
        <v>1</v>
      </c>
      <c r="E42" s="7">
        <f>'Model Data'!M31</f>
        <v>0.25</v>
      </c>
      <c r="F42" s="7">
        <f>MAX(0,1-('Model Data'!K31-1)/MAX(1,MAX('Model Data'!$K$2:$K$32)-1))</f>
        <v>5.2631578947368474E-2</v>
      </c>
      <c r="G42" s="7">
        <f>IFERROR(1/(1+EXP(40*'Model Data'!Q31)),0.5)</f>
        <v>0.37680421008345683</v>
      </c>
      <c r="H42" s="7">
        <f t="shared" si="0"/>
        <v>0.19641347359563877</v>
      </c>
      <c r="I42" s="7">
        <f>'Model Data'!N31</f>
        <v>0.25</v>
      </c>
      <c r="J42" s="7">
        <f>'Model Data'!O31</f>
        <v>0.25</v>
      </c>
      <c r="K42" s="8">
        <f>IF(D42,AVERAGE('Model Data'!I31/'Model Data'!E31,SUMPRODUCT(E42,25,H42,25)),0)</f>
        <v>15.344802624659279</v>
      </c>
      <c r="L42" s="9">
        <f t="shared" si="1"/>
        <v>122.75842099727423</v>
      </c>
      <c r="M42" s="7">
        <f t="shared" si="2"/>
        <v>3.4953926901936949E-132</v>
      </c>
    </row>
    <row r="43" spans="1:13" x14ac:dyDescent="0.3">
      <c r="A43" s="3" t="s">
        <v>63</v>
      </c>
      <c r="B43" s="5">
        <v>0</v>
      </c>
      <c r="C43" s="13">
        <v>1</v>
      </c>
      <c r="D43" s="6" t="b">
        <v>1</v>
      </c>
      <c r="E43" s="7">
        <f>'Model Data'!M32</f>
        <v>0.25</v>
      </c>
      <c r="F43" s="7">
        <f>MAX(0,1-('Model Data'!K32-1)/MAX(1,MAX('Model Data'!$K$2:$K$32)-1))</f>
        <v>2.6315789473684181E-2</v>
      </c>
      <c r="G43" s="7">
        <f>IFERROR(1/(1+EXP(40*'Model Data'!Q32)),0.5)</f>
        <v>0.4382785606945207</v>
      </c>
      <c r="H43" s="7">
        <f t="shared" si="0"/>
        <v>0.19818202792837783</v>
      </c>
      <c r="I43" s="7">
        <f>'Model Data'!N32</f>
        <v>0.25</v>
      </c>
      <c r="J43" s="7">
        <f>'Model Data'!O32</f>
        <v>0.25</v>
      </c>
      <c r="K43" s="8">
        <f>IF(D43,AVERAGE('Model Data'!I32/'Model Data'!E32,SUMPRODUCT(E43,25,H43,25)),0)</f>
        <v>15.48297093190452</v>
      </c>
      <c r="L43" s="9">
        <f t="shared" si="1"/>
        <v>123.86376745523616</v>
      </c>
      <c r="M43" s="7">
        <f t="shared" si="2"/>
        <v>5.0525574781142854E-132</v>
      </c>
    </row>
    <row r="46" spans="1:13" ht="15.6" x14ac:dyDescent="0.3">
      <c r="A46" s="1" t="s">
        <v>96</v>
      </c>
    </row>
    <row r="47" spans="1:13" x14ac:dyDescent="0.3">
      <c r="A47" s="12" t="s">
        <v>97</v>
      </c>
      <c r="B47" s="12"/>
      <c r="C47" s="12"/>
      <c r="D47" s="12"/>
      <c r="E47" s="12"/>
      <c r="F47" s="12"/>
      <c r="G47" s="12"/>
      <c r="H47" s="12"/>
      <c r="I47" s="12"/>
      <c r="J47" s="12"/>
      <c r="K47" s="12"/>
      <c r="L47" s="12"/>
      <c r="M47" s="12"/>
    </row>
    <row r="48" spans="1:13" x14ac:dyDescent="0.3">
      <c r="A48" s="12"/>
      <c r="B48" s="12"/>
      <c r="C48" s="12"/>
      <c r="D48" s="12"/>
      <c r="E48" s="12"/>
      <c r="F48" s="12"/>
      <c r="G48" s="12"/>
      <c r="H48" s="12"/>
      <c r="I48" s="12"/>
      <c r="J48" s="12"/>
      <c r="K48" s="12"/>
      <c r="L48" s="12"/>
      <c r="M48" s="12"/>
    </row>
    <row r="49" spans="1:13" x14ac:dyDescent="0.3">
      <c r="A49" s="12"/>
      <c r="B49" s="12"/>
      <c r="C49" s="12"/>
      <c r="D49" s="12"/>
      <c r="E49" s="12"/>
      <c r="F49" s="12"/>
      <c r="G49" s="12"/>
      <c r="H49" s="12"/>
      <c r="I49" s="12"/>
      <c r="J49" s="12"/>
      <c r="K49" s="12"/>
      <c r="L49" s="12"/>
      <c r="M49" s="12"/>
    </row>
  </sheetData>
  <mergeCells count="2">
    <mergeCell ref="A1:N1"/>
    <mergeCell ref="A47:M49"/>
  </mergeCells>
  <dataValidations count="1">
    <dataValidation type="decimal" allowBlank="1" showInputMessage="1" showErrorMessage="1" sqref="B4:B6" xr:uid="{00000000-0002-0000-0100-000000000000}">
      <formula1>0</formula1>
      <formula2>1</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workbookViewId="0">
      <pane ySplit="3" topLeftCell="A4" activePane="bottomLeft" state="frozen"/>
      <selection pane="bottomLeft" activeCell="F23" sqref="F23"/>
    </sheetView>
  </sheetViews>
  <sheetFormatPr defaultRowHeight="14.4" x14ac:dyDescent="0.3"/>
  <cols>
    <col min="1" max="3" width="14.6640625" customWidth="1"/>
    <col min="5" max="5" width="34.6640625" customWidth="1"/>
    <col min="6" max="6" width="18.6640625" customWidth="1"/>
    <col min="8" max="11" width="22.6640625" customWidth="1"/>
  </cols>
  <sheetData>
    <row r="1" spans="1:14" ht="21" x14ac:dyDescent="0.4">
      <c r="A1" s="11" t="s">
        <v>98</v>
      </c>
      <c r="B1" s="11"/>
      <c r="C1" s="11"/>
      <c r="D1" s="11"/>
      <c r="E1" s="11"/>
      <c r="F1" s="11"/>
      <c r="G1" s="11"/>
      <c r="H1" s="11"/>
      <c r="I1" s="11"/>
      <c r="J1" s="11"/>
      <c r="K1" s="11"/>
      <c r="L1" s="11"/>
      <c r="M1" s="11"/>
      <c r="N1" s="11"/>
    </row>
    <row r="2" spans="1:14" ht="15.6" x14ac:dyDescent="0.3">
      <c r="A2" s="1" t="s">
        <v>99</v>
      </c>
      <c r="E2" s="1" t="s">
        <v>103</v>
      </c>
      <c r="H2" s="1" t="s">
        <v>127</v>
      </c>
    </row>
    <row r="3" spans="1:14" x14ac:dyDescent="0.3">
      <c r="A3" s="2" t="s">
        <v>100</v>
      </c>
      <c r="B3" s="2" t="s">
        <v>101</v>
      </c>
      <c r="C3" s="2" t="s">
        <v>102</v>
      </c>
      <c r="E3" s="2" t="s">
        <v>104</v>
      </c>
      <c r="F3" s="2" t="s">
        <v>67</v>
      </c>
      <c r="H3" s="2" t="s">
        <v>128</v>
      </c>
      <c r="I3" s="2" t="s">
        <v>129</v>
      </c>
      <c r="J3" s="2" t="s">
        <v>130</v>
      </c>
      <c r="K3" s="2" t="s">
        <v>131</v>
      </c>
    </row>
    <row r="4" spans="1:14" x14ac:dyDescent="0.3">
      <c r="A4" s="10">
        <v>1</v>
      </c>
      <c r="B4" s="10">
        <v>25</v>
      </c>
      <c r="C4" s="10">
        <v>12</v>
      </c>
      <c r="E4" s="3" t="s">
        <v>105</v>
      </c>
      <c r="F4" s="4" t="s">
        <v>22</v>
      </c>
    </row>
    <row r="5" spans="1:14" x14ac:dyDescent="0.3">
      <c r="A5" s="10">
        <v>2</v>
      </c>
      <c r="B5" s="10">
        <v>20</v>
      </c>
      <c r="C5" s="10">
        <v>9</v>
      </c>
      <c r="E5" s="3" t="s">
        <v>106</v>
      </c>
      <c r="F5" s="5">
        <v>353</v>
      </c>
      <c r="H5" s="10">
        <v>1</v>
      </c>
      <c r="I5" s="10">
        <f t="shared" ref="I5:I26" si="0">IFERROR(VLOOKUP(H5,$A$4:$C$25,2,FALSE),0)</f>
        <v>25</v>
      </c>
      <c r="J5" s="10">
        <f t="shared" ref="J5:J26" si="1">25-I5</f>
        <v>0</v>
      </c>
      <c r="K5" s="3" t="str">
        <f t="shared" ref="K5:K26" si="2">IF(J5&gt;=$F$7-$F$5,"YES","NO")</f>
        <v>NO</v>
      </c>
    </row>
    <row r="6" spans="1:14" x14ac:dyDescent="0.3">
      <c r="A6" s="10">
        <v>3</v>
      </c>
      <c r="B6" s="10">
        <v>16</v>
      </c>
      <c r="C6" s="10">
        <v>7</v>
      </c>
      <c r="E6" s="3" t="s">
        <v>107</v>
      </c>
      <c r="F6" s="4" t="s">
        <v>17</v>
      </c>
      <c r="H6" s="10">
        <v>2</v>
      </c>
      <c r="I6" s="10">
        <f t="shared" si="0"/>
        <v>20</v>
      </c>
      <c r="J6" s="10">
        <f t="shared" si="1"/>
        <v>5</v>
      </c>
      <c r="K6" s="3" t="str">
        <f t="shared" si="2"/>
        <v>YES</v>
      </c>
    </row>
    <row r="7" spans="1:14" x14ac:dyDescent="0.3">
      <c r="A7" s="10">
        <v>4</v>
      </c>
      <c r="B7" s="10">
        <v>13</v>
      </c>
      <c r="C7" s="10">
        <v>6</v>
      </c>
      <c r="E7" s="3" t="s">
        <v>108</v>
      </c>
      <c r="F7" s="5">
        <v>355</v>
      </c>
      <c r="H7" s="10">
        <v>3</v>
      </c>
      <c r="I7" s="10">
        <f t="shared" si="0"/>
        <v>16</v>
      </c>
      <c r="J7" s="10">
        <f t="shared" si="1"/>
        <v>9</v>
      </c>
      <c r="K7" s="3" t="str">
        <f t="shared" si="2"/>
        <v>YES</v>
      </c>
    </row>
    <row r="8" spans="1:14" x14ac:dyDescent="0.3">
      <c r="A8" s="10">
        <v>5</v>
      </c>
      <c r="B8" s="10">
        <v>11</v>
      </c>
      <c r="C8" s="10">
        <v>5</v>
      </c>
      <c r="E8" s="3" t="s">
        <v>109</v>
      </c>
      <c r="F8" s="5">
        <v>4</v>
      </c>
      <c r="H8" s="10">
        <v>4</v>
      </c>
      <c r="I8" s="10">
        <f t="shared" si="0"/>
        <v>13</v>
      </c>
      <c r="J8" s="10">
        <f t="shared" si="1"/>
        <v>12</v>
      </c>
      <c r="K8" s="3" t="str">
        <f t="shared" si="2"/>
        <v>YES</v>
      </c>
    </row>
    <row r="9" spans="1:14" x14ac:dyDescent="0.3">
      <c r="A9" s="10">
        <v>6</v>
      </c>
      <c r="B9" s="10">
        <v>10</v>
      </c>
      <c r="C9" s="10">
        <v>4</v>
      </c>
      <c r="E9" s="3" t="s">
        <v>110</v>
      </c>
      <c r="F9" s="5">
        <v>1</v>
      </c>
      <c r="H9" s="10">
        <v>5</v>
      </c>
      <c r="I9" s="10">
        <f t="shared" si="0"/>
        <v>11</v>
      </c>
      <c r="J9" s="10">
        <f t="shared" si="1"/>
        <v>14</v>
      </c>
      <c r="K9" s="3" t="str">
        <f t="shared" si="2"/>
        <v>YES</v>
      </c>
    </row>
    <row r="10" spans="1:14" x14ac:dyDescent="0.3">
      <c r="A10" s="10">
        <v>7</v>
      </c>
      <c r="B10" s="10">
        <v>9</v>
      </c>
      <c r="C10" s="10">
        <v>3</v>
      </c>
      <c r="E10" s="3" t="s">
        <v>111</v>
      </c>
      <c r="F10" s="5">
        <v>1</v>
      </c>
      <c r="H10" s="10">
        <v>6</v>
      </c>
      <c r="I10" s="10">
        <f t="shared" si="0"/>
        <v>10</v>
      </c>
      <c r="J10" s="10">
        <f t="shared" si="1"/>
        <v>15</v>
      </c>
      <c r="K10" s="3" t="str">
        <f t="shared" si="2"/>
        <v>YES</v>
      </c>
    </row>
    <row r="11" spans="1:14" x14ac:dyDescent="0.3">
      <c r="A11" s="10">
        <v>8</v>
      </c>
      <c r="B11" s="10">
        <v>8</v>
      </c>
      <c r="C11" s="10">
        <v>2</v>
      </c>
      <c r="E11" s="3" t="s">
        <v>112</v>
      </c>
      <c r="F11" s="5">
        <v>2</v>
      </c>
      <c r="H11" s="10">
        <v>7</v>
      </c>
      <c r="I11" s="10">
        <f t="shared" si="0"/>
        <v>9</v>
      </c>
      <c r="J11" s="10">
        <f t="shared" si="1"/>
        <v>16</v>
      </c>
      <c r="K11" s="3" t="str">
        <f t="shared" si="2"/>
        <v>YES</v>
      </c>
    </row>
    <row r="12" spans="1:14" x14ac:dyDescent="0.3">
      <c r="A12" s="10">
        <v>9</v>
      </c>
      <c r="B12" s="10">
        <v>7</v>
      </c>
      <c r="C12" s="10">
        <v>1</v>
      </c>
      <c r="E12" s="3" t="s">
        <v>113</v>
      </c>
      <c r="F12" s="5">
        <v>2</v>
      </c>
      <c r="H12" s="10">
        <v>8</v>
      </c>
      <c r="I12" s="10">
        <f t="shared" si="0"/>
        <v>8</v>
      </c>
      <c r="J12" s="10">
        <f t="shared" si="1"/>
        <v>17</v>
      </c>
      <c r="K12" s="3" t="str">
        <f t="shared" si="2"/>
        <v>YES</v>
      </c>
    </row>
    <row r="13" spans="1:14" x14ac:dyDescent="0.3">
      <c r="A13" s="10">
        <v>10</v>
      </c>
      <c r="B13" s="10">
        <v>6</v>
      </c>
      <c r="C13" s="10">
        <v>0</v>
      </c>
      <c r="H13" s="10">
        <v>9</v>
      </c>
      <c r="I13" s="10">
        <f t="shared" si="0"/>
        <v>7</v>
      </c>
      <c r="J13" s="10">
        <f t="shared" si="1"/>
        <v>18</v>
      </c>
      <c r="K13" s="3" t="str">
        <f t="shared" si="2"/>
        <v>YES</v>
      </c>
    </row>
    <row r="14" spans="1:14" ht="15.6" x14ac:dyDescent="0.3">
      <c r="A14" s="10">
        <v>11</v>
      </c>
      <c r="B14" s="10">
        <v>5</v>
      </c>
      <c r="C14" s="10">
        <v>0</v>
      </c>
      <c r="E14" s="1" t="s">
        <v>114</v>
      </c>
      <c r="H14" s="10">
        <v>10</v>
      </c>
      <c r="I14" s="10">
        <f t="shared" si="0"/>
        <v>6</v>
      </c>
      <c r="J14" s="10">
        <f t="shared" si="1"/>
        <v>19</v>
      </c>
      <c r="K14" s="3" t="str">
        <f t="shared" si="2"/>
        <v>YES</v>
      </c>
    </row>
    <row r="15" spans="1:14" x14ac:dyDescent="0.3">
      <c r="A15" s="10">
        <v>12</v>
      </c>
      <c r="B15" s="10">
        <v>4</v>
      </c>
      <c r="C15" s="10">
        <v>0</v>
      </c>
      <c r="E15" s="3" t="s">
        <v>115</v>
      </c>
      <c r="F15" s="9">
        <f>IFERROR(VLOOKUP(F9,$A$4:$C$25,2,FALSE),0)</f>
        <v>25</v>
      </c>
      <c r="H15" s="10">
        <v>11</v>
      </c>
      <c r="I15" s="10">
        <f t="shared" si="0"/>
        <v>5</v>
      </c>
      <c r="J15" s="10">
        <f t="shared" si="1"/>
        <v>20</v>
      </c>
      <c r="K15" s="3" t="str">
        <f t="shared" si="2"/>
        <v>YES</v>
      </c>
    </row>
    <row r="16" spans="1:14" x14ac:dyDescent="0.3">
      <c r="A16" s="10">
        <v>13</v>
      </c>
      <c r="B16" s="10">
        <v>3</v>
      </c>
      <c r="C16" s="10">
        <v>0</v>
      </c>
      <c r="E16" s="3" t="s">
        <v>116</v>
      </c>
      <c r="F16" s="9">
        <f>IFERROR(VLOOKUP(F10,$A$4:$C$25,3,FALSE),0)</f>
        <v>12</v>
      </c>
      <c r="H16" s="10">
        <v>12</v>
      </c>
      <c r="I16" s="10">
        <f t="shared" si="0"/>
        <v>4</v>
      </c>
      <c r="J16" s="10">
        <f t="shared" si="1"/>
        <v>21</v>
      </c>
      <c r="K16" s="3" t="str">
        <f t="shared" si="2"/>
        <v>YES</v>
      </c>
    </row>
    <row r="17" spans="1:11" x14ac:dyDescent="0.3">
      <c r="A17" s="10">
        <v>14</v>
      </c>
      <c r="B17" s="10">
        <v>2</v>
      </c>
      <c r="C17" s="10">
        <v>0</v>
      </c>
      <c r="E17" s="3" t="s">
        <v>117</v>
      </c>
      <c r="F17" s="9">
        <f>IFERROR(VLOOKUP(F11,$A$4:$C$25,2,FALSE),0)</f>
        <v>20</v>
      </c>
      <c r="H17" s="10">
        <v>13</v>
      </c>
      <c r="I17" s="10">
        <f t="shared" si="0"/>
        <v>3</v>
      </c>
      <c r="J17" s="10">
        <f t="shared" si="1"/>
        <v>22</v>
      </c>
      <c r="K17" s="3" t="str">
        <f t="shared" si="2"/>
        <v>YES</v>
      </c>
    </row>
    <row r="18" spans="1:11" x14ac:dyDescent="0.3">
      <c r="A18" s="10">
        <v>15</v>
      </c>
      <c r="B18" s="10">
        <v>1</v>
      </c>
      <c r="C18" s="10">
        <v>0</v>
      </c>
      <c r="E18" s="3" t="s">
        <v>118</v>
      </c>
      <c r="F18" s="9">
        <f>IFERROR(VLOOKUP(F12,$A$4:$C$25,3,FALSE),0)</f>
        <v>9</v>
      </c>
      <c r="H18" s="10">
        <v>14</v>
      </c>
      <c r="I18" s="10">
        <f t="shared" si="0"/>
        <v>2</v>
      </c>
      <c r="J18" s="10">
        <f t="shared" si="1"/>
        <v>23</v>
      </c>
      <c r="K18" s="3" t="str">
        <f t="shared" si="2"/>
        <v>YES</v>
      </c>
    </row>
    <row r="19" spans="1:11" x14ac:dyDescent="0.3">
      <c r="A19" s="10">
        <v>16</v>
      </c>
      <c r="B19" s="10">
        <v>0</v>
      </c>
      <c r="C19" s="10">
        <v>0</v>
      </c>
      <c r="E19" s="3" t="s">
        <v>119</v>
      </c>
      <c r="F19" s="9">
        <f>F5+F15+F16</f>
        <v>390</v>
      </c>
      <c r="H19" s="10">
        <v>15</v>
      </c>
      <c r="I19" s="10">
        <f t="shared" si="0"/>
        <v>1</v>
      </c>
      <c r="J19" s="10">
        <f t="shared" si="1"/>
        <v>24</v>
      </c>
      <c r="K19" s="3" t="str">
        <f t="shared" si="2"/>
        <v>YES</v>
      </c>
    </row>
    <row r="20" spans="1:11" x14ac:dyDescent="0.3">
      <c r="A20" s="10">
        <v>17</v>
      </c>
      <c r="B20" s="10">
        <v>0</v>
      </c>
      <c r="C20" s="10">
        <v>0</v>
      </c>
      <c r="E20" s="3" t="s">
        <v>120</v>
      </c>
      <c r="F20" s="9">
        <f>F7+F17+F18</f>
        <v>384</v>
      </c>
      <c r="H20" s="10">
        <v>16</v>
      </c>
      <c r="I20" s="10">
        <f t="shared" si="0"/>
        <v>0</v>
      </c>
      <c r="J20" s="10">
        <f t="shared" si="1"/>
        <v>25</v>
      </c>
      <c r="K20" s="3" t="str">
        <f t="shared" si="2"/>
        <v>YES</v>
      </c>
    </row>
    <row r="21" spans="1:11" x14ac:dyDescent="0.3">
      <c r="A21" s="10">
        <v>18</v>
      </c>
      <c r="B21" s="10">
        <v>0</v>
      </c>
      <c r="C21" s="10">
        <v>0</v>
      </c>
      <c r="E21" s="3" t="s">
        <v>121</v>
      </c>
      <c r="F21" s="9">
        <f>F19-F20</f>
        <v>6</v>
      </c>
      <c r="H21" s="10">
        <v>17</v>
      </c>
      <c r="I21" s="10">
        <f t="shared" si="0"/>
        <v>0</v>
      </c>
      <c r="J21" s="10">
        <f t="shared" si="1"/>
        <v>25</v>
      </c>
      <c r="K21" s="3" t="str">
        <f t="shared" si="2"/>
        <v>YES</v>
      </c>
    </row>
    <row r="22" spans="1:11" x14ac:dyDescent="0.3">
      <c r="A22" s="10">
        <v>19</v>
      </c>
      <c r="B22" s="10">
        <v>0</v>
      </c>
      <c r="C22" s="10">
        <v>0</v>
      </c>
      <c r="E22" s="3" t="s">
        <v>122</v>
      </c>
      <c r="F22" s="9">
        <f>MAX(0,F8-1)</f>
        <v>3</v>
      </c>
      <c r="H22" s="10">
        <v>18</v>
      </c>
      <c r="I22" s="10">
        <f t="shared" si="0"/>
        <v>0</v>
      </c>
      <c r="J22" s="10">
        <f t="shared" si="1"/>
        <v>25</v>
      </c>
      <c r="K22" s="3" t="str">
        <f t="shared" si="2"/>
        <v>YES</v>
      </c>
    </row>
    <row r="23" spans="1:11" x14ac:dyDescent="0.3">
      <c r="A23" s="10">
        <v>20</v>
      </c>
      <c r="B23" s="10">
        <v>0</v>
      </c>
      <c r="C23" s="10">
        <v>0</v>
      </c>
      <c r="E23" s="3" t="s">
        <v>123</v>
      </c>
      <c r="F23" s="9">
        <f>F22*37</f>
        <v>111</v>
      </c>
      <c r="H23" s="10">
        <v>19</v>
      </c>
      <c r="I23" s="10">
        <f t="shared" si="0"/>
        <v>0</v>
      </c>
      <c r="J23" s="10">
        <f t="shared" si="1"/>
        <v>25</v>
      </c>
      <c r="K23" s="3" t="str">
        <f t="shared" si="2"/>
        <v>YES</v>
      </c>
    </row>
    <row r="24" spans="1:11" x14ac:dyDescent="0.3">
      <c r="A24" s="10">
        <v>21</v>
      </c>
      <c r="B24" s="10">
        <v>0</v>
      </c>
      <c r="C24" s="10">
        <v>0</v>
      </c>
      <c r="E24" s="3" t="s">
        <v>124</v>
      </c>
      <c r="F24" s="9" t="str">
        <f>IF(F19+F23&gt;=F20,"YES","NO")</f>
        <v>YES</v>
      </c>
      <c r="H24" s="10">
        <v>20</v>
      </c>
      <c r="I24" s="10">
        <f t="shared" si="0"/>
        <v>0</v>
      </c>
      <c r="J24" s="10">
        <f t="shared" si="1"/>
        <v>25</v>
      </c>
      <c r="K24" s="3" t="str">
        <f t="shared" si="2"/>
        <v>YES</v>
      </c>
    </row>
    <row r="25" spans="1:11" x14ac:dyDescent="0.3">
      <c r="A25" s="10">
        <v>22</v>
      </c>
      <c r="B25" s="10">
        <v>0</v>
      </c>
      <c r="C25" s="10">
        <v>0</v>
      </c>
      <c r="E25" s="3" t="s">
        <v>125</v>
      </c>
      <c r="F25" s="9" t="str">
        <f>IF(F20+F23&gt;=F19,"YES","NO")</f>
        <v>YES</v>
      </c>
      <c r="H25" s="10">
        <v>21</v>
      </c>
      <c r="I25" s="10">
        <f t="shared" si="0"/>
        <v>0</v>
      </c>
      <c r="J25" s="10">
        <f t="shared" si="1"/>
        <v>25</v>
      </c>
      <c r="K25" s="3" t="str">
        <f t="shared" si="2"/>
        <v>YES</v>
      </c>
    </row>
    <row r="26" spans="1:11" x14ac:dyDescent="0.3">
      <c r="E26" s="3" t="s">
        <v>126</v>
      </c>
      <c r="F26" s="9">
        <f>IF(F22=0,0,MAX(0,F20-F19+1)/F22)</f>
        <v>0</v>
      </c>
      <c r="H26" s="10">
        <v>22</v>
      </c>
      <c r="I26" s="10">
        <f t="shared" si="0"/>
        <v>0</v>
      </c>
      <c r="J26" s="10">
        <f t="shared" si="1"/>
        <v>25</v>
      </c>
      <c r="K26" s="3" t="str">
        <f t="shared" si="2"/>
        <v>YES</v>
      </c>
    </row>
    <row r="29" spans="1:11" x14ac:dyDescent="0.3">
      <c r="E29" s="12" t="s">
        <v>132</v>
      </c>
      <c r="F29" s="12"/>
      <c r="G29" s="12"/>
      <c r="H29" s="12"/>
      <c r="I29" s="12"/>
      <c r="J29" s="12"/>
      <c r="K29" s="12"/>
    </row>
    <row r="30" spans="1:11" x14ac:dyDescent="0.3">
      <c r="E30" s="12"/>
      <c r="F30" s="12"/>
      <c r="G30" s="12"/>
      <c r="H30" s="12"/>
      <c r="I30" s="12"/>
      <c r="J30" s="12"/>
      <c r="K30" s="12"/>
    </row>
    <row r="31" spans="1:11" x14ac:dyDescent="0.3">
      <c r="E31" s="12"/>
      <c r="F31" s="12"/>
      <c r="G31" s="12"/>
      <c r="H31" s="12"/>
      <c r="I31" s="12"/>
      <c r="J31" s="12"/>
      <c r="K31" s="12"/>
    </row>
  </sheetData>
  <mergeCells count="2">
    <mergeCell ref="A1:N1"/>
    <mergeCell ref="E29:K31"/>
  </mergeCells>
  <dataValidations count="1">
    <dataValidation type="whole" allowBlank="1" showInputMessage="1" showErrorMessage="1" sqref="F8:F12" xr:uid="{00000000-0002-0000-0200-000002000000}">
      <formula1>1</formula1>
      <formula2>30</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'Model Data'!$A$2:$A$32</xm:f>
          </x14:formula1>
          <xm:sqref>F4 F6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Model Data</vt:lpstr>
      <vt:lpstr>Probabilistic Charts</vt:lpstr>
      <vt:lpstr>Championship Solver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MotoGP Probability and Championship Scenarios</dc:title>
  <dc:creator/>
  <cp:lastModifiedBy>Miguel Mayorga</cp:lastModifiedBy>
  <dcterms:created xsi:type="dcterms:W3CDTF">2026-10-12T05:43:41Z</dcterms:created>
  <dcterms:modified xsi:type="dcterms:W3CDTF">2026-10-12T15:34:32Z</dcterms:modified>
</cp:coreProperties>
</file>